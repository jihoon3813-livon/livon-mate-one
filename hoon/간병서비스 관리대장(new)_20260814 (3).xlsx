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현황대시보드" sheetId="1" r:id="rId5"/>
    <sheet state="visible" name="보험청구" sheetId="2" r:id="rId6"/>
    <sheet state="visible" name="간병인배정" sheetId="3" r:id="rId7"/>
    <sheet state="visible" name="간병신청대장" sheetId="4" r:id="rId8"/>
    <sheet state="visible" name="간병비지급" sheetId="5" r:id="rId9"/>
  </sheets>
  <definedNames>
    <definedName hidden="1" localSheetId="1" name="_xlnm._FilterDatabase">'보험청구'!$A$1:$N$463</definedName>
    <definedName hidden="1" localSheetId="4" name="_xlnm._FilterDatabase">'간병비지급'!$A$1:$K$479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64">
      <text>
        <t xml:space="preserve">8월15일 16일휴무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80">
      <text>
        <t xml:space="preserve">8월15일 16일휴무</t>
      </text>
    </comment>
  </commentList>
</comments>
</file>

<file path=xl/sharedStrings.xml><?xml version="1.0" encoding="utf-8"?>
<sst xmlns="http://schemas.openxmlformats.org/spreadsheetml/2006/main" count="13767" uniqueCount="4873">
  <si>
    <t>간병서비스 현황 대시보드</t>
  </si>
  <si>
    <r>
      <rPr>
        <rFont val="Noto Sans CJK SC"/>
        <b/>
        <color rgb="FFFFFFFF"/>
        <sz val="11.0"/>
      </rPr>
      <t xml:space="preserve">■ 신청 현황 </t>
    </r>
    <r>
      <rPr>
        <rFont val="Malgun Gothic"/>
        <b/>
        <color rgb="FFFFFFFF"/>
        <sz val="11.0"/>
      </rPr>
      <t>(</t>
    </r>
    <r>
      <rPr>
        <rFont val="Noto Sans CJK SC"/>
        <b/>
        <color rgb="FFFFFFFF"/>
        <sz val="11.0"/>
      </rPr>
      <t>건</t>
    </r>
    <r>
      <rPr>
        <rFont val="Malgun Gothic"/>
        <b/>
        <color rgb="FFFFFFFF"/>
        <sz val="11.0"/>
      </rPr>
      <t>)</t>
    </r>
  </si>
  <si>
    <t>청구ID</t>
  </si>
  <si>
    <r>
      <rPr>
        <rFont val="Noto Sans CJK SC"/>
        <b/>
        <color rgb="FFFFFFFF"/>
        <sz val="11.0"/>
      </rPr>
      <t xml:space="preserve">■ 미수금 현황 </t>
    </r>
    <r>
      <rPr>
        <rFont val="Malgun Gothic"/>
        <b/>
        <color rgb="FFFFFFFF"/>
        <sz val="11.0"/>
      </rPr>
      <t>(</t>
    </r>
    <r>
      <rPr>
        <rFont val="Noto Sans CJK SC"/>
        <b/>
        <color rgb="FFFFFFFF"/>
        <sz val="11.0"/>
      </rPr>
      <t>원</t>
    </r>
    <r>
      <rPr>
        <rFont val="Malgun Gothic"/>
        <b/>
        <color rgb="FFFFFFFF"/>
        <sz val="11.0"/>
      </rPr>
      <t>)</t>
    </r>
  </si>
  <si>
    <t>총 신청건수</t>
  </si>
  <si>
    <t>신청ID</t>
  </si>
  <si>
    <t>고객명</t>
  </si>
  <si>
    <t>회차</t>
  </si>
  <si>
    <t>기준일</t>
  </si>
  <si>
    <t>배정ID</t>
  </si>
  <si>
    <t>청구일</t>
  </si>
  <si>
    <t>성별</t>
  </si>
  <si>
    <t>생년월일</t>
  </si>
  <si>
    <t>연락처</t>
  </si>
  <si>
    <t>시도</t>
  </si>
  <si>
    <t>시군구</t>
  </si>
  <si>
    <t>상세주소</t>
  </si>
  <si>
    <t>원수사</t>
  </si>
  <si>
    <t>증권번호</t>
  </si>
  <si>
    <t>계약일자</t>
  </si>
  <si>
    <t>사고번호</t>
  </si>
  <si>
    <t>일수</t>
  </si>
  <si>
    <t>손사담당</t>
  </si>
  <si>
    <t>단가</t>
  </si>
  <si>
    <t>손사연락처</t>
  </si>
  <si>
    <t>입금확인금액</t>
  </si>
  <si>
    <t>단가구분</t>
  </si>
  <si>
    <t>손사Fax</t>
  </si>
  <si>
    <t>입금확인여부</t>
  </si>
  <si>
    <t>사고발생일</t>
  </si>
  <si>
    <t>간병인명</t>
  </si>
  <si>
    <t>사고유형</t>
  </si>
  <si>
    <t>추정미수금</t>
  </si>
  <si>
    <t>보상팀확인</t>
  </si>
  <si>
    <t>진단명</t>
  </si>
  <si>
    <t>비고</t>
  </si>
  <si>
    <t>입금확인 금액</t>
  </si>
  <si>
    <t>신청일시</t>
  </si>
  <si>
    <t>담당센터</t>
  </si>
  <si>
    <t>시작희망일</t>
  </si>
  <si>
    <t>센터연락처</t>
  </si>
  <si>
    <t>신청유형</t>
  </si>
  <si>
    <t>예상사용일수</t>
  </si>
  <si>
    <t>정산유형</t>
  </si>
  <si>
    <t>현재상태</t>
  </si>
  <si>
    <t>일급</t>
  </si>
  <si>
    <t>배정간병인수</t>
  </si>
  <si>
    <t>배정완료일시</t>
  </si>
  <si>
    <t>총지급액</t>
  </si>
  <si>
    <t>간병시작일시</t>
  </si>
  <si>
    <t>청구건수</t>
  </si>
  <si>
    <t>간병종료일시</t>
  </si>
  <si>
    <t>미확인청구건수</t>
  </si>
  <si>
    <t>지급계좌</t>
  </si>
  <si>
    <t>간병시작일</t>
  </si>
  <si>
    <t>마지막청구일</t>
  </si>
  <si>
    <t>완료</t>
  </si>
  <si>
    <t>A0001</t>
  </si>
  <si>
    <t>경과일수</t>
  </si>
  <si>
    <t>청구분류</t>
  </si>
  <si>
    <t>기준일자→</t>
  </si>
  <si>
    <t>C0006</t>
  </si>
  <si>
    <t>미확인 청구건수</t>
  </si>
  <si>
    <t>C0001</t>
  </si>
  <si>
    <t>김옥경</t>
  </si>
  <si>
    <t>진행중</t>
  </si>
  <si>
    <t>여</t>
  </si>
  <si>
    <r>
      <rPr>
        <rFont val="Noto Sans CJK SC"/>
        <b/>
        <color theme="1"/>
        <sz val="10.0"/>
      </rPr>
      <t xml:space="preserve">추정 미수금 </t>
    </r>
    <r>
      <rPr>
        <rFont val="Malgun Gothic"/>
        <b/>
        <color theme="1"/>
        <sz val="10.0"/>
      </rPr>
      <t>(</t>
    </r>
    <r>
      <rPr>
        <rFont val="Noto Sans CJK SC"/>
        <b/>
        <color theme="1"/>
        <sz val="10.0"/>
      </rPr>
      <t xml:space="preserve">단가 </t>
    </r>
    <r>
      <rPr>
        <rFont val="Malgun Gothic"/>
        <b/>
        <color theme="1"/>
        <sz val="10.0"/>
      </rPr>
      <t xml:space="preserve">142,000 </t>
    </r>
    <r>
      <rPr>
        <rFont val="Noto Sans CJK SC"/>
        <b/>
        <color theme="1"/>
        <sz val="10.0"/>
      </rPr>
      <t>기본</t>
    </r>
    <r>
      <rPr>
        <rFont val="Malgun Gothic"/>
        <b/>
        <color theme="1"/>
        <sz val="10.0"/>
      </rPr>
      <t>)</t>
    </r>
  </si>
  <si>
    <t>010-3875-7912</t>
  </si>
  <si>
    <t>울산광역시</t>
  </si>
  <si>
    <t>울주군</t>
  </si>
  <si>
    <t>미근길 133-2</t>
  </si>
  <si>
    <t>예정</t>
  </si>
  <si>
    <t>현대해상(SCOR)</t>
  </si>
  <si>
    <t>L02546672401</t>
  </si>
  <si>
    <t>2025.10.23</t>
  </si>
  <si>
    <t>2025.10.29</t>
  </si>
  <si>
    <t>질병</t>
  </si>
  <si>
    <t>총 간병비 지급액</t>
  </si>
  <si>
    <t>2025.11.04</t>
  </si>
  <si>
    <t>재택</t>
  </si>
  <si>
    <t>2일</t>
  </si>
  <si>
    <t>Q0001</t>
  </si>
  <si>
    <t>C0005</t>
  </si>
  <si>
    <t>취소</t>
  </si>
  <si>
    <r>
      <rPr>
        <rFont val="Noto Sans CJK SC"/>
        <b/>
        <color rgb="FFFFFFFF"/>
        <sz val="11.0"/>
      </rPr>
      <t xml:space="preserve">■ 미청구 현황 </t>
    </r>
    <r>
      <rPr>
        <rFont val="Malgun Gothic"/>
        <b/>
        <color rgb="FFFFFFFF"/>
        <sz val="11.0"/>
      </rPr>
      <t>(</t>
    </r>
    <r>
      <rPr>
        <rFont val="Noto Sans CJK SC"/>
        <b/>
        <color rgb="FFFFFFFF"/>
        <sz val="11.0"/>
      </rPr>
      <t>건</t>
    </r>
    <r>
      <rPr>
        <rFont val="Malgun Gothic"/>
        <b/>
        <color rgb="FFFFFFFF"/>
        <sz val="11.0"/>
      </rPr>
      <t>)</t>
    </r>
  </si>
  <si>
    <r>
      <rPr>
        <rFont val="Noto Sans CJK SC"/>
        <b/>
        <color theme="1"/>
        <sz val="10.0"/>
      </rPr>
      <t>미청구</t>
    </r>
    <r>
      <rPr>
        <rFont val="Malgun Gothic"/>
        <b/>
        <color theme="1"/>
        <sz val="10.0"/>
      </rPr>
      <t>(</t>
    </r>
    <r>
      <rPr>
        <rFont val="Noto Sans CJK SC"/>
        <b/>
        <color theme="1"/>
        <sz val="10.0"/>
      </rPr>
      <t>완료</t>
    </r>
    <r>
      <rPr>
        <rFont val="Malgun Gothic"/>
        <b/>
        <color theme="1"/>
        <sz val="10.0"/>
      </rPr>
      <t>·</t>
    </r>
    <r>
      <rPr>
        <rFont val="Noto Sans CJK SC"/>
        <b/>
        <color theme="1"/>
        <sz val="10.0"/>
      </rPr>
      <t>무청구</t>
    </r>
    <r>
      <rPr>
        <rFont val="Malgun Gothic"/>
        <b/>
        <color theme="1"/>
        <sz val="10.0"/>
      </rPr>
      <t>)</t>
    </r>
  </si>
  <si>
    <t>■ 간병인 배정</t>
  </si>
  <si>
    <r>
      <rPr>
        <rFont val="Noto Sans CJK SC"/>
        <b/>
        <color theme="1"/>
        <sz val="10.0"/>
      </rPr>
      <t>미청구</t>
    </r>
    <r>
      <rPr>
        <rFont val="Malgun Gothic"/>
        <b/>
        <color theme="1"/>
        <sz val="10.0"/>
      </rPr>
      <t>(</t>
    </r>
    <r>
      <rPr>
        <rFont val="Noto Sans CJK SC"/>
        <b/>
        <color theme="1"/>
        <sz val="10.0"/>
      </rPr>
      <t>청구지연</t>
    </r>
    <r>
      <rPr>
        <rFont val="Malgun Gothic"/>
        <b/>
        <color theme="1"/>
        <sz val="10.0"/>
      </rPr>
      <t>·</t>
    </r>
    <r>
      <rPr>
        <rFont val="Noto Sans CJK SC"/>
        <b/>
        <color theme="1"/>
        <sz val="10.0"/>
      </rPr>
      <t>진행중</t>
    </r>
    <r>
      <rPr>
        <rFont val="Malgun Gothic"/>
        <b/>
        <color theme="1"/>
        <sz val="10.0"/>
      </rPr>
      <t>)</t>
    </r>
  </si>
  <si>
    <t>총 배정 간병인</t>
  </si>
  <si>
    <r>
      <rPr>
        <rFont val="Noto Sans CJK SC"/>
        <b/>
        <color theme="1"/>
        <sz val="10.0"/>
      </rPr>
      <t>미청구</t>
    </r>
    <r>
      <rPr>
        <rFont val="Malgun Gothic"/>
        <b/>
        <color theme="1"/>
        <sz val="10.0"/>
      </rPr>
      <t>(</t>
    </r>
    <r>
      <rPr>
        <rFont val="Noto Sans CJK SC"/>
        <b/>
        <color theme="1"/>
        <sz val="10.0"/>
      </rPr>
      <t>청구시작안됨</t>
    </r>
    <r>
      <rPr>
        <rFont val="Malgun Gothic"/>
        <b/>
        <color theme="1"/>
        <sz val="10.0"/>
      </rPr>
      <t>)</t>
    </r>
  </si>
  <si>
    <t>황지원</t>
  </si>
  <si>
    <t>영등포</t>
  </si>
  <si>
    <r>
      <rPr>
        <rFont val="Noto Sans CJK SC"/>
        <b/>
        <color theme="1"/>
        <sz val="10.0"/>
      </rPr>
      <t>간병인 변경 건</t>
    </r>
    <r>
      <rPr>
        <rFont val="Malgun Gothic"/>
        <b/>
        <color theme="1"/>
        <sz val="10.0"/>
      </rPr>
      <t>(2</t>
    </r>
    <r>
      <rPr>
        <rFont val="Noto Sans CJK SC"/>
        <b/>
        <color theme="1"/>
        <sz val="10.0"/>
      </rPr>
      <t>명</t>
    </r>
    <r>
      <rPr>
        <rFont val="Malgun Gothic"/>
        <b/>
        <color theme="1"/>
        <sz val="10.0"/>
      </rPr>
      <t>+)</t>
    </r>
  </si>
  <si>
    <t>미청구 합계</t>
  </si>
  <si>
    <t>4월 1차</t>
  </si>
  <si>
    <t>2026.03.13</t>
  </si>
  <si>
    <t>2026.07.21</t>
  </si>
  <si>
    <t>2026.07.15</t>
  </si>
  <si>
    <t>■ 원수사별 신청 건수</t>
  </si>
  <si>
    <t>2026.07.24</t>
  </si>
  <si>
    <t>영등포센터</t>
  </si>
  <si>
    <t>건수</t>
  </si>
  <si>
    <t>확인</t>
  </si>
  <si>
    <t>미확인</t>
  </si>
  <si>
    <t>A0002</t>
  </si>
  <si>
    <t>현대해상</t>
  </si>
  <si>
    <t>C0010</t>
  </si>
  <si>
    <t>입금예정</t>
  </si>
  <si>
    <t>삼성화재</t>
  </si>
  <si>
    <t xml:space="preserve">8월 25일 곽주호손해사정인 통화-&gt; 입금 못했다고 인정, 확인 후 입금하겠다고 함 </t>
  </si>
  <si>
    <t>Q0002</t>
  </si>
  <si>
    <t>7월 2차</t>
  </si>
  <si>
    <t>2026.07.20</t>
  </si>
  <si>
    <t>이영자</t>
  </si>
  <si>
    <t>010-9060-6723</t>
  </si>
  <si>
    <t>2026.03.25 17:30</t>
  </si>
  <si>
    <t>2026.03.30 12:00</t>
  </si>
  <si>
    <t>Q0003</t>
  </si>
  <si>
    <t>A0003</t>
  </si>
  <si>
    <t>C0012</t>
  </si>
  <si>
    <t>C0002</t>
  </si>
  <si>
    <t>박지원</t>
  </si>
  <si>
    <t>Q0004</t>
  </si>
  <si>
    <t>C0008</t>
  </si>
  <si>
    <t>010-2473-2079</t>
  </si>
  <si>
    <t>서울특별시</t>
  </si>
  <si>
    <t>노원구</t>
  </si>
  <si>
    <t>한글비석로 36길 64-5 102호</t>
  </si>
  <si>
    <t>L02551003720</t>
  </si>
  <si>
    <t>2025.11.27</t>
  </si>
  <si>
    <t>2025.12.07</t>
  </si>
  <si>
    <t>상해</t>
  </si>
  <si>
    <t>2025.12.17</t>
  </si>
  <si>
    <t>이숙자</t>
  </si>
  <si>
    <t>8일</t>
  </si>
  <si>
    <t>010-8636-5285</t>
  </si>
  <si>
    <t>이솔간병</t>
  </si>
  <si>
    <t>010-3876-5343</t>
  </si>
  <si>
    <t>개인</t>
  </si>
  <si>
    <t>2026.04.01.16:00</t>
  </si>
  <si>
    <t>2026.04.29</t>
  </si>
  <si>
    <t>2026.06.13 10:00</t>
  </si>
  <si>
    <t>우리은행 1002-057-219315 LISHUZI</t>
  </si>
  <si>
    <t>A0004</t>
  </si>
  <si>
    <t>C0013</t>
  </si>
  <si>
    <t>입금확인</t>
  </si>
  <si>
    <t>8월 25일 이선연 손해사정인 통화-&gt; 4월30일 우리은행 계좌 95,000원 입금 확인</t>
  </si>
  <si>
    <t>Q0005</t>
  </si>
  <si>
    <t>5월 1차</t>
  </si>
  <si>
    <t>2026.06.18</t>
  </si>
  <si>
    <t>차영옥</t>
  </si>
  <si>
    <t>600307-2695814</t>
  </si>
  <si>
    <t>010-8440-8025</t>
  </si>
  <si>
    <t>Q0006</t>
  </si>
  <si>
    <t>C0011</t>
  </si>
  <si>
    <t>2026.04.01.12:00</t>
  </si>
  <si>
    <t>2026.04.04 12:00</t>
  </si>
  <si>
    <t>A0005</t>
  </si>
  <si>
    <t>C0014</t>
  </si>
  <si>
    <t>2026.04.02</t>
  </si>
  <si>
    <t>ㄹ</t>
  </si>
  <si>
    <t>손사담당(솔로몬손해사정) 현장 방문</t>
  </si>
  <si>
    <t>Q0007</t>
  </si>
  <si>
    <t>기준일시</t>
  </si>
  <si>
    <t>C0003</t>
  </si>
  <si>
    <t>오채은</t>
  </si>
  <si>
    <t>010-8731-8863</t>
  </si>
  <si>
    <t>전라남도</t>
  </si>
  <si>
    <t>지급액</t>
  </si>
  <si>
    <t>여수시</t>
  </si>
  <si>
    <t>지급여부</t>
  </si>
  <si>
    <t>여서동 주공1차 104동 309호</t>
  </si>
  <si>
    <t>P0001</t>
  </si>
  <si>
    <t>2025.11.09</t>
  </si>
  <si>
    <t>2025.12.26</t>
  </si>
  <si>
    <t>1일</t>
  </si>
  <si>
    <t>김혜진</t>
  </si>
  <si>
    <t>서비스 취소</t>
  </si>
  <si>
    <t>010-3579-8090</t>
  </si>
  <si>
    <t>엘리트간병센터</t>
  </si>
  <si>
    <t xml:space="preserve"> 010-2355-2419</t>
  </si>
  <si>
    <t>2026.04.10 16:00</t>
  </si>
  <si>
    <t>2026.04.10</t>
  </si>
  <si>
    <t>2026.04.01.06:40</t>
  </si>
  <si>
    <t>2026.05.31 11:00</t>
  </si>
  <si>
    <t>농협은행 501015-52-081548 김혜진</t>
  </si>
  <si>
    <t>A0006</t>
  </si>
  <si>
    <t>C0015</t>
  </si>
  <si>
    <t>Q0008</t>
  </si>
  <si>
    <t>4월 2차</t>
  </si>
  <si>
    <t>2026.04.20 16:00</t>
  </si>
  <si>
    <t>2026.04.22</t>
  </si>
  <si>
    <t>Q0009</t>
  </si>
  <si>
    <t>7월 3차</t>
  </si>
  <si>
    <t>임영진</t>
  </si>
  <si>
    <t>010-2685-2721</t>
  </si>
  <si>
    <t>행복한돌봄</t>
  </si>
  <si>
    <t>010-6601-8539</t>
  </si>
  <si>
    <t>2026.01.23. 08:00</t>
  </si>
  <si>
    <t>2026.06.08 15:00</t>
  </si>
  <si>
    <t>새마을금고 9003-2220-02761 임영진</t>
  </si>
  <si>
    <t>A0007</t>
  </si>
  <si>
    <t>C0017</t>
  </si>
  <si>
    <t>4월 3차</t>
  </si>
  <si>
    <t>지급</t>
  </si>
  <si>
    <t>2026.04.30 16:00</t>
  </si>
  <si>
    <t>2026.04.30</t>
  </si>
  <si>
    <t>P0002</t>
  </si>
  <si>
    <t>보험정보 미확인(현대해상)</t>
  </si>
  <si>
    <t>C0004</t>
  </si>
  <si>
    <t>이성근</t>
  </si>
  <si>
    <t>남</t>
  </si>
  <si>
    <t>Q0010</t>
  </si>
  <si>
    <t>010-7187-8718</t>
  </si>
  <si>
    <t>세종특별자치시</t>
  </si>
  <si>
    <t>세종시</t>
  </si>
  <si>
    <t>달빛1로 39 202동 1003호</t>
  </si>
  <si>
    <t>L02546188171</t>
  </si>
  <si>
    <t>2025.10.20</t>
  </si>
  <si>
    <t>국두호</t>
  </si>
  <si>
    <t>02-2181-2707</t>
  </si>
  <si>
    <t>2025.12.18</t>
  </si>
  <si>
    <t>2026.01.06</t>
  </si>
  <si>
    <t>17일</t>
  </si>
  <si>
    <t>안연희</t>
  </si>
  <si>
    <t>581115-2523221</t>
  </si>
  <si>
    <t>P0003</t>
  </si>
  <si>
    <t>010-8645-1345</t>
  </si>
  <si>
    <t>2026.04.01.07:00</t>
  </si>
  <si>
    <t>2026.08.23.10:00</t>
  </si>
  <si>
    <t>2026.05.10 16:00</t>
  </si>
  <si>
    <t>우체국 402362-02-144-686 안연희</t>
  </si>
  <si>
    <t>2026.05.11</t>
  </si>
  <si>
    <t>A0008</t>
  </si>
  <si>
    <t>C0018</t>
  </si>
  <si>
    <t>Q0011</t>
  </si>
  <si>
    <t>P0004</t>
  </si>
  <si>
    <t>5월 2차</t>
  </si>
  <si>
    <t>2026.05.20 16:00</t>
  </si>
  <si>
    <t>2026.05.20</t>
  </si>
  <si>
    <t>Q0012</t>
  </si>
  <si>
    <t>고객 변심에 의한 취소</t>
  </si>
  <si>
    <t>엄정현</t>
  </si>
  <si>
    <t>010-8006-2268</t>
  </si>
  <si>
    <t>강원특별자치도</t>
  </si>
  <si>
    <t>최옥녀</t>
  </si>
  <si>
    <t>양양군</t>
  </si>
  <si>
    <t>구룡령로 1103-29</t>
  </si>
  <si>
    <t>591222-2769916</t>
  </si>
  <si>
    <t>010-5180-1529</t>
  </si>
  <si>
    <t>L02525539304</t>
  </si>
  <si>
    <t>2025.10.17</t>
  </si>
  <si>
    <t>2026.04.01 09:00</t>
  </si>
  <si>
    <t>곽주호</t>
  </si>
  <si>
    <t>2026.04.06 12:00</t>
  </si>
  <si>
    <t>042-829-1466</t>
  </si>
  <si>
    <t>2026.01.15</t>
  </si>
  <si>
    <t>A0009</t>
  </si>
  <si>
    <t>C0019</t>
  </si>
  <si>
    <t>P0005</t>
  </si>
  <si>
    <t>5월 3차</t>
  </si>
  <si>
    <t>20일</t>
  </si>
  <si>
    <t>2026.05.31 16:00</t>
  </si>
  <si>
    <t>2026.05.31</t>
  </si>
  <si>
    <t>Q0013</t>
  </si>
  <si>
    <t>6월 1차</t>
  </si>
  <si>
    <t>2026.06.10 16:00</t>
  </si>
  <si>
    <t>엄순희</t>
  </si>
  <si>
    <t>2026.06.10</t>
  </si>
  <si>
    <t>010-5632-0022</t>
  </si>
  <si>
    <t>P0006</t>
  </si>
  <si>
    <t>미래원간병</t>
  </si>
  <si>
    <t>010-8566-9349</t>
  </si>
  <si>
    <t>센터</t>
  </si>
  <si>
    <t>2026.04.06 15:00</t>
  </si>
  <si>
    <t>2026.04.08 15:00</t>
  </si>
  <si>
    <t>카카오뱅크 3333-070958871 (강수자) 협회</t>
  </si>
  <si>
    <t>Q0014</t>
  </si>
  <si>
    <t>A0010</t>
  </si>
  <si>
    <t>C0020</t>
  </si>
  <si>
    <t>6월 2차</t>
  </si>
  <si>
    <t>2026.06.15</t>
  </si>
  <si>
    <t>P0007</t>
  </si>
  <si>
    <t>Q0015</t>
  </si>
  <si>
    <t>2026.04.13 12:00</t>
  </si>
  <si>
    <t>고객 사유로 서비스 대기중(02.02부터 예정)</t>
  </si>
  <si>
    <t>A0011</t>
  </si>
  <si>
    <t>C0021</t>
  </si>
  <si>
    <t>P0008</t>
  </si>
  <si>
    <t>2026.04.14</t>
  </si>
  <si>
    <t>Q0016</t>
  </si>
  <si>
    <t>P0009</t>
  </si>
  <si>
    <t>2026.04.14 12:00</t>
  </si>
  <si>
    <t>A0012</t>
  </si>
  <si>
    <t>C0022</t>
  </si>
  <si>
    <t>2026.04.10 06:40</t>
  </si>
  <si>
    <t>Q0017</t>
  </si>
  <si>
    <t>P0010</t>
  </si>
  <si>
    <t>2026.04.20 06:40</t>
  </si>
  <si>
    <t>박기남</t>
  </si>
  <si>
    <t>010-5193-3507</t>
  </si>
  <si>
    <t>미소간병인협회</t>
  </si>
  <si>
    <t>2026.04.20 15:00</t>
  </si>
  <si>
    <t>Q0018</t>
  </si>
  <si>
    <t>농협 356 1535 7214 13 한봉순(모)
농협 010-5193-3507 박기남</t>
  </si>
  <si>
    <t>A0013</t>
  </si>
  <si>
    <t>C0023</t>
  </si>
  <si>
    <t>C0007</t>
  </si>
  <si>
    <t>고처자</t>
  </si>
  <si>
    <t>010-6490-5503</t>
  </si>
  <si>
    <t>P0013</t>
  </si>
  <si>
    <t>2026.04.30 06:40</t>
  </si>
  <si>
    <t>목포시</t>
  </si>
  <si>
    <t>미정</t>
  </si>
  <si>
    <t>L02544267102</t>
  </si>
  <si>
    <t>2025.10.01</t>
  </si>
  <si>
    <t>이상혁</t>
  </si>
  <si>
    <t>02-2181-2717</t>
  </si>
  <si>
    <t>2025.11.29</t>
  </si>
  <si>
    <t>Q0019</t>
  </si>
  <si>
    <t>2026.01.19</t>
  </si>
  <si>
    <t>입원</t>
  </si>
  <si>
    <t>30일</t>
  </si>
  <si>
    <t>2026.04.24 10:00</t>
  </si>
  <si>
    <t>A0014</t>
  </si>
  <si>
    <t>C0024</t>
  </si>
  <si>
    <t>2026.05.10 06:40</t>
  </si>
  <si>
    <t>Q0020</t>
  </si>
  <si>
    <t>2026.04.24 11:00</t>
  </si>
  <si>
    <t>2026.05.06 14:00</t>
  </si>
  <si>
    <t>농협 351 0502 1085 43 박기남</t>
  </si>
  <si>
    <t>A0015</t>
  </si>
  <si>
    <t>C0025</t>
  </si>
  <si>
    <t>P0014</t>
  </si>
  <si>
    <t>단가 문제로 매칭 실패</t>
  </si>
  <si>
    <t>류미선</t>
  </si>
  <si>
    <t>010-8805-5669</t>
  </si>
  <si>
    <t>대전광역시</t>
  </si>
  <si>
    <t>중구</t>
  </si>
  <si>
    <t>대증로 594길 51 101동 305호</t>
  </si>
  <si>
    <t>L02544617364</t>
  </si>
  <si>
    <t>2026.05.20 06:40</t>
  </si>
  <si>
    <t>2025.10.02</t>
  </si>
  <si>
    <t>2601B77640</t>
  </si>
  <si>
    <t>이선연</t>
  </si>
  <si>
    <t>02-2181-2713</t>
  </si>
  <si>
    <t>0507-770-6602</t>
  </si>
  <si>
    <t>2026.01.11</t>
  </si>
  <si>
    <t>2026.01.22</t>
  </si>
  <si>
    <t>Q0021</t>
  </si>
  <si>
    <t>2026.05.12 14:00</t>
  </si>
  <si>
    <t>A0016</t>
  </si>
  <si>
    <t>C0026</t>
  </si>
  <si>
    <t>P0015</t>
  </si>
  <si>
    <t>2026.04.29 서비스제공내역서 발송</t>
  </si>
  <si>
    <t>C0009</t>
  </si>
  <si>
    <t>이윤진</t>
  </si>
  <si>
    <t>2026.05.31 06:40</t>
  </si>
  <si>
    <t>010-7380-3605</t>
  </si>
  <si>
    <t>윤진경</t>
  </si>
  <si>
    <t>010-8294-6155</t>
  </si>
  <si>
    <t>금천구</t>
  </si>
  <si>
    <t>시흥대로 76길 10 501호</t>
  </si>
  <si>
    <t>미소간병 대구</t>
  </si>
  <si>
    <t>L02547523447</t>
  </si>
  <si>
    <t>P0016</t>
  </si>
  <si>
    <t>2601B77874</t>
  </si>
  <si>
    <t>2026.05.16 14:00</t>
  </si>
  <si>
    <t>이동석</t>
  </si>
  <si>
    <t>농협 김강희 351 0845 1336 53</t>
  </si>
  <si>
    <t>042-829-1415</t>
  </si>
  <si>
    <t>Q0022</t>
  </si>
  <si>
    <t>A0017</t>
  </si>
  <si>
    <t>2025.12.02</t>
  </si>
  <si>
    <t>C0027</t>
  </si>
  <si>
    <t>2026.04.10 08:00</t>
  </si>
  <si>
    <t>추정(기본142,000)</t>
  </si>
  <si>
    <t>이혜숙</t>
  </si>
  <si>
    <t>010-5195-1954</t>
  </si>
  <si>
    <t>P0017</t>
  </si>
  <si>
    <t>8월 25일 황상하 손해사정인 통화-&gt; 6월 8일 마지막 청구일 확인-&gt; 정리하고 연락주겠다고 함</t>
  </si>
  <si>
    <t>2026.03.31.12:00</t>
  </si>
  <si>
    <t>2026.04.10 12:00</t>
  </si>
  <si>
    <t>이혜숙.우리은행.1002.429.595707</t>
  </si>
  <si>
    <t>A0018</t>
  </si>
  <si>
    <t>C0028</t>
  </si>
  <si>
    <t>Q0023</t>
  </si>
  <si>
    <t>P0018</t>
  </si>
  <si>
    <t>김미영</t>
  </si>
  <si>
    <t>010-4590-1016</t>
  </si>
  <si>
    <t>경기도</t>
  </si>
  <si>
    <t>강남구</t>
  </si>
  <si>
    <t>강남세브란스병원</t>
  </si>
  <si>
    <t>L02550315334</t>
  </si>
  <si>
    <t>2025.11.14</t>
  </si>
  <si>
    <t>조다혜</t>
  </si>
  <si>
    <t>02-2181-2711</t>
  </si>
  <si>
    <t>2026.03.25</t>
  </si>
  <si>
    <t>2026.03.20</t>
  </si>
  <si>
    <t>3일</t>
  </si>
  <si>
    <t>2026.05.20 14:00</t>
  </si>
  <si>
    <t>2026.04.20 08:00</t>
  </si>
  <si>
    <t>A0019</t>
  </si>
  <si>
    <t>C0029</t>
  </si>
  <si>
    <t>Q0024</t>
  </si>
  <si>
    <t>P0019</t>
  </si>
  <si>
    <t>2026.04.30 08:00</t>
  </si>
  <si>
    <t>Q0025</t>
  </si>
  <si>
    <t>퇴원 후 재택까지 연결 필요</t>
  </si>
  <si>
    <t>P0020</t>
  </si>
  <si>
    <t>성남시</t>
  </si>
  <si>
    <t>중원구 은행동 1705 청호빌라 301호</t>
  </si>
  <si>
    <t>2026.05.10 08:00</t>
  </si>
  <si>
    <t>2026.05.20 12:00</t>
  </si>
  <si>
    <t>2026.05.26 13:00</t>
  </si>
  <si>
    <t>A0020</t>
  </si>
  <si>
    <t>C0030</t>
  </si>
  <si>
    <t>Q0026</t>
  </si>
  <si>
    <t>P0021</t>
  </si>
  <si>
    <t>2026.05.20 08:00</t>
  </si>
  <si>
    <t>성정주</t>
  </si>
  <si>
    <t>010-9111-7027</t>
  </si>
  <si>
    <t>강서구</t>
  </si>
  <si>
    <t>큰나무병원</t>
  </si>
  <si>
    <t>Q0027</t>
  </si>
  <si>
    <t>P0022</t>
  </si>
  <si>
    <t>L02214738666</t>
  </si>
  <si>
    <t>최지혜
인나현</t>
  </si>
  <si>
    <t>051-602-5757
02-2181-2369</t>
  </si>
  <si>
    <t>2025.09.13</t>
  </si>
  <si>
    <t>1달</t>
  </si>
  <si>
    <t>미소간병 포항</t>
  </si>
  <si>
    <t>2026.06.02 13:00</t>
  </si>
  <si>
    <t>A0021</t>
  </si>
  <si>
    <t>C0031</t>
  </si>
  <si>
    <t>P0023</t>
  </si>
  <si>
    <t>2026.05.31 08:00</t>
  </si>
  <si>
    <t>Q0028</t>
  </si>
  <si>
    <t>2026.06.10 기준 65일 잔여한도 (08.13일 완료일</t>
  </si>
  <si>
    <t>P0024</t>
  </si>
  <si>
    <t>김순년</t>
  </si>
  <si>
    <t>010-6474-0035</t>
  </si>
  <si>
    <t>대전보람요양병원</t>
  </si>
  <si>
    <t>L02209995449</t>
  </si>
  <si>
    <t>조윤</t>
  </si>
  <si>
    <t>02-2181-2587</t>
  </si>
  <si>
    <t>2026.06.16 17:00</t>
  </si>
  <si>
    <t>2025.11.22</t>
  </si>
  <si>
    <t>A0022</t>
  </si>
  <si>
    <t>C0032</t>
  </si>
  <si>
    <t>4개월</t>
  </si>
  <si>
    <t>2026.06.08</t>
  </si>
  <si>
    <t>8월31일 황상하 재통화-&gt; 회사 변경(케어닥-&gt; 리본케어)으로 시간 소요됨, 곧 정리해서 입금 할 예정
09.16 재통화 : 금주중으로 처리 예정</t>
  </si>
  <si>
    <t>Q0029</t>
  </si>
  <si>
    <t>P0025</t>
  </si>
  <si>
    <t>박지우</t>
  </si>
  <si>
    <t>010-9675-3923</t>
  </si>
  <si>
    <t>2026.06.19 17:00</t>
  </si>
  <si>
    <t>2026.04.10 07:00</t>
  </si>
  <si>
    <t>A0023</t>
  </si>
  <si>
    <t>C0033</t>
  </si>
  <si>
    <t>Q0030</t>
  </si>
  <si>
    <t>P0029</t>
  </si>
  <si>
    <t>퇴원</t>
  </si>
  <si>
    <t>차정옥</t>
  </si>
  <si>
    <t>010-7574-1088</t>
  </si>
  <si>
    <t>전북특별자치도</t>
  </si>
  <si>
    <t>전주시</t>
  </si>
  <si>
    <t>더세움병원</t>
  </si>
  <si>
    <t>L02151679013</t>
  </si>
  <si>
    <t>임동기</t>
  </si>
  <si>
    <t>042-829-1485</t>
  </si>
  <si>
    <t>2025.12.01</t>
  </si>
  <si>
    <t>2026.04.20 07:00</t>
  </si>
  <si>
    <t>2026.06.20 10:00</t>
  </si>
  <si>
    <t>P0030</t>
  </si>
  <si>
    <t>2026.07.14 12:00</t>
  </si>
  <si>
    <t>A0024</t>
  </si>
  <si>
    <t>Q0031</t>
  </si>
  <si>
    <t>C0034</t>
  </si>
  <si>
    <t>P0031</t>
  </si>
  <si>
    <t>2026.04.30 07:00</t>
  </si>
  <si>
    <t>Q0032</t>
  </si>
  <si>
    <t>2026.07.28 12:00</t>
  </si>
  <si>
    <t>A0025</t>
  </si>
  <si>
    <t>C0035</t>
  </si>
  <si>
    <t>이춘자</t>
  </si>
  <si>
    <t>010-2755-8701</t>
  </si>
  <si>
    <t>군산시</t>
  </si>
  <si>
    <t>참사랑요양병원</t>
  </si>
  <si>
    <t>P0032</t>
  </si>
  <si>
    <t>L02236920806</t>
  </si>
  <si>
    <t>황상하</t>
  </si>
  <si>
    <t>042-829-1490</t>
  </si>
  <si>
    <t>2026.05.10 07:00</t>
  </si>
  <si>
    <t>2025.12.09</t>
  </si>
  <si>
    <t>장기예상</t>
  </si>
  <si>
    <t>Q0033</t>
  </si>
  <si>
    <t>2026.08.03 12:00</t>
  </si>
  <si>
    <t>A0026</t>
  </si>
  <si>
    <t>C0036</t>
  </si>
  <si>
    <t>P0033</t>
  </si>
  <si>
    <t>2026.05.20 07:00</t>
  </si>
  <si>
    <t>김경한</t>
  </si>
  <si>
    <t>010-6901-7085</t>
  </si>
  <si>
    <t>2026.08.06 13:00</t>
  </si>
  <si>
    <t>기업은행 1510-7551-2010-11  김경한</t>
  </si>
  <si>
    <t>A0027</t>
  </si>
  <si>
    <t>Q0034</t>
  </si>
  <si>
    <t>C0037</t>
  </si>
  <si>
    <t>P0034</t>
  </si>
  <si>
    <t>기존 진행</t>
  </si>
  <si>
    <t>C0016</t>
  </si>
  <si>
    <t>이정옥</t>
  </si>
  <si>
    <t>010-3652-3111</t>
  </si>
  <si>
    <t>화성시</t>
  </si>
  <si>
    <t>화성한방병원</t>
  </si>
  <si>
    <t>L02142718057</t>
  </si>
  <si>
    <t>목승신</t>
  </si>
  <si>
    <t>02-2181-2508</t>
  </si>
  <si>
    <t>2026.02.13</t>
  </si>
  <si>
    <t>유순복</t>
  </si>
  <si>
    <t>660406-6760299</t>
  </si>
  <si>
    <t>010-8332-7116</t>
  </si>
  <si>
    <t>2026.05.31 07:00</t>
  </si>
  <si>
    <t>2026.04.10 17:00</t>
  </si>
  <si>
    <t>2026.05.11 11:00</t>
  </si>
  <si>
    <t>농협 356 0545 9289 63 YU SHUNFU</t>
  </si>
  <si>
    <t>A0028</t>
  </si>
  <si>
    <t>C0038</t>
  </si>
  <si>
    <t>Q0035</t>
  </si>
  <si>
    <t>P0035</t>
  </si>
  <si>
    <t>2026.06.10 07:00</t>
  </si>
  <si>
    <t>Q0036</t>
  </si>
  <si>
    <t>서은진</t>
  </si>
  <si>
    <t>510108-2822511</t>
  </si>
  <si>
    <t>010-8689-2929</t>
  </si>
  <si>
    <t>창조</t>
  </si>
  <si>
    <t>010-3568-1059</t>
  </si>
  <si>
    <t>2026.05.14 12:00</t>
  </si>
  <si>
    <t xml:space="preserve"> 농협302-0566-701181 서은진</t>
  </si>
  <si>
    <t xml:space="preserve">심윤주 </t>
  </si>
  <si>
    <t>A0029</t>
  </si>
  <si>
    <t>C0039</t>
  </si>
  <si>
    <t>010-4632-2336</t>
  </si>
  <si>
    <t>익산시</t>
  </si>
  <si>
    <t>엔젤요양병원</t>
  </si>
  <si>
    <t>P0036</t>
  </si>
  <si>
    <t>L02113980640</t>
  </si>
  <si>
    <t>김경희</t>
  </si>
  <si>
    <t>02-2181-2714
02-2181-2563</t>
  </si>
  <si>
    <t>문나영</t>
  </si>
  <si>
    <t>051-602-5750</t>
  </si>
  <si>
    <t>2026.02.21</t>
  </si>
  <si>
    <t>2026.06.20 07:00</t>
  </si>
  <si>
    <t>정옥화</t>
  </si>
  <si>
    <t>2026.06.20</t>
  </si>
  <si>
    <t>010-5203-8991</t>
  </si>
  <si>
    <t>스마일간병협회</t>
  </si>
  <si>
    <t>2026.05.13 12:00</t>
  </si>
  <si>
    <t>2026.06.19:10:00</t>
  </si>
  <si>
    <t>1개월분씩 정산 요청 /카카오뱅크 3333 34 4632 984 (이순련) 협회</t>
  </si>
  <si>
    <t>A0030</t>
  </si>
  <si>
    <t>C0040</t>
  </si>
  <si>
    <t>Q0037</t>
  </si>
  <si>
    <t>P0037</t>
  </si>
  <si>
    <t>6월 3차</t>
  </si>
  <si>
    <t>2026.06.30 07:00</t>
  </si>
  <si>
    <t>2026.06.30</t>
  </si>
  <si>
    <t>2026.06.10 기준 100일 잔여한도 (09.18일 완료일/8월23일 간병끝남 /824일과25일청구완료</t>
  </si>
  <si>
    <t>Q0038</t>
  </si>
  <si>
    <t>김진선</t>
  </si>
  <si>
    <t>010-8203-4022</t>
  </si>
  <si>
    <t>경상북도</t>
  </si>
  <si>
    <t>포함시</t>
  </si>
  <si>
    <t>우리연합병원</t>
  </si>
  <si>
    <t>L02200229540</t>
  </si>
  <si>
    <t>P0038</t>
  </si>
  <si>
    <t>허지승</t>
  </si>
  <si>
    <t>051-602-5726</t>
  </si>
  <si>
    <t>송미령</t>
  </si>
  <si>
    <t>2026.03.14</t>
  </si>
  <si>
    <t>2주</t>
  </si>
  <si>
    <t>010-6310-3030</t>
  </si>
  <si>
    <t>창원진심간병협회</t>
  </si>
  <si>
    <t>010-8551-2418</t>
  </si>
  <si>
    <t>2026.06.19 14:00</t>
  </si>
  <si>
    <t>2026.07.27 12:00</t>
  </si>
  <si>
    <t>농협 349-12-144055 김미숙(창원진심)</t>
  </si>
  <si>
    <t>A0031</t>
  </si>
  <si>
    <t>C0041</t>
  </si>
  <si>
    <t>7월 1차</t>
  </si>
  <si>
    <t>2026.07.10 07:00</t>
  </si>
  <si>
    <t>P0039</t>
  </si>
  <si>
    <t>2026.07.10</t>
  </si>
  <si>
    <t>확인중</t>
  </si>
  <si>
    <t xml:space="preserve"> 6월30일 부터 7월 10일 건은 케어닥으로 입금 오늘 처리 완료후 문자 확인하기로함 
09.18 : 케어닥에서 아직 미처리 상태, 확인 후 회신</t>
  </si>
  <si>
    <t>Q0039</t>
  </si>
  <si>
    <t>신규 채용</t>
  </si>
  <si>
    <t xml:space="preserve"> 대구광역시</t>
  </si>
  <si>
    <t>남구</t>
  </si>
  <si>
    <t>대구가톨릭병원</t>
  </si>
  <si>
    <t>2026.07.20 07:00</t>
  </si>
  <si>
    <t>P0040</t>
  </si>
  <si>
    <t>이영희</t>
  </si>
  <si>
    <t>481219-2403224</t>
  </si>
  <si>
    <t>010-7233-9940</t>
  </si>
  <si>
    <t>2026.05.01 11:00</t>
  </si>
  <si>
    <t>농협 483013-52-074105</t>
  </si>
  <si>
    <t>A0032</t>
  </si>
  <si>
    <t>C0042</t>
  </si>
  <si>
    <t>2026.07.31 07:00</t>
  </si>
  <si>
    <t>P0041</t>
  </si>
  <si>
    <t xml:space="preserve">입금확인 </t>
  </si>
  <si>
    <t xml:space="preserve"> 8월 25일 김민정 손해사정인 통화-&gt; 확인 후 연락하겠다고 함</t>
  </si>
  <si>
    <t>Q0040</t>
  </si>
  <si>
    <t>주예순</t>
  </si>
  <si>
    <t>전인병원</t>
  </si>
  <si>
    <t>1956년생</t>
  </si>
  <si>
    <t>010-6879-7789</t>
  </si>
  <si>
    <t>햇살간병</t>
  </si>
  <si>
    <t>8월 1차</t>
  </si>
  <si>
    <t>2026.08.10 07:00</t>
  </si>
  <si>
    <t>2026.05.18 13:00</t>
  </si>
  <si>
    <t xml:space="preserve">농협조명임 356.1196.2339.63 </t>
  </si>
  <si>
    <t>A0033</t>
  </si>
  <si>
    <t>P0042</t>
  </si>
  <si>
    <t>C0043</t>
  </si>
  <si>
    <t>2026.07.31</t>
  </si>
  <si>
    <t xml:space="preserve"> 8월 10일 1360000 입금 14일 우리은행 확인 완료 </t>
  </si>
  <si>
    <t>Q0041</t>
  </si>
  <si>
    <t>P0045</t>
  </si>
  <si>
    <t>이옥선</t>
  </si>
  <si>
    <t>010-5751-7299</t>
  </si>
  <si>
    <t>인덕간병센터</t>
  </si>
  <si>
    <t>010-8538-4153</t>
  </si>
  <si>
    <t>2026.03.31 14:00</t>
  </si>
  <si>
    <t>2026.04.29 12:00</t>
  </si>
  <si>
    <t>신한 110 295 174270 이나경(인덕소장)</t>
  </si>
  <si>
    <t>A0034</t>
  </si>
  <si>
    <t>C0044</t>
  </si>
  <si>
    <t>2026.04.12 15:00</t>
  </si>
  <si>
    <t>카톨릭대학교 병원</t>
  </si>
  <si>
    <t>P0050</t>
  </si>
  <si>
    <t>2026.08.10</t>
  </si>
  <si>
    <t>이경순</t>
  </si>
  <si>
    <t>630828-2222211</t>
  </si>
  <si>
    <t>010-7587-8295</t>
  </si>
  <si>
    <t>Q0042</t>
  </si>
  <si>
    <t>2026.04.01 19:30</t>
  </si>
  <si>
    <t>A0035</t>
  </si>
  <si>
    <t>C0045</t>
  </si>
  <si>
    <t>P0052</t>
  </si>
  <si>
    <t>김향자</t>
  </si>
  <si>
    <t>590105-6101193</t>
  </si>
  <si>
    <t>010-5199-1378</t>
  </si>
  <si>
    <t>2026.04.02. 15:30</t>
  </si>
  <si>
    <t>2026.04.09 16:00</t>
  </si>
  <si>
    <t>하나 126 910362 00707 Jin XIANZI</t>
  </si>
  <si>
    <t>2026.04.15</t>
  </si>
  <si>
    <t>A0036</t>
  </si>
  <si>
    <t>C0046</t>
  </si>
  <si>
    <t>Q0043</t>
  </si>
  <si>
    <t>2026.05.05 11:00</t>
  </si>
  <si>
    <t>P0055</t>
  </si>
  <si>
    <t>양미옥</t>
  </si>
  <si>
    <t>010-2022-8689</t>
  </si>
  <si>
    <t>010-5676-2577</t>
  </si>
  <si>
    <t>개인(센터경유)</t>
  </si>
  <si>
    <t>2026.04.06 19:00</t>
  </si>
  <si>
    <t>조명임</t>
  </si>
  <si>
    <t>A0037</t>
  </si>
  <si>
    <t>C0047</t>
  </si>
  <si>
    <t>Q0044</t>
  </si>
  <si>
    <t>최정은</t>
  </si>
  <si>
    <t>630625-2580412</t>
  </si>
  <si>
    <t>010-8458-3971</t>
  </si>
  <si>
    <t>한마음간병협회</t>
  </si>
  <si>
    <t>010-4661-4435</t>
  </si>
  <si>
    <t>2026.03.23 13:00</t>
  </si>
  <si>
    <t>2026.04.03 12:00</t>
  </si>
  <si>
    <t>A0038</t>
  </si>
  <si>
    <t>C0048</t>
  </si>
  <si>
    <t>2026.04.30 11:00</t>
  </si>
  <si>
    <t>P0056</t>
  </si>
  <si>
    <t>2026.04.19 15:00</t>
  </si>
  <si>
    <t>Q0045</t>
  </si>
  <si>
    <t>강은선</t>
  </si>
  <si>
    <t>630526-2630315</t>
  </si>
  <si>
    <t>010-9610-5173</t>
  </si>
  <si>
    <t>A0039</t>
  </si>
  <si>
    <t>C0050</t>
  </si>
  <si>
    <t>2026.05.20 15:00</t>
  </si>
  <si>
    <t>2026.06.09</t>
  </si>
  <si>
    <t>Q0046</t>
  </si>
  <si>
    <t>2026.05.10 11:00</t>
  </si>
  <si>
    <t>P0058</t>
  </si>
  <si>
    <t>김학수</t>
  </si>
  <si>
    <t>010-9988-8526</t>
  </si>
  <si>
    <t>010-6586-4312</t>
  </si>
  <si>
    <t>협회</t>
  </si>
  <si>
    <t>2026.04.01.17:00</t>
  </si>
  <si>
    <t>2026.04.17 12:00</t>
  </si>
  <si>
    <t>카카오뱅크 3333 34 4632 984 (이순련) 협회</t>
  </si>
  <si>
    <t>2026.04.24 15:00</t>
  </si>
  <si>
    <t>A0040</t>
  </si>
  <si>
    <t>C0051</t>
  </si>
  <si>
    <t>Q0047</t>
  </si>
  <si>
    <t>P0060</t>
  </si>
  <si>
    <t>2026.04.30 15:00</t>
  </si>
  <si>
    <t>Q0048</t>
  </si>
  <si>
    <t>배호숙</t>
  </si>
  <si>
    <t>010-4680-9423</t>
  </si>
  <si>
    <t>김해조은간병</t>
  </si>
  <si>
    <t>010-6291-0470</t>
  </si>
  <si>
    <t>수협 2020 5161 8503</t>
  </si>
  <si>
    <t>A0041</t>
  </si>
  <si>
    <t>C0052</t>
  </si>
  <si>
    <t>Q0049</t>
  </si>
  <si>
    <t>P0062</t>
  </si>
  <si>
    <t>어윤옥</t>
  </si>
  <si>
    <t>010-5805-3710</t>
  </si>
  <si>
    <t>2026.03.25 14:00</t>
  </si>
  <si>
    <t>2026.04.08 14:00</t>
  </si>
  <si>
    <t>국민은행 506211174726 어윤옥</t>
  </si>
  <si>
    <t>A0042</t>
  </si>
  <si>
    <t>C0053</t>
  </si>
  <si>
    <t>2026.04.10.20:00</t>
  </si>
  <si>
    <t>Q0050</t>
  </si>
  <si>
    <t>김기숙</t>
  </si>
  <si>
    <t>010-7470-0783</t>
  </si>
  <si>
    <t>2026.04.14 14:00</t>
  </si>
  <si>
    <t>전북은행 521-22-0328202 김기숙</t>
  </si>
  <si>
    <t>A0043</t>
  </si>
  <si>
    <t>C0054</t>
  </si>
  <si>
    <t>2026.04.10 20:00</t>
  </si>
  <si>
    <t>P0065</t>
  </si>
  <si>
    <t>2025.05.20 15:00</t>
  </si>
  <si>
    <t>2026.05.28</t>
  </si>
  <si>
    <t>권영술</t>
  </si>
  <si>
    <t>010-3870-8864</t>
  </si>
  <si>
    <t>Q0051</t>
  </si>
  <si>
    <t>충청남도</t>
  </si>
  <si>
    <t>천안시</t>
  </si>
  <si>
    <t>천안단국대학교병원</t>
  </si>
  <si>
    <t>L02200115556</t>
  </si>
  <si>
    <t>이성규</t>
  </si>
  <si>
    <t>062-602-3957</t>
  </si>
  <si>
    <t>이영숙</t>
  </si>
  <si>
    <t>010-5676-2072</t>
  </si>
  <si>
    <t>2026.04.14 15:00</t>
  </si>
  <si>
    <t>카카오뱅크 3333207597700 최자연(따님)</t>
  </si>
  <si>
    <t>A0044</t>
  </si>
  <si>
    <t>C0055</t>
  </si>
  <si>
    <t>Q0052</t>
  </si>
  <si>
    <t>P0067</t>
  </si>
  <si>
    <t>2026.05.01 09:30</t>
  </si>
  <si>
    <t>2026.05.16 13:30</t>
  </si>
  <si>
    <t>A0045</t>
  </si>
  <si>
    <t>C0056</t>
  </si>
  <si>
    <t>4월6/5일지급. 4월12일6일지급/1건더청구건과 불일치 /대신 4월19일8건 지급 청구는 7일 하여 일치청구됨을 확인함,</t>
  </si>
  <si>
    <t>Q0053</t>
  </si>
  <si>
    <t>2026.05.31 12:00</t>
  </si>
  <si>
    <t>P0068</t>
  </si>
  <si>
    <t>2026.05.18 10:00</t>
  </si>
  <si>
    <t>2026.06.02 14:00</t>
  </si>
  <si>
    <t>A0046</t>
  </si>
  <si>
    <t>C0057</t>
  </si>
  <si>
    <t>2026.06.10 12:00</t>
  </si>
  <si>
    <t>P0069</t>
  </si>
  <si>
    <t>Q0054</t>
  </si>
  <si>
    <t>2026.06.04 10:00</t>
  </si>
  <si>
    <t>2026.06.10 13:00</t>
  </si>
  <si>
    <t>2026.06.19 10:00</t>
  </si>
  <si>
    <t>A0047</t>
  </si>
  <si>
    <t>C0058</t>
  </si>
  <si>
    <t>Q0055</t>
  </si>
  <si>
    <t>P0070</t>
  </si>
  <si>
    <t>2026.06.15 15:00</t>
  </si>
  <si>
    <t>2026.06.16</t>
  </si>
  <si>
    <t>강민혜</t>
  </si>
  <si>
    <t>010-8667-3968</t>
  </si>
  <si>
    <t>2026.04.02.08:00</t>
  </si>
  <si>
    <t>2026.04.10 18:30</t>
  </si>
  <si>
    <t>Q0056</t>
  </si>
  <si>
    <t>1021-01-9271833 전북은행 윤준호</t>
  </si>
  <si>
    <t>A0048</t>
  </si>
  <si>
    <t>C0059</t>
  </si>
  <si>
    <t>정상종료건 / 총 지급일/청구일 비교 필요</t>
  </si>
  <si>
    <t>2026.06.19 15:00</t>
  </si>
  <si>
    <t>2026.06.19</t>
  </si>
  <si>
    <t>정재희</t>
  </si>
  <si>
    <t>P0071</t>
  </si>
  <si>
    <t>01085028192</t>
  </si>
  <si>
    <t>현대간병인협회</t>
  </si>
  <si>
    <t>010-5551-6917</t>
  </si>
  <si>
    <t>2026.02.13 10:00</t>
  </si>
  <si>
    <t>Q0057</t>
  </si>
  <si>
    <t>2026.04.16 15:00</t>
  </si>
  <si>
    <t>농협은행 3522038166393 정재희</t>
  </si>
  <si>
    <t>A0049</t>
  </si>
  <si>
    <t>C0060</t>
  </si>
  <si>
    <t>042-602-7053</t>
  </si>
  <si>
    <t>2026.06.30 10:00</t>
  </si>
  <si>
    <t>Q0058</t>
  </si>
  <si>
    <t>최승순</t>
  </si>
  <si>
    <t>010-2000-1400</t>
  </si>
  <si>
    <t>참좋은간병</t>
  </si>
  <si>
    <t>010-7144-0028</t>
  </si>
  <si>
    <t>2026.04.01 20:00</t>
  </si>
  <si>
    <t>2026.04.16 14:00</t>
  </si>
  <si>
    <t>신한은행 110223593266 (김금순)</t>
  </si>
  <si>
    <t>A0050</t>
  </si>
  <si>
    <t>C0061</t>
  </si>
  <si>
    <t>P0072</t>
  </si>
  <si>
    <t>2026.07.10 10:00</t>
  </si>
  <si>
    <t>이서야</t>
  </si>
  <si>
    <t>010-5800-7881</t>
  </si>
  <si>
    <t>동그라미간병센터</t>
  </si>
  <si>
    <t>010-7525-3650</t>
  </si>
  <si>
    <t>8월 25일 이규섭 손해사정인 확인 -&gt; 7월1일~8월6일 간병비 확인 후 입금하기로 함</t>
  </si>
  <si>
    <t>2026.04.02 18:00</t>
  </si>
  <si>
    <t>Q0059</t>
  </si>
  <si>
    <t>국민은행 295401-01-067155</t>
  </si>
  <si>
    <t>A0051</t>
  </si>
  <si>
    <t>C0062</t>
  </si>
  <si>
    <t>P0073</t>
  </si>
  <si>
    <t>-</t>
  </si>
  <si>
    <t>2025.04.08</t>
  </si>
  <si>
    <t>해당없음</t>
  </si>
  <si>
    <t>A0052</t>
  </si>
  <si>
    <t>2026.07.14 10:00</t>
  </si>
  <si>
    <t>C0063</t>
  </si>
  <si>
    <t>2026.07.14</t>
  </si>
  <si>
    <t>Q0060</t>
  </si>
  <si>
    <t>2026.07.20 10:00</t>
  </si>
  <si>
    <t>P0074</t>
  </si>
  <si>
    <t>유효례</t>
  </si>
  <si>
    <t>010-3624-7386</t>
  </si>
  <si>
    <t>믿음간병</t>
  </si>
  <si>
    <t>010-6619-6019</t>
  </si>
  <si>
    <t>2026.04.05 18:00</t>
  </si>
  <si>
    <t>2026.04.09 18:00</t>
  </si>
  <si>
    <t>광주은행 019-121-698530 박서혜</t>
  </si>
  <si>
    <t>A0053</t>
  </si>
  <si>
    <t>C0064</t>
  </si>
  <si>
    <t>Q0061</t>
  </si>
  <si>
    <t>010-2636-9772</t>
  </si>
  <si>
    <t>2026.07.31 10:00</t>
  </si>
  <si>
    <t>2026.04.10 15:00</t>
  </si>
  <si>
    <t>A0054</t>
  </si>
  <si>
    <t>C0065</t>
  </si>
  <si>
    <t>P0075</t>
  </si>
  <si>
    <t>2026.07.28 10:00</t>
  </si>
  <si>
    <t>2026.07.28</t>
  </si>
  <si>
    <t>Q0062</t>
  </si>
  <si>
    <t>오혜숙</t>
  </si>
  <si>
    <t>010-2526-5542</t>
  </si>
  <si>
    <t>2026.04.22 15:00</t>
  </si>
  <si>
    <t>A0055</t>
  </si>
  <si>
    <t>C0066</t>
  </si>
  <si>
    <t>2026.08.03 10:00</t>
  </si>
  <si>
    <t>2026.08.03</t>
  </si>
  <si>
    <t>Q0063</t>
  </si>
  <si>
    <t>P0076</t>
  </si>
  <si>
    <t>A0056</t>
  </si>
  <si>
    <t>C0067</t>
  </si>
  <si>
    <t>2026.08.06</t>
  </si>
  <si>
    <t>8월31일 이규섭 통화-&gt; 6월9일(5/6~5/20) 2,016,706원, 7월1일(5/21~6/30) 5,904,000원, 8월25일(7/1~8/6) 5,328,000원 입금 확인</t>
  </si>
  <si>
    <t>Q0064</t>
  </si>
  <si>
    <t>P0077</t>
  </si>
  <si>
    <t>2026.04.29 11:00</t>
  </si>
  <si>
    <t>A0057</t>
  </si>
  <si>
    <t>C0068</t>
  </si>
  <si>
    <t>2026.04.20 20:00</t>
  </si>
  <si>
    <t>Q0065</t>
  </si>
  <si>
    <t>서향숙</t>
  </si>
  <si>
    <t>010-5886-3972</t>
  </si>
  <si>
    <t>2026.05.09 10:00</t>
  </si>
  <si>
    <t>농협 서향숙 302 6422 3972 01</t>
  </si>
  <si>
    <t>A0058</t>
  </si>
  <si>
    <t>C0069</t>
  </si>
  <si>
    <t>2026.04.20 17:00</t>
  </si>
  <si>
    <t>P0078</t>
  </si>
  <si>
    <t>2026.04.30 20:00</t>
  </si>
  <si>
    <t>Q0066</t>
  </si>
  <si>
    <t>문홍자</t>
  </si>
  <si>
    <t>010-3011-0736</t>
  </si>
  <si>
    <t>2026.04.07</t>
  </si>
  <si>
    <t>2026.04.11</t>
  </si>
  <si>
    <t>A0060</t>
  </si>
  <si>
    <t>C0071</t>
  </si>
  <si>
    <t>이규섭</t>
  </si>
  <si>
    <t>0507-770-5744</t>
  </si>
  <si>
    <t>2026.04.30 17:00</t>
  </si>
  <si>
    <t>P0079</t>
  </si>
  <si>
    <t>Q0067</t>
  </si>
  <si>
    <t>최명자</t>
  </si>
  <si>
    <t>010-7200-9458</t>
  </si>
  <si>
    <t>2026.04.02.18:30</t>
  </si>
  <si>
    <t>2026.04.09 19:00</t>
  </si>
  <si>
    <t>하나은행 584 910325 20507</t>
  </si>
  <si>
    <t>A0061</t>
  </si>
  <si>
    <t>C0072</t>
  </si>
  <si>
    <t>P0081</t>
  </si>
  <si>
    <t>Q0068</t>
  </si>
  <si>
    <t>전호철</t>
  </si>
  <si>
    <t>591007-5200290</t>
  </si>
  <si>
    <t>010-6224-1888</t>
  </si>
  <si>
    <t>2026.04.16 17:00</t>
  </si>
  <si>
    <t>우리은행 1002-659-507651 QUAN HUZ</t>
  </si>
  <si>
    <t>A0062</t>
  </si>
  <si>
    <t>C0073</t>
  </si>
  <si>
    <t>2026.04.20 12:00</t>
  </si>
  <si>
    <t>P0082</t>
  </si>
  <si>
    <t>Q0069</t>
  </si>
  <si>
    <t>조일용</t>
  </si>
  <si>
    <t>010-8873-1959</t>
  </si>
  <si>
    <t>2026.05.04 15:00</t>
  </si>
  <si>
    <t>농협 조명임 356.1196.2339.63</t>
  </si>
  <si>
    <t>P0083</t>
  </si>
  <si>
    <t>A0063</t>
  </si>
  <si>
    <t>C0074</t>
  </si>
  <si>
    <t>2026.04.30 12:00</t>
  </si>
  <si>
    <t>Q0070</t>
  </si>
  <si>
    <t>P0084</t>
  </si>
  <si>
    <t>포항시</t>
  </si>
  <si>
    <t>선린병원</t>
  </si>
  <si>
    <t>2026.05.10 12:00</t>
  </si>
  <si>
    <t>김련순</t>
  </si>
  <si>
    <t xml:space="preserve">010-8291-9699 </t>
  </si>
  <si>
    <t>010-5676-2578</t>
  </si>
  <si>
    <t>2026.05.22 11:00</t>
  </si>
  <si>
    <t>Q0071</t>
  </si>
  <si>
    <t>A0064</t>
  </si>
  <si>
    <t>C0075</t>
  </si>
  <si>
    <t>P0087</t>
  </si>
  <si>
    <t>2025.05.13 12:00</t>
  </si>
  <si>
    <t>2026.05.27</t>
  </si>
  <si>
    <t>Q0072</t>
  </si>
  <si>
    <t>2026.06.13 12:00</t>
  </si>
  <si>
    <t>P0088</t>
  </si>
  <si>
    <t>장인덕</t>
  </si>
  <si>
    <t>010-8291-1209</t>
  </si>
  <si>
    <t>2026.04.03 10:00</t>
  </si>
  <si>
    <t>2026.04.06 10:00</t>
  </si>
  <si>
    <t>부산은행 032-12-050741-3 장인덕</t>
  </si>
  <si>
    <t>A0065</t>
  </si>
  <si>
    <t>C0076</t>
  </si>
  <si>
    <t>2025.05.20 12:00</t>
  </si>
  <si>
    <t>실제 보험 청구일-&gt; 4월15일 4월22일 4월30일 5월11일 5월27일 5월27일 5월29일 6월9일 6월29일 7월10일 7월20일-&gt; 확인 필요</t>
  </si>
  <si>
    <t>Q0073</t>
  </si>
  <si>
    <t>허윤정</t>
  </si>
  <si>
    <t>010-5634-9234</t>
  </si>
  <si>
    <t>2026.04.03 15:30</t>
  </si>
  <si>
    <t>2026.04.13 11:00</t>
  </si>
  <si>
    <t>농협 637-12-395745 허윤정</t>
  </si>
  <si>
    <t>A0066</t>
  </si>
  <si>
    <t>C0077</t>
  </si>
  <si>
    <t>P0089</t>
  </si>
  <si>
    <t>2025.05.31 12:00</t>
  </si>
  <si>
    <t>4월28일 1,728,151 입금,  5월15일 3,312,290 입금, 5월28일 144,000 입금</t>
  </si>
  <si>
    <t>Q0074</t>
  </si>
  <si>
    <t>강영숙</t>
  </si>
  <si>
    <t>010-8844-0056</t>
  </si>
  <si>
    <t>2026.04.09</t>
  </si>
  <si>
    <t>A0067</t>
  </si>
  <si>
    <t>C0078</t>
  </si>
  <si>
    <t>2026.06.30 14:00</t>
  </si>
  <si>
    <t>P0090</t>
  </si>
  <si>
    <t>구혜정</t>
  </si>
  <si>
    <t>1993년생</t>
  </si>
  <si>
    <t>010-4383-6800</t>
  </si>
  <si>
    <t>대구미소간병</t>
  </si>
  <si>
    <t>센터경유</t>
  </si>
  <si>
    <t>2026.04.07 20:00</t>
  </si>
  <si>
    <t>2026.04.11 11:00</t>
  </si>
  <si>
    <t xml:space="preserve"> 농협 351 0845 1336 53 김강희</t>
  </si>
  <si>
    <t>A0068</t>
  </si>
  <si>
    <t>C0079</t>
  </si>
  <si>
    <t>6월9일 2,016,706 입금-&gt; 7,201,147원 입금(135,000원 기준 53일 분-&gt; 좌측의 기록 상으로는 28일?)</t>
  </si>
  <si>
    <t>Q0075</t>
  </si>
  <si>
    <t>2026.07.10 14:00</t>
  </si>
  <si>
    <t>P0091</t>
  </si>
  <si>
    <t>전남영</t>
  </si>
  <si>
    <t>010-4585-8008</t>
  </si>
  <si>
    <t>경상남도</t>
  </si>
  <si>
    <t>창원시</t>
  </si>
  <si>
    <t>이에이씨병원</t>
  </si>
  <si>
    <t>윤금수</t>
  </si>
  <si>
    <t>L02244009635</t>
  </si>
  <si>
    <t>대구하나로간병</t>
  </si>
  <si>
    <t>010-2687-1689</t>
  </si>
  <si>
    <t>조채영</t>
  </si>
  <si>
    <t>2026.05.09 08:00</t>
  </si>
  <si>
    <t>2026.05.11 09:00</t>
  </si>
  <si>
    <t>02-2181-2383</t>
  </si>
  <si>
    <t>대구은행 508-11-251944-1 윤금수</t>
  </si>
  <si>
    <t>A0069</t>
  </si>
  <si>
    <t>C0080</t>
  </si>
  <si>
    <t>2026.03.10</t>
  </si>
  <si>
    <t>2026.07.20 14:00</t>
  </si>
  <si>
    <t>P0092</t>
  </si>
  <si>
    <t>최명수</t>
  </si>
  <si>
    <t>010-2687-5074</t>
  </si>
  <si>
    <t>바른간병협회</t>
  </si>
  <si>
    <t>2026.05.11 16:00</t>
  </si>
  <si>
    <t>2026.05.14 21:00</t>
  </si>
  <si>
    <t>아이엠뱅크 053 1313 1716</t>
  </si>
  <si>
    <t>A0070</t>
  </si>
  <si>
    <t>C0081</t>
  </si>
  <si>
    <t>7월1일 1,215,000 입금(6.10~6.19) / 9일x135,000/일</t>
  </si>
  <si>
    <t>Q0076</t>
  </si>
  <si>
    <t>2026.07.31 14:00</t>
  </si>
  <si>
    <t>P0093</t>
  </si>
  <si>
    <t>김영숙</t>
  </si>
  <si>
    <t>010-2977-6363</t>
  </si>
  <si>
    <t>010-2054-9575</t>
  </si>
  <si>
    <t>2026.05.15 17:00</t>
  </si>
  <si>
    <t>2026.06.12 17:00</t>
  </si>
  <si>
    <t>아이엠 222-08-015190 김영숙</t>
  </si>
  <si>
    <t>A0071</t>
  </si>
  <si>
    <t>C0082</t>
  </si>
  <si>
    <t>7월14일 2,835,000 입금(6.20~7.10) / 21일x135,000/일</t>
  </si>
  <si>
    <t>Q0077</t>
  </si>
  <si>
    <t>2026.08.10 14:00</t>
  </si>
  <si>
    <t>P0094</t>
  </si>
  <si>
    <t>최공주</t>
  </si>
  <si>
    <t>700228-2683112</t>
  </si>
  <si>
    <t>010-4501-9852</t>
  </si>
  <si>
    <t>개인/보호자섭외</t>
  </si>
  <si>
    <t>2026.06.14 17:00</t>
  </si>
  <si>
    <t>2026.06.25 12:00</t>
  </si>
  <si>
    <t>농협 351-0482-5247-53 최공주</t>
  </si>
  <si>
    <t>A0072</t>
  </si>
  <si>
    <t>C0083</t>
  </si>
  <si>
    <t>P0095</t>
  </si>
  <si>
    <t>7월23일 1,350,000 입금(7.10~7.20) / 10일x135,000/일</t>
  </si>
  <si>
    <t>Q0078</t>
  </si>
  <si>
    <t>출퇴근</t>
  </si>
  <si>
    <t>A0073</t>
  </si>
  <si>
    <t>C0084</t>
  </si>
  <si>
    <t>P0096</t>
  </si>
  <si>
    <t>A0074</t>
  </si>
  <si>
    <t>C0085</t>
  </si>
  <si>
    <t>8월7일 1,485,000 입금 / 11일x135,000/일</t>
  </si>
  <si>
    <t>Q0079</t>
  </si>
  <si>
    <t>2026.05.01.11:00</t>
  </si>
  <si>
    <t>P0099</t>
  </si>
  <si>
    <t>7월27일송미령간병사끝나고/교체7월27일이송자간병사투입8월25일 2틀휴무적용10일건 20일건 청구완료</t>
  </si>
  <si>
    <t>이성자</t>
  </si>
  <si>
    <t>2026.08.10 10:00</t>
  </si>
  <si>
    <t>2026.08.25</t>
  </si>
  <si>
    <t>010-4652-8858</t>
  </si>
  <si>
    <t>공주시</t>
  </si>
  <si>
    <t>공주의료원</t>
  </si>
  <si>
    <t>L02243775320</t>
  </si>
  <si>
    <t>8월11일 1,350,000 입금 / 10일x135,000/일 / 8월 25일 조채영 손해사정인 통화 총 15,436,147원 입금 확인. 지연이자 포함</t>
  </si>
  <si>
    <t>이철희</t>
  </si>
  <si>
    <t>김은정</t>
  </si>
  <si>
    <t>051-602-5706</t>
  </si>
  <si>
    <t>Q0080</t>
  </si>
  <si>
    <t>010-9838-1737</t>
  </si>
  <si>
    <t>2026.03.11</t>
  </si>
  <si>
    <t>A0075</t>
  </si>
  <si>
    <t>C0086</t>
  </si>
  <si>
    <t>P0101</t>
  </si>
  <si>
    <t>Q0081</t>
  </si>
  <si>
    <t>2026.04.20 00:00</t>
  </si>
  <si>
    <t>이소연</t>
  </si>
  <si>
    <t>P0102</t>
  </si>
  <si>
    <t>010-5286-5358</t>
  </si>
  <si>
    <t>서울간병</t>
  </si>
  <si>
    <t>010-2522-1530</t>
  </si>
  <si>
    <t>2026.04.22 13:00</t>
  </si>
  <si>
    <t>2026.05.04 10:00</t>
  </si>
  <si>
    <t>우리은행 070-133434-02-601 이소연</t>
  </si>
  <si>
    <t>A0076</t>
  </si>
  <si>
    <t>C0087</t>
  </si>
  <si>
    <t>Q0082</t>
  </si>
  <si>
    <t xml:space="preserve">2026.04.29 </t>
  </si>
  <si>
    <t>P0104</t>
  </si>
  <si>
    <t>유춘옥</t>
  </si>
  <si>
    <t>520110-6780273</t>
  </si>
  <si>
    <t>010-8645-8887</t>
  </si>
  <si>
    <t>2026.04.26 12:00</t>
  </si>
  <si>
    <t>2026.07.31 09:00</t>
  </si>
  <si>
    <t>신한은행 110 3656 26120 LIU CHUNYU  유춘옥</t>
  </si>
  <si>
    <t>A0077</t>
  </si>
  <si>
    <t>C0088</t>
  </si>
  <si>
    <t>2026.05.01 12:00</t>
  </si>
  <si>
    <t>2026.05.01</t>
  </si>
  <si>
    <t>Q0083</t>
  </si>
  <si>
    <t>P0107</t>
  </si>
  <si>
    <t>신금자</t>
  </si>
  <si>
    <t>010-3946-8875</t>
  </si>
  <si>
    <t>010-4156-8800</t>
  </si>
  <si>
    <t>국민은행 421-701-04-298274 XIN JINZI</t>
  </si>
  <si>
    <t>A0078</t>
  </si>
  <si>
    <t>C0089</t>
  </si>
  <si>
    <t>Q0084</t>
  </si>
  <si>
    <t>신용찬</t>
  </si>
  <si>
    <t>010-7153-6522</t>
  </si>
  <si>
    <t>부산광역시</t>
  </si>
  <si>
    <t>해운대구</t>
  </si>
  <si>
    <t>L02530647767</t>
  </si>
  <si>
    <t>2026.04.10 15:30</t>
  </si>
  <si>
    <t>박지영</t>
  </si>
  <si>
    <t>042-829-1492</t>
  </si>
  <si>
    <t>P0110</t>
  </si>
  <si>
    <t>Q0085</t>
  </si>
  <si>
    <t>한창우</t>
  </si>
  <si>
    <t>550502-1533711</t>
  </si>
  <si>
    <t>010-4222-4168</t>
  </si>
  <si>
    <t>2026.04.13 14:00</t>
  </si>
  <si>
    <t>2026.04.18 12:00</t>
  </si>
  <si>
    <t>농협은행 351-1185-4438-93  한정희</t>
  </si>
  <si>
    <t>A0079</t>
  </si>
  <si>
    <t>C0090</t>
  </si>
  <si>
    <t>P0113</t>
  </si>
  <si>
    <t>2026.04.10 00:00</t>
  </si>
  <si>
    <t>2026.04.28</t>
  </si>
  <si>
    <t>Q0086</t>
  </si>
  <si>
    <t>인덕간병 (051-897-2555 / 010-8538-4153) 협의</t>
  </si>
  <si>
    <t>오죽삼</t>
  </si>
  <si>
    <t>고진향</t>
  </si>
  <si>
    <t>550330-2240710</t>
  </si>
  <si>
    <t>010-9009-5600</t>
  </si>
  <si>
    <t>010-3289-3383</t>
  </si>
  <si>
    <t>서울간호인협회</t>
  </si>
  <si>
    <t>용산구</t>
  </si>
  <si>
    <t>2026.04.22 14:00</t>
  </si>
  <si>
    <t>순천향대학교 서울병원</t>
  </si>
  <si>
    <t>국민은행 875 401 01 503426 고진향</t>
  </si>
  <si>
    <t>A0080</t>
  </si>
  <si>
    <t>L02529952917</t>
  </si>
  <si>
    <t>C0091</t>
  </si>
  <si>
    <t>송석중</t>
  </si>
  <si>
    <t>042-602-7047</t>
  </si>
  <si>
    <t>2026.03.23</t>
  </si>
  <si>
    <t>P0116</t>
  </si>
  <si>
    <t>Q0087</t>
  </si>
  <si>
    <t>양형자</t>
  </si>
  <si>
    <t>510706-2822816</t>
  </si>
  <si>
    <t>010-2013-2735</t>
  </si>
  <si>
    <t>2026.04.17 09:00</t>
  </si>
  <si>
    <t>2026.04.23 12:00</t>
  </si>
  <si>
    <t>농협은행 349-12-144055 김미숙(창원진심)</t>
  </si>
  <si>
    <t>A0081</t>
  </si>
  <si>
    <t>C0092</t>
  </si>
  <si>
    <t>P0121</t>
  </si>
  <si>
    <t>2026.07.05</t>
  </si>
  <si>
    <t>진향자</t>
  </si>
  <si>
    <t>Q0088</t>
  </si>
  <si>
    <t>2026.05.04 14:20</t>
  </si>
  <si>
    <t>2026.05.09 12:00</t>
  </si>
  <si>
    <t>A0082</t>
  </si>
  <si>
    <t>C0093</t>
  </si>
  <si>
    <t>개인사정(상사) 중단 (04.01 18:00) /케어닥 인수과정중 간병사 지급건 (04.01)</t>
  </si>
  <si>
    <t>P0123</t>
  </si>
  <si>
    <t>Q0089</t>
  </si>
  <si>
    <t>김초옥</t>
  </si>
  <si>
    <t>010-3628-2558</t>
  </si>
  <si>
    <t>2026.04.19 12:00</t>
  </si>
  <si>
    <t>2026.04.27 10:00</t>
  </si>
  <si>
    <t>우리은행 1002 528 9826 83 김초옥</t>
  </si>
  <si>
    <t>A0083</t>
  </si>
  <si>
    <t>C0094</t>
  </si>
  <si>
    <t>Q0090</t>
  </si>
  <si>
    <t>P0126</t>
  </si>
  <si>
    <t>이성헌</t>
  </si>
  <si>
    <t>010-3687-5892</t>
  </si>
  <si>
    <t>개인/요양보호사</t>
  </si>
  <si>
    <t>2026.04.17</t>
  </si>
  <si>
    <t>2026.04.24</t>
  </si>
  <si>
    <t>국민은행 091 24 0248 781 이성헌</t>
  </si>
  <si>
    <t>A0084</t>
  </si>
  <si>
    <t>C0095</t>
  </si>
  <si>
    <t>김명자</t>
  </si>
  <si>
    <t>김미현</t>
  </si>
  <si>
    <t>010-5055-7321</t>
  </si>
  <si>
    <t>우리간병협회</t>
  </si>
  <si>
    <t>2026.04.18 13:00</t>
  </si>
  <si>
    <t>사용일당계약</t>
  </si>
  <si>
    <t>A0085</t>
  </si>
  <si>
    <t>C0096</t>
  </si>
  <si>
    <t>최종 입금 등 확인 완료</t>
  </si>
  <si>
    <t>Q0091</t>
  </si>
  <si>
    <t>박영희</t>
  </si>
  <si>
    <t>010-5778-6753</t>
  </si>
  <si>
    <t>수원시</t>
  </si>
  <si>
    <t>바르다정형외과</t>
  </si>
  <si>
    <t>L02159232563</t>
  </si>
  <si>
    <t>P0130</t>
  </si>
  <si>
    <t>이순자</t>
  </si>
  <si>
    <t>660305-2812731</t>
  </si>
  <si>
    <t>010-3507-7763</t>
  </si>
  <si>
    <t>2026.04.20 14:00</t>
  </si>
  <si>
    <t>2026.04.24 14:00</t>
  </si>
  <si>
    <t>IM뱅크 037-08-243597 이순자</t>
  </si>
  <si>
    <t>A0086</t>
  </si>
  <si>
    <t>C0097</t>
  </si>
  <si>
    <t>Q0092</t>
  </si>
  <si>
    <t>P0132</t>
  </si>
  <si>
    <t>강향자</t>
  </si>
  <si>
    <t>2026.04.20 15:30</t>
  </si>
  <si>
    <t>2026.04.23 15:00</t>
  </si>
  <si>
    <t xml:space="preserve">하나은행 126 910362 00707  jin xiang zi </t>
  </si>
  <si>
    <t>A0087</t>
  </si>
  <si>
    <t>C0098</t>
  </si>
  <si>
    <t>2026.04.20</t>
  </si>
  <si>
    <t>Q0093</t>
  </si>
  <si>
    <t>기존진행 / 퇴원</t>
  </si>
  <si>
    <t>조하랑</t>
  </si>
  <si>
    <t>010-7549-6115</t>
  </si>
  <si>
    <t>순천시</t>
  </si>
  <si>
    <t>순천중앙병원</t>
  </si>
  <si>
    <t>L02243956312</t>
  </si>
  <si>
    <t>P0133</t>
  </si>
  <si>
    <t>한지희</t>
  </si>
  <si>
    <t>052-290-5424</t>
  </si>
  <si>
    <t>양춘희</t>
  </si>
  <si>
    <t>650413-2</t>
  </si>
  <si>
    <t>010-8709-2033</t>
  </si>
  <si>
    <t>1주</t>
  </si>
  <si>
    <t>010-7338-4148</t>
  </si>
  <si>
    <t>2026.04.21 19:00</t>
  </si>
  <si>
    <t>2026.04.28 11:00</t>
  </si>
  <si>
    <t>신한은행 110 024 527017 이철호(햇살간병)</t>
  </si>
  <si>
    <t>A0088</t>
  </si>
  <si>
    <t>C0099</t>
  </si>
  <si>
    <t>Q0094</t>
  </si>
  <si>
    <t>2026.04.08 12:00</t>
  </si>
  <si>
    <t>유송연</t>
  </si>
  <si>
    <t>P0135</t>
  </si>
  <si>
    <t>010-9008-8280</t>
  </si>
  <si>
    <t>예향간병</t>
  </si>
  <si>
    <t>Q0095</t>
  </si>
  <si>
    <t>010-7528-1290</t>
  </si>
  <si>
    <t>2026.04.25 07:00</t>
  </si>
  <si>
    <t>2026.05.11 12:00</t>
  </si>
  <si>
    <t>농협은행 302 1258 9907 31 유지유(예향)</t>
  </si>
  <si>
    <t>A0089</t>
  </si>
  <si>
    <t>C0100</t>
  </si>
  <si>
    <t>Q0096</t>
  </si>
  <si>
    <t>조하륜</t>
  </si>
  <si>
    <t>2026.05.10 24:00</t>
  </si>
  <si>
    <t>L02243954817</t>
  </si>
  <si>
    <t>김민경</t>
  </si>
  <si>
    <t>02-2181-2623</t>
  </si>
  <si>
    <t>P0136</t>
  </si>
  <si>
    <t>곽련화</t>
  </si>
  <si>
    <t>010-8206-1095</t>
  </si>
  <si>
    <t>선한이웃간병</t>
  </si>
  <si>
    <t>031-388-0855</t>
  </si>
  <si>
    <t>2026.04.23 19:00</t>
  </si>
  <si>
    <t>2026.08.25 19:00</t>
  </si>
  <si>
    <t>하나은행 631 910 357 16507 곽련화</t>
  </si>
  <si>
    <t>A0090</t>
  </si>
  <si>
    <t>C0101</t>
  </si>
  <si>
    <t>Q0097</t>
  </si>
  <si>
    <t>P0138</t>
  </si>
  <si>
    <t>이순화</t>
  </si>
  <si>
    <t>010-2252-7536</t>
  </si>
  <si>
    <t>Q0098</t>
  </si>
  <si>
    <t>2026.04.24 13:00</t>
  </si>
  <si>
    <t>2026.05.04 13:00</t>
  </si>
  <si>
    <t>우리은행 1002-442-310671 이순화</t>
  </si>
  <si>
    <t>A0091</t>
  </si>
  <si>
    <t>C0102</t>
  </si>
  <si>
    <t>C0049</t>
  </si>
  <si>
    <t>하덕임</t>
  </si>
  <si>
    <t>010-6620-1715</t>
  </si>
  <si>
    <t>광주광역시</t>
  </si>
  <si>
    <t>우리한방병원</t>
  </si>
  <si>
    <t>L02154194686</t>
  </si>
  <si>
    <t>2026.05.20 24:00</t>
  </si>
  <si>
    <t>박소영</t>
  </si>
  <si>
    <t>02-2181-2529</t>
  </si>
  <si>
    <t>P0139</t>
  </si>
  <si>
    <t>2026.03.18</t>
  </si>
  <si>
    <t>김명순</t>
  </si>
  <si>
    <t>1021-01-9271833 전북은행 윤준호(행복)</t>
  </si>
  <si>
    <t>2026.05.10 15:00</t>
  </si>
  <si>
    <t>A0092</t>
  </si>
  <si>
    <t>C0103</t>
  </si>
  <si>
    <t>Q0099</t>
  </si>
  <si>
    <t>2026.05.31 24:00</t>
  </si>
  <si>
    <t>P0140</t>
  </si>
  <si>
    <t>강금이</t>
  </si>
  <si>
    <t>010-7371-2446</t>
  </si>
  <si>
    <t>Q0100</t>
  </si>
  <si>
    <t>엘리트간병</t>
  </si>
  <si>
    <t>010-2355-2419</t>
  </si>
  <si>
    <t>2026.05.12 16:00</t>
  </si>
  <si>
    <t>2026.05.18 15:00</t>
  </si>
  <si>
    <t>전북은행 1021-01-2860965 강금이</t>
  </si>
  <si>
    <t>A0093</t>
  </si>
  <si>
    <t>C0104</t>
  </si>
  <si>
    <t>전영수</t>
  </si>
  <si>
    <t>010-4122-5862</t>
  </si>
  <si>
    <t>2026.05.31 10:00</t>
  </si>
  <si>
    <t>베스트재활의학과병원 (경남진주)</t>
  </si>
  <si>
    <t>L02232233966</t>
  </si>
  <si>
    <t>이지훈</t>
  </si>
  <si>
    <t>051-602-5762</t>
  </si>
  <si>
    <t>Q0101</t>
  </si>
  <si>
    <t>2026.03.27</t>
  </si>
  <si>
    <t>2026.04.29 09:00</t>
  </si>
  <si>
    <t>2026.05.04 11:00</t>
  </si>
  <si>
    <t>P0141</t>
  </si>
  <si>
    <t>A0094</t>
  </si>
  <si>
    <t>C0105</t>
  </si>
  <si>
    <t>2026.06.11 10:00</t>
  </si>
  <si>
    <t>2026.05.09 14:00</t>
  </si>
  <si>
    <t>A0095</t>
  </si>
  <si>
    <t>P0142</t>
  </si>
  <si>
    <t>C0106</t>
  </si>
  <si>
    <t>2026.06.04</t>
  </si>
  <si>
    <t>Q0102</t>
  </si>
  <si>
    <t>스마일 (010-6586-4312 ) 0404 진주 병원으로 옮겼고, 같이 갔다는데…금액은 17일경 퇴원하면서 줘도 됨 (스마일)</t>
  </si>
  <si>
    <t>고봉석</t>
  </si>
  <si>
    <t>010-7393-7614</t>
  </si>
  <si>
    <t>진주시</t>
  </si>
  <si>
    <t>경상국립대학교병원 =&gt;한일병원</t>
  </si>
  <si>
    <t>L02309290356</t>
  </si>
  <si>
    <t>최권찬</t>
  </si>
  <si>
    <t>053-640-4711</t>
  </si>
  <si>
    <t>P0143</t>
  </si>
  <si>
    <t>이덕순</t>
  </si>
  <si>
    <t>010-2375-0058</t>
  </si>
  <si>
    <t>조은간병(광주)</t>
  </si>
  <si>
    <t>010-9658-1331</t>
  </si>
  <si>
    <t>2026.04.24 11:20</t>
  </si>
  <si>
    <t>2026.05.13 11:00</t>
  </si>
  <si>
    <t>광주은행 075-121-434154 이덕순</t>
  </si>
  <si>
    <t>A0096</t>
  </si>
  <si>
    <t>C0107</t>
  </si>
  <si>
    <t>2026.06.10 10:00</t>
  </si>
  <si>
    <t>Q0103</t>
  </si>
  <si>
    <t>P0144</t>
  </si>
  <si>
    <t>2026.05.23 13:30</t>
  </si>
  <si>
    <t>A0097</t>
  </si>
  <si>
    <t>C0108</t>
  </si>
  <si>
    <t xml:space="preserve">8월27일 박모란 담당자 통화-&gt; 김명수님 건 144,000원/일로 계산, 전체 금액 일치 </t>
  </si>
  <si>
    <t>Q0104</t>
  </si>
  <si>
    <t>김명수</t>
  </si>
  <si>
    <t>010-7512-8280</t>
  </si>
  <si>
    <t>어의당한방볍원</t>
  </si>
  <si>
    <t>L02147667937</t>
  </si>
  <si>
    <t xml:space="preserve">2603A21448 </t>
  </si>
  <si>
    <t>박모란</t>
  </si>
  <si>
    <t>042-602-7012</t>
  </si>
  <si>
    <t>퇴원시까지</t>
  </si>
  <si>
    <t>P0147</t>
  </si>
  <si>
    <t>2026.04.27 17:00</t>
  </si>
  <si>
    <t>A0098</t>
  </si>
  <si>
    <t>Q0105</t>
  </si>
  <si>
    <t>C0109</t>
  </si>
  <si>
    <t>P0148</t>
  </si>
  <si>
    <t>2026.04.16</t>
  </si>
  <si>
    <t>Q0106</t>
  </si>
  <si>
    <t>정민경</t>
  </si>
  <si>
    <t>721009-2665617</t>
  </si>
  <si>
    <t>010-3053-1451</t>
  </si>
  <si>
    <t>2026.04.29 10:00</t>
  </si>
  <si>
    <t>2026.07.07 10:00</t>
  </si>
  <si>
    <t>카카오뱅크 3333 09 4720197 강경원</t>
  </si>
  <si>
    <t>A0099</t>
  </si>
  <si>
    <t>C0110</t>
  </si>
  <si>
    <t>동의한방병원</t>
  </si>
  <si>
    <t>P0149</t>
  </si>
  <si>
    <t>2026.04.29 08:00</t>
  </si>
  <si>
    <t>Q0107</t>
  </si>
  <si>
    <t>김경미</t>
  </si>
  <si>
    <t>010-8305-9915</t>
  </si>
  <si>
    <t>2026.08.24 16:00</t>
  </si>
  <si>
    <t>신한은행 110-181-205534 김강은(모)</t>
  </si>
  <si>
    <t>A0100</t>
  </si>
  <si>
    <t>C0111</t>
  </si>
  <si>
    <t>P0150</t>
  </si>
  <si>
    <t>Q0108</t>
  </si>
  <si>
    <t>주금열</t>
  </si>
  <si>
    <t>1962년생</t>
  </si>
  <si>
    <t>010-2523-1512</t>
  </si>
  <si>
    <t>간병24</t>
  </si>
  <si>
    <t>010-4384-9413</t>
  </si>
  <si>
    <t>2026.05.14 07:00</t>
  </si>
  <si>
    <t>2026.05.15 10:00</t>
  </si>
  <si>
    <t xml:space="preserve">우리은행 1005 304 803945 간병24 황세옥 </t>
  </si>
  <si>
    <t>A0101</t>
  </si>
  <si>
    <t>C0112</t>
  </si>
  <si>
    <t>간병사님 교체</t>
  </si>
  <si>
    <t>Q0109</t>
  </si>
  <si>
    <t>P0151</t>
  </si>
  <si>
    <t>서인순</t>
  </si>
  <si>
    <t>010-4603-3391</t>
  </si>
  <si>
    <t>2026.04.29 09:30</t>
  </si>
  <si>
    <t>2026.05.06 12:00</t>
  </si>
  <si>
    <t>국민 44790 1042 18924  서인순</t>
  </si>
  <si>
    <t>A0102</t>
  </si>
  <si>
    <t>Q0110</t>
  </si>
  <si>
    <t>C0114</t>
  </si>
  <si>
    <t>P0152</t>
  </si>
  <si>
    <t>2026.06.10 08:00</t>
  </si>
  <si>
    <t>Q0111</t>
  </si>
  <si>
    <t>전영현</t>
  </si>
  <si>
    <t>010-3489-1410</t>
  </si>
  <si>
    <t>대구사랑간병</t>
  </si>
  <si>
    <t>010-5342-0200</t>
  </si>
  <si>
    <t>2026.04.30 10:00</t>
  </si>
  <si>
    <t>2026.05.22 10:00</t>
  </si>
  <si>
    <t>기업은행 010 5342 0200 여승만(협회)</t>
  </si>
  <si>
    <t>A0103</t>
  </si>
  <si>
    <t>C0115</t>
  </si>
  <si>
    <t>P0153</t>
  </si>
  <si>
    <t>2026.06.20 08:00</t>
  </si>
  <si>
    <t>Q0112</t>
  </si>
  <si>
    <t>안재숙</t>
  </si>
  <si>
    <t>010-2151-5982</t>
  </si>
  <si>
    <t>010-9501-2460</t>
  </si>
  <si>
    <t>2026.07.29 11:00</t>
  </si>
  <si>
    <t>농협 안재숙 352-2256-4053-03</t>
  </si>
  <si>
    <t>A0104</t>
  </si>
  <si>
    <t>C0116</t>
  </si>
  <si>
    <t>P0154</t>
  </si>
  <si>
    <t>2026.06.30 08:00</t>
  </si>
  <si>
    <t>Q0113</t>
  </si>
  <si>
    <t>김순이</t>
  </si>
  <si>
    <t>010-8281-5120</t>
  </si>
  <si>
    <t>2026.08.01 10:00</t>
  </si>
  <si>
    <t>국민은행 553301 04 012593 김순이</t>
  </si>
  <si>
    <t>A0105</t>
  </si>
  <si>
    <t>C0117</t>
  </si>
  <si>
    <t>2026.07.10 08:00</t>
  </si>
  <si>
    <t>전주튼튼한방병원</t>
  </si>
  <si>
    <t>Q0114</t>
  </si>
  <si>
    <t>P0155</t>
  </si>
  <si>
    <t>주순복</t>
  </si>
  <si>
    <t>010-8288-7435</t>
  </si>
  <si>
    <t>2026.08.01:11:00</t>
  </si>
  <si>
    <t>2026.09.22 14:00</t>
  </si>
  <si>
    <t>농협은행 356-0474-8589-23 주순복  퇴원예정</t>
  </si>
  <si>
    <t>A0106</t>
  </si>
  <si>
    <t>C0118</t>
  </si>
  <si>
    <t>안성희</t>
  </si>
  <si>
    <t>640220-2</t>
  </si>
  <si>
    <t>010-2996-0932</t>
  </si>
  <si>
    <t>청주간병인협회</t>
  </si>
  <si>
    <t>010-3944-0333</t>
  </si>
  <si>
    <t>2026.05.04 14:30</t>
  </si>
  <si>
    <t>2026.05.15 11:00</t>
  </si>
  <si>
    <t>농협은행 301-0219-4789-81  청주간병인협회</t>
  </si>
  <si>
    <t>A0107</t>
  </si>
  <si>
    <t>C0120</t>
  </si>
  <si>
    <t>P0156</t>
  </si>
  <si>
    <t>2026.07.20 08:00</t>
  </si>
  <si>
    <t>8월27일 조보아 담당자 통화-&gt; 7월13일 1,440,000원, 7월24일 864,000 입금 확인</t>
  </si>
  <si>
    <t>Q0115</t>
  </si>
  <si>
    <t>한일정형외과</t>
  </si>
  <si>
    <t>P0157</t>
  </si>
  <si>
    <t>강양금</t>
  </si>
  <si>
    <t>1960년생</t>
  </si>
  <si>
    <t>010-7667-8258</t>
  </si>
  <si>
    <t>2026.05.22 09:00</t>
  </si>
  <si>
    <t>2026.07.24 10:00</t>
  </si>
  <si>
    <t>농협은행 조명임(센터) 356-11-96-2339-63</t>
  </si>
  <si>
    <t>A0108</t>
  </si>
  <si>
    <t>C0121</t>
  </si>
  <si>
    <t>P0158</t>
  </si>
  <si>
    <t>Q0116</t>
  </si>
  <si>
    <t>2026.05.06 14:40</t>
  </si>
  <si>
    <t>2026.05.27 12:20</t>
  </si>
  <si>
    <t>우리은행 1002442 310671 이순화</t>
  </si>
  <si>
    <t>A0109</t>
  </si>
  <si>
    <t>C0122</t>
  </si>
  <si>
    <t>P0159</t>
  </si>
  <si>
    <t>마율하</t>
  </si>
  <si>
    <t>010-8266-8616</t>
  </si>
  <si>
    <t>완주군</t>
  </si>
  <si>
    <t>혁신오케이정형외과</t>
  </si>
  <si>
    <t>L02135755008</t>
  </si>
  <si>
    <t>2603B16919</t>
  </si>
  <si>
    <t>김승한</t>
  </si>
  <si>
    <t>Q0117</t>
  </si>
  <si>
    <t>063-281-3613</t>
  </si>
  <si>
    <t>2026.03.30</t>
  </si>
  <si>
    <t>김미자</t>
  </si>
  <si>
    <t>010-6640-6235</t>
  </si>
  <si>
    <t>행복한 돌봄</t>
  </si>
  <si>
    <t>2026.06.11 09:00</t>
  </si>
  <si>
    <t>2026.06.23 11:00</t>
  </si>
  <si>
    <t>A0110</t>
  </si>
  <si>
    <t>C0123</t>
  </si>
  <si>
    <t>2026.07.16 15:00</t>
  </si>
  <si>
    <t>P0160</t>
  </si>
  <si>
    <t>2026.04.10 18:00</t>
  </si>
  <si>
    <t>Q0118</t>
  </si>
  <si>
    <t>2026.06.30 12:40</t>
  </si>
  <si>
    <t>2026.07.14 13:30</t>
  </si>
  <si>
    <t>556-21-0352027 전북은행. 김미연</t>
  </si>
  <si>
    <t>A0111</t>
  </si>
  <si>
    <t>C0124</t>
  </si>
  <si>
    <t>문굉순</t>
  </si>
  <si>
    <t>010-3930-8305</t>
  </si>
  <si>
    <t>P0161</t>
  </si>
  <si>
    <t>강남동강병원</t>
  </si>
  <si>
    <t>2026.04.22 12:00</t>
  </si>
  <si>
    <t>L02129231386</t>
  </si>
  <si>
    <t>2603B31804</t>
  </si>
  <si>
    <t>조보아</t>
  </si>
  <si>
    <t>042-602-7027</t>
  </si>
  <si>
    <t>Q0119</t>
  </si>
  <si>
    <t>2026.03.31</t>
  </si>
  <si>
    <t>2개월</t>
  </si>
  <si>
    <t>A0112</t>
  </si>
  <si>
    <t>C0125</t>
  </si>
  <si>
    <t>Q0120</t>
  </si>
  <si>
    <t>P0163</t>
  </si>
  <si>
    <t>Q0121</t>
  </si>
  <si>
    <t>최봉임</t>
  </si>
  <si>
    <t>010-7624-5565</t>
  </si>
  <si>
    <t>간병인콜센터</t>
  </si>
  <si>
    <t>010-2144-7557</t>
  </si>
  <si>
    <t>2026.05.08 16:00</t>
  </si>
  <si>
    <t>2026.06.04 15:00</t>
  </si>
  <si>
    <t>농협 653012 52 088960 김하영</t>
  </si>
  <si>
    <t>A0113</t>
  </si>
  <si>
    <t>C0126</t>
  </si>
  <si>
    <t xml:space="preserve"> 이후 지속 간병중</t>
  </si>
  <si>
    <t>P0168</t>
  </si>
  <si>
    <t>이지연</t>
  </si>
  <si>
    <t>010-9948-3520</t>
  </si>
  <si>
    <t>원주시</t>
  </si>
  <si>
    <t>프라임병원</t>
  </si>
  <si>
    <t>L02137682500</t>
  </si>
  <si>
    <t>2603B40482</t>
  </si>
  <si>
    <t>김주완</t>
  </si>
  <si>
    <t>051-602-5777</t>
  </si>
  <si>
    <t>8월27일 임동기 담당자 통화-&gt; 재택 서비스 비용 475,000원 SCOR 입금 완료(5월18일)</t>
  </si>
  <si>
    <t>Q0122</t>
  </si>
  <si>
    <t>P0171</t>
  </si>
  <si>
    <t>정국경</t>
  </si>
  <si>
    <t>580113-5860174</t>
  </si>
  <si>
    <t>신광케어</t>
  </si>
  <si>
    <t>010-3193-3100</t>
  </si>
  <si>
    <t>2026.05.11 00:00</t>
  </si>
  <si>
    <t>2026.06.22 00:00</t>
  </si>
  <si>
    <t>농협 010-3193-3100-19 장선한(신광케어)</t>
  </si>
  <si>
    <t>A0114</t>
  </si>
  <si>
    <t>C0127</t>
  </si>
  <si>
    <t>2026.04.09 17:00</t>
  </si>
  <si>
    <t>P0174</t>
  </si>
  <si>
    <t>Q0123</t>
  </si>
  <si>
    <t>고영만</t>
  </si>
  <si>
    <t>010-8623-1991</t>
  </si>
  <si>
    <t>농협 4830 7852 152575 고영만</t>
  </si>
  <si>
    <t>A0115</t>
  </si>
  <si>
    <t>C0128</t>
  </si>
  <si>
    <t>교통사고</t>
  </si>
  <si>
    <t>고원석</t>
  </si>
  <si>
    <t>010-8889-2902</t>
  </si>
  <si>
    <t>분당차병원</t>
  </si>
  <si>
    <t>L02158547506</t>
  </si>
  <si>
    <t>김성영</t>
  </si>
  <si>
    <t>042-829-1434</t>
  </si>
  <si>
    <t>P0180</t>
  </si>
  <si>
    <t>1~2주</t>
  </si>
  <si>
    <t>안옥주</t>
  </si>
  <si>
    <t>010-9316-4889</t>
  </si>
  <si>
    <t>2026.05.11. 14:00</t>
  </si>
  <si>
    <t>2026.05.13 09:00</t>
  </si>
  <si>
    <t>농협 178 314 52 019103 안옥주</t>
  </si>
  <si>
    <t>Q0124</t>
  </si>
  <si>
    <t>A0116</t>
  </si>
  <si>
    <t>C0129</t>
  </si>
  <si>
    <t>P0183</t>
  </si>
  <si>
    <t>우기순</t>
  </si>
  <si>
    <t>010-2442-9644</t>
  </si>
  <si>
    <t>2026.05.14</t>
  </si>
  <si>
    <t>2026.05.21</t>
  </si>
  <si>
    <t>A0117</t>
  </si>
  <si>
    <t>C0130</t>
  </si>
  <si>
    <t>Q0125</t>
  </si>
  <si>
    <t>설계사 : 010-8272-6005 가족간병2일 지원해 주기로 했다고</t>
  </si>
  <si>
    <t>ㅀ</t>
  </si>
  <si>
    <t>김현철</t>
  </si>
  <si>
    <t>010-8731-3796</t>
  </si>
  <si>
    <t>서구</t>
  </si>
  <si>
    <t>부산대병원(토성동)</t>
  </si>
  <si>
    <t>L02313700135</t>
  </si>
  <si>
    <t>P0184</t>
  </si>
  <si>
    <t>박옥녀</t>
  </si>
  <si>
    <t>010-6678-7593</t>
  </si>
  <si>
    <t>복음간병(진주)</t>
  </si>
  <si>
    <t>010-5029-8067</t>
  </si>
  <si>
    <t>2026.05.13 14:40</t>
  </si>
  <si>
    <t>2026.05.27 17:00</t>
  </si>
  <si>
    <t>농협 803 12 347520 이장연</t>
  </si>
  <si>
    <t>A0118</t>
  </si>
  <si>
    <t>C0131</t>
  </si>
  <si>
    <t>2026.05.22</t>
  </si>
  <si>
    <t>Q0126</t>
  </si>
  <si>
    <t>P0190</t>
  </si>
  <si>
    <t>홍신옥</t>
  </si>
  <si>
    <t>010-3217-1889</t>
  </si>
  <si>
    <t>영등포(재성가족간병인)</t>
  </si>
  <si>
    <t>2026.06.01 15:00</t>
  </si>
  <si>
    <t>2026.06.02 15:00</t>
  </si>
  <si>
    <t>농협 302-1816-1265-71 손창호(재성간병)</t>
  </si>
  <si>
    <t>A0119</t>
  </si>
  <si>
    <t>C0132</t>
  </si>
  <si>
    <t>본인 취소 신청 (2026.04.07 15:06)</t>
  </si>
  <si>
    <t>ㄴㄹㅇ</t>
  </si>
  <si>
    <t>조용운</t>
  </si>
  <si>
    <t>Q0127</t>
  </si>
  <si>
    <t>010-9972-3675</t>
  </si>
  <si>
    <t>기독병원</t>
  </si>
  <si>
    <t>L02151079658</t>
  </si>
  <si>
    <t>안혜지</t>
  </si>
  <si>
    <t>051-602-5717</t>
  </si>
  <si>
    <t>P0193</t>
  </si>
  <si>
    <t>강미정</t>
  </si>
  <si>
    <t>010-3499-3865</t>
  </si>
  <si>
    <t>2026.06.05 11:00</t>
  </si>
  <si>
    <t>2026.06.05 19:40</t>
  </si>
  <si>
    <t>농협 481065 56 020241 강미정</t>
  </si>
  <si>
    <t>A0120</t>
  </si>
  <si>
    <t>C0133</t>
  </si>
  <si>
    <t>Q0128</t>
  </si>
  <si>
    <t>2026.04.12 19:00</t>
  </si>
  <si>
    <t>P0194</t>
  </si>
  <si>
    <t>김정자</t>
  </si>
  <si>
    <t xml:space="preserve">010-7126-9566 </t>
  </si>
  <si>
    <t>2026.06.07 17:00</t>
  </si>
  <si>
    <t>2026.06.10 13:40</t>
  </si>
  <si>
    <t>새마을금고 9003-2730 8247 9 JIN ZHEN JI</t>
  </si>
  <si>
    <t>A0121</t>
  </si>
  <si>
    <t>C0134</t>
  </si>
  <si>
    <t>ㄹㄴㄹㄹㄹㄹㄹㄹㄹㄹㄹㄶㄹㄶㄴㄹㅇㄶㅎ하ㅏㅑㅏㅐㅑㅣ;ㄹ</t>
  </si>
  <si>
    <t>P0196</t>
  </si>
  <si>
    <t>Q0129</t>
  </si>
  <si>
    <t>김복녀</t>
  </si>
  <si>
    <t>010-2425-0710</t>
  </si>
  <si>
    <t>영등포(메디코리아)</t>
  </si>
  <si>
    <t>2026.06.26</t>
  </si>
  <si>
    <t>농협 356 1430 9871 13 김복녀</t>
  </si>
  <si>
    <t>A0122</t>
  </si>
  <si>
    <t>C0135</t>
  </si>
  <si>
    <t>2026.05.20 17:00</t>
  </si>
  <si>
    <t>P0199</t>
  </si>
  <si>
    <t>Q0130</t>
  </si>
  <si>
    <t>박상임</t>
  </si>
  <si>
    <t>010-5353-8966</t>
  </si>
  <si>
    <t>2026.06.27</t>
  </si>
  <si>
    <t>농협 356 0901 8943 53 박상임</t>
  </si>
  <si>
    <t>A0123</t>
  </si>
  <si>
    <t>C0136</t>
  </si>
  <si>
    <t>2026.05.31 17:00</t>
  </si>
  <si>
    <t>이성화</t>
  </si>
  <si>
    <t>042-829-1495</t>
  </si>
  <si>
    <t>송옥자</t>
  </si>
  <si>
    <t>010-2624-3777</t>
  </si>
  <si>
    <t>2026.05.14 17:00</t>
  </si>
  <si>
    <t>P0200</t>
  </si>
  <si>
    <t>2026.05.16 17:00</t>
  </si>
  <si>
    <t>국민은행 518402-01-541766 SONGYUZI</t>
  </si>
  <si>
    <t>Q0131</t>
  </si>
  <si>
    <t>A0124</t>
  </si>
  <si>
    <t>C0138</t>
  </si>
  <si>
    <t>박순천</t>
  </si>
  <si>
    <t>010-9190-0283</t>
  </si>
  <si>
    <t>2026.06.06 14:30</t>
  </si>
  <si>
    <t>2026.06.19 12:00</t>
  </si>
  <si>
    <t>농협 352-0976-8448-23 박순천</t>
  </si>
  <si>
    <t>A0125</t>
  </si>
  <si>
    <t>2026.06.12</t>
  </si>
  <si>
    <t>C0139</t>
  </si>
  <si>
    <t>P0202</t>
  </si>
  <si>
    <t>Q0132</t>
  </si>
  <si>
    <t>2026.06.25 17:00</t>
  </si>
  <si>
    <t>2026.07.04 12:00</t>
  </si>
  <si>
    <t>A0126</t>
  </si>
  <si>
    <t>C0140</t>
  </si>
  <si>
    <t>참병원</t>
  </si>
  <si>
    <t>2024.04.10 11:00</t>
  </si>
  <si>
    <t>P0203</t>
  </si>
  <si>
    <t>정갑순</t>
  </si>
  <si>
    <t>010-5594-2327</t>
  </si>
  <si>
    <t>2026.07.11 12:00</t>
  </si>
  <si>
    <t>A0127</t>
  </si>
  <si>
    <t>C0141</t>
  </si>
  <si>
    <t>Q0133</t>
  </si>
  <si>
    <t>2026.08.05 12:00</t>
  </si>
  <si>
    <t>A0128</t>
  </si>
  <si>
    <t>C0144</t>
  </si>
  <si>
    <t>2026.06.30 17:00</t>
  </si>
  <si>
    <t>P0206</t>
  </si>
  <si>
    <t>Q0134</t>
  </si>
  <si>
    <t>전인숙</t>
  </si>
  <si>
    <t>1969년생</t>
  </si>
  <si>
    <t>010-7681-1615</t>
  </si>
  <si>
    <t>2026.07.08 11:30</t>
  </si>
  <si>
    <t>농협은행 조명임(센터) 356.1196.2339.63</t>
  </si>
  <si>
    <t>A0129</t>
  </si>
  <si>
    <t>해솔한방병원</t>
  </si>
  <si>
    <t>C0145</t>
  </si>
  <si>
    <t>2024.04.10 20:00</t>
  </si>
  <si>
    <t>P0207</t>
  </si>
  <si>
    <t>지주현</t>
  </si>
  <si>
    <t>010-9252-3190</t>
  </si>
  <si>
    <t>2026.05.22 15:00</t>
  </si>
  <si>
    <t>2026.05.26 11:00</t>
  </si>
  <si>
    <t>우리은행 1002-933-224989  서울간병 오정근</t>
  </si>
  <si>
    <t>2026.07.10 19:00</t>
  </si>
  <si>
    <t>A0130</t>
  </si>
  <si>
    <t>C0146</t>
  </si>
  <si>
    <t>Q0135</t>
  </si>
  <si>
    <t>이구남</t>
  </si>
  <si>
    <t>010-8686-5832</t>
  </si>
  <si>
    <t>P0209</t>
  </si>
  <si>
    <t>2026.05.26 15:00</t>
  </si>
  <si>
    <t>2026.06.10.16:00</t>
  </si>
  <si>
    <t>A0131</t>
  </si>
  <si>
    <t>C0147</t>
  </si>
  <si>
    <t>2026.07.20 19:00</t>
  </si>
  <si>
    <t>Q0136</t>
  </si>
  <si>
    <t>김순희</t>
  </si>
  <si>
    <t>010-8454-2078</t>
  </si>
  <si>
    <t>김해좋은간병</t>
  </si>
  <si>
    <t>2026.05.27 14:00</t>
  </si>
  <si>
    <t>2026.05.29 13:00</t>
  </si>
  <si>
    <t>카카오 3333-28-69233-44  김순희</t>
  </si>
  <si>
    <t>042-829-1471</t>
  </si>
  <si>
    <t>A0132</t>
  </si>
  <si>
    <t>2026.07.31 19:00</t>
  </si>
  <si>
    <t>C0148</t>
  </si>
  <si>
    <t>P0211</t>
  </si>
  <si>
    <t>Q0137</t>
  </si>
  <si>
    <t>정은선</t>
  </si>
  <si>
    <t>010-5526-5195</t>
  </si>
  <si>
    <t>리본케어</t>
  </si>
  <si>
    <t>2026.06.06</t>
  </si>
  <si>
    <t>농협 352 0828 3669 13 정은선</t>
  </si>
  <si>
    <t>2026.08.10 19:00</t>
  </si>
  <si>
    <t>A0133</t>
  </si>
  <si>
    <t>C0149</t>
  </si>
  <si>
    <t>8. 25 정대훈 손해사정인 통화-&gt; 8월 10일까지 청구분 입금 확인-&gt; 8월 10일~8월 20일 청구 분은 곧 입금 예정</t>
  </si>
  <si>
    <t>Q0138</t>
  </si>
  <si>
    <t>P0213</t>
  </si>
  <si>
    <t>2026.06.02</t>
  </si>
  <si>
    <t>8월27일 담당자(차연희님 퇴사) 통화-&gt; 확인 후 연락주기로 함-&gt; 8월31일 목승신 담당자 통화-&gt; 척추 협착증으로 재택 간병인데 사전 입원 기록이 없다(아킬레스 건(상해) 수술 입원 기록은 있는데 안 맞는다.)-. 아마 고객이 잘못 알고 진행한 것이 아닌가 싶은데, 자세히 검토해 보고 다시 연락 드리겠다고 함-&gt; 리본케어 간병인 배정 기록과 간병비 지급 내역도 없음-&gt; 확인 요망</t>
  </si>
  <si>
    <t>2026.06.22 08:00</t>
  </si>
  <si>
    <t>2026.06.22 16:00</t>
  </si>
  <si>
    <t>Q0139</t>
  </si>
  <si>
    <t>A0134</t>
  </si>
  <si>
    <t>C0151</t>
  </si>
  <si>
    <t>이윤정</t>
  </si>
  <si>
    <t>010-5262-0763</t>
  </si>
  <si>
    <t>경남 진주시 금산면 금산로 22 102동 503호</t>
  </si>
  <si>
    <t>L02546932288</t>
  </si>
  <si>
    <t>2025.10.24</t>
  </si>
  <si>
    <t>0507-770-6498</t>
  </si>
  <si>
    <t>2026.04.01</t>
  </si>
  <si>
    <t>P0214</t>
  </si>
  <si>
    <t>2~3일</t>
  </si>
  <si>
    <t>2026.04.29 13:00</t>
  </si>
  <si>
    <t>Q0140</t>
  </si>
  <si>
    <t>박재연</t>
  </si>
  <si>
    <t>010-3658-8630</t>
  </si>
  <si>
    <t>2026.05.28 17:00</t>
  </si>
  <si>
    <t>2026.06.01 16:00</t>
  </si>
  <si>
    <t>A0135</t>
  </si>
  <si>
    <t>C0152</t>
  </si>
  <si>
    <t>P0215</t>
  </si>
  <si>
    <t>2026.05.04</t>
  </si>
  <si>
    <t>Q0141</t>
  </si>
  <si>
    <t>C0070</t>
  </si>
  <si>
    <t>010-5032-3515</t>
  </si>
  <si>
    <t>현문숙</t>
  </si>
  <si>
    <t>L02132431355</t>
  </si>
  <si>
    <t>010-3458-0313</t>
  </si>
  <si>
    <t>2021.06.15</t>
  </si>
  <si>
    <t>믿음간병 광주</t>
  </si>
  <si>
    <t>2026.06.01 09:00</t>
  </si>
  <si>
    <t>2026.08.29 12:00</t>
  </si>
  <si>
    <t>광주은행 현문숙 053 121 6471 77</t>
  </si>
  <si>
    <t>A0136</t>
  </si>
  <si>
    <t>C0153</t>
  </si>
  <si>
    <t>5-7일</t>
  </si>
  <si>
    <t>P0216</t>
  </si>
  <si>
    <t>Q0142</t>
  </si>
  <si>
    <t>김미화</t>
  </si>
  <si>
    <t>010-8460-5523</t>
  </si>
  <si>
    <t>2026.06.07 13:00</t>
  </si>
  <si>
    <t>A0137</t>
  </si>
  <si>
    <t>C0154</t>
  </si>
  <si>
    <t>P0217</t>
  </si>
  <si>
    <t>8.26 권나라 담당자 통화-&gt; 5.27 3,240,000 입금(1,890,000+1,350,000)</t>
  </si>
  <si>
    <t>Q0143</t>
  </si>
  <si>
    <t>간병인 섭외중 퇴원</t>
  </si>
  <si>
    <t>김용신</t>
  </si>
  <si>
    <t>010-9788-9621</t>
  </si>
  <si>
    <t>동대문구</t>
  </si>
  <si>
    <t>경희대학교 의료원</t>
  </si>
  <si>
    <t>L02104300231</t>
  </si>
  <si>
    <t>2021.02.10</t>
  </si>
  <si>
    <t>이경숙</t>
  </si>
  <si>
    <t>02-2181-2762</t>
  </si>
  <si>
    <t>2026.06.01</t>
  </si>
  <si>
    <t>2026.06.11</t>
  </si>
  <si>
    <t>A0138</t>
  </si>
  <si>
    <t>C0155</t>
  </si>
  <si>
    <t>P0218</t>
  </si>
  <si>
    <t>김선우</t>
  </si>
  <si>
    <t>010-5617-5131</t>
  </si>
  <si>
    <t>2026.06.30 12:00</t>
  </si>
  <si>
    <t>8.26 권나라 담당자 통화-&gt; 6.9 1,485,000 입금(135,000원x11일)</t>
  </si>
  <si>
    <t>2026.06.01 17:00</t>
  </si>
  <si>
    <t>2026.06.07 18:30</t>
  </si>
  <si>
    <t>Q0144</t>
  </si>
  <si>
    <t>신한은행 110-320-321773 김선우</t>
  </si>
  <si>
    <t>P0219</t>
  </si>
  <si>
    <t>A0139</t>
  </si>
  <si>
    <t>C0156</t>
  </si>
  <si>
    <t>2026.07.10 12:00</t>
  </si>
  <si>
    <t>이춘옥</t>
  </si>
  <si>
    <t>010-5549-8902</t>
  </si>
  <si>
    <t>P0220</t>
  </si>
  <si>
    <t>2026.06.01 08:00</t>
  </si>
  <si>
    <t>2026.06.06 11:00</t>
  </si>
  <si>
    <t>농협 LICHUNYU 207 1865 1013 557</t>
  </si>
  <si>
    <t>A0140</t>
  </si>
  <si>
    <t>C0158</t>
  </si>
  <si>
    <t>8.26 권나라 담당자 통화-&gt; 7.7 4,050,000 입금(135,000원x30일)</t>
  </si>
  <si>
    <t>Q0145</t>
  </si>
  <si>
    <t>P0221</t>
  </si>
  <si>
    <t>박미애</t>
  </si>
  <si>
    <t>010-3439-7248</t>
  </si>
  <si>
    <t>은혜</t>
  </si>
  <si>
    <t>2026.06.02 08:00</t>
  </si>
  <si>
    <t>2026.06.19 10:30</t>
  </si>
  <si>
    <t>우리은행 1002 258 767680  박미애</t>
  </si>
  <si>
    <t>A0141</t>
  </si>
  <si>
    <t>C0159</t>
  </si>
  <si>
    <t>2026.07.31 12:00</t>
  </si>
  <si>
    <t>Q0146</t>
  </si>
  <si>
    <t>2026.06.19 13:00</t>
  </si>
  <si>
    <t>2026.06.26 18:00</t>
  </si>
  <si>
    <t>A0142</t>
  </si>
  <si>
    <t>C0160</t>
  </si>
  <si>
    <t>P0222</t>
  </si>
  <si>
    <t>김송연</t>
  </si>
  <si>
    <t>010-3916-3232</t>
  </si>
  <si>
    <t>개인(환자요청)</t>
  </si>
  <si>
    <t>2026.06.30 09:00</t>
  </si>
  <si>
    <t xml:space="preserve">2026.07.16 14:00 </t>
  </si>
  <si>
    <t>농협 601137 52 322579 김송연</t>
  </si>
  <si>
    <t>A0143</t>
  </si>
  <si>
    <t>C0161</t>
  </si>
  <si>
    <t>Q0147</t>
  </si>
  <si>
    <t>P0226</t>
  </si>
  <si>
    <t>박만희</t>
  </si>
  <si>
    <t>010-9509-7868</t>
  </si>
  <si>
    <t>경상간병연합 창원</t>
  </si>
  <si>
    <t>010-2077-1257</t>
  </si>
  <si>
    <t>2026.06.03 11:00</t>
  </si>
  <si>
    <t>2026.06.15 12:30</t>
  </si>
  <si>
    <t>농협은행 302 0731 7676 11 전영수(센터)</t>
  </si>
  <si>
    <t>A0144</t>
  </si>
  <si>
    <t>C0163</t>
  </si>
  <si>
    <t>중환자실=&gt;병동 (간병사 요청)</t>
  </si>
  <si>
    <t>Q0148</t>
  </si>
  <si>
    <t>P0227</t>
  </si>
  <si>
    <t>김춘선</t>
  </si>
  <si>
    <t>010-5963-8869</t>
  </si>
  <si>
    <t>2026.06.05 16:00</t>
  </si>
  <si>
    <t>2026.06.09 16:00</t>
  </si>
  <si>
    <t>하나은행 1718 9139 682 807</t>
  </si>
  <si>
    <t>A0145</t>
  </si>
  <si>
    <t>C0164</t>
  </si>
  <si>
    <t>김국화</t>
  </si>
  <si>
    <t>010-2164-8096</t>
  </si>
  <si>
    <t>2026.06.04 08:00</t>
  </si>
  <si>
    <t>2026.06.13 11:00</t>
  </si>
  <si>
    <t>농협은행 302-1838-1800-11 JIN GUI HUA</t>
  </si>
  <si>
    <t>A0146</t>
  </si>
  <si>
    <t>C0166</t>
  </si>
  <si>
    <t>P0229</t>
  </si>
  <si>
    <t>Q0149</t>
  </si>
  <si>
    <t>장금매</t>
  </si>
  <si>
    <t>780124-2205518</t>
  </si>
  <si>
    <t>010-8577-8176</t>
  </si>
  <si>
    <t>김리아</t>
  </si>
  <si>
    <t>2026.06.08 08:00</t>
  </si>
  <si>
    <t>새마을금고 9003-2591-5236-1 장금매</t>
  </si>
  <si>
    <t>010-6578-1880</t>
  </si>
  <si>
    <t>A0147</t>
  </si>
  <si>
    <t>푸른바다병원</t>
  </si>
  <si>
    <t>C0167</t>
  </si>
  <si>
    <t>P0230</t>
  </si>
  <si>
    <t>L02353199742</t>
  </si>
  <si>
    <t>2023.10.19</t>
  </si>
  <si>
    <t>인나현</t>
  </si>
  <si>
    <t>02-2181-2369</t>
  </si>
  <si>
    <t>Q0150</t>
  </si>
  <si>
    <t>김추월</t>
  </si>
  <si>
    <t>010-2881-7053</t>
  </si>
  <si>
    <t>2026.06.11 11:00</t>
  </si>
  <si>
    <t>2026.06.29 12:00</t>
  </si>
  <si>
    <t>2026.04.27</t>
  </si>
  <si>
    <t>A0148</t>
  </si>
  <si>
    <t>C0168</t>
  </si>
  <si>
    <t>P0231</t>
  </si>
  <si>
    <t>Q0151</t>
  </si>
  <si>
    <t>나재균</t>
  </si>
  <si>
    <t>010-7626-4982</t>
  </si>
  <si>
    <t>성가롤로병원</t>
  </si>
  <si>
    <t>Q0152</t>
  </si>
  <si>
    <t>L02537080155</t>
  </si>
  <si>
    <t>2025.08.18</t>
  </si>
  <si>
    <t>P0232</t>
  </si>
  <si>
    <t>강영애</t>
  </si>
  <si>
    <t>010-9305-8255</t>
  </si>
  <si>
    <t>진주복음</t>
  </si>
  <si>
    <t>2026.06.10 17:00</t>
  </si>
  <si>
    <t>2026.07.01 10:25</t>
  </si>
  <si>
    <t>농협 266 02 006010 강영애</t>
  </si>
  <si>
    <t>A0149</t>
  </si>
  <si>
    <t>C0169</t>
  </si>
  <si>
    <t>Q0153</t>
  </si>
  <si>
    <t>조말자</t>
  </si>
  <si>
    <t>010-5588-2448</t>
  </si>
  <si>
    <t>2026.06.11 15:00</t>
  </si>
  <si>
    <t>2026.06.22</t>
  </si>
  <si>
    <t>우리은행 1005-304-803945  간병24황세옥</t>
  </si>
  <si>
    <t>P0233</t>
  </si>
  <si>
    <t>A0150</t>
  </si>
  <si>
    <t>C0170</t>
  </si>
  <si>
    <t>Q0154</t>
  </si>
  <si>
    <t>고봉금</t>
  </si>
  <si>
    <t>2026.06.24 12:30</t>
  </si>
  <si>
    <t>2026.07.04 17:00</t>
  </si>
  <si>
    <t>안순옥</t>
  </si>
  <si>
    <t>A0151</t>
  </si>
  <si>
    <t>C0171</t>
  </si>
  <si>
    <t>010-8844-4102</t>
  </si>
  <si>
    <t>충청북도</t>
  </si>
  <si>
    <t>충주시</t>
  </si>
  <si>
    <t xml:space="preserve"> 충주시 주덕읍 화곡리길 81-10</t>
  </si>
  <si>
    <t>L02547780850</t>
  </si>
  <si>
    <t>윤승준</t>
  </si>
  <si>
    <t>02-2181-2718</t>
  </si>
  <si>
    <t>P0234</t>
  </si>
  <si>
    <t>2026.04.06</t>
  </si>
  <si>
    <t>7일 가능</t>
  </si>
  <si>
    <t>Q0155</t>
  </si>
  <si>
    <t>정정옥</t>
  </si>
  <si>
    <t>010-6378-8193</t>
  </si>
  <si>
    <t>2026.06.21 10:00</t>
  </si>
  <si>
    <t>1002-956-536-341 우리은행 정정옥</t>
  </si>
  <si>
    <t>A0152</t>
  </si>
  <si>
    <t>C0172</t>
  </si>
  <si>
    <t>Q0156</t>
  </si>
  <si>
    <t>P0235</t>
  </si>
  <si>
    <t>노재옥</t>
  </si>
  <si>
    <t>010-2019-2836</t>
  </si>
  <si>
    <t>영등포(영광간병협회)</t>
  </si>
  <si>
    <t>2026.06.12 13:00</t>
  </si>
  <si>
    <t>우체국 110 0145 30178 노재욱
농협 351 1362 6632 73 이향란(영광 함평센터)</t>
  </si>
  <si>
    <t>A0153</t>
  </si>
  <si>
    <t>C0173</t>
  </si>
  <si>
    <t>최경희</t>
  </si>
  <si>
    <t>010-3453-5273</t>
  </si>
  <si>
    <t>Q0157</t>
  </si>
  <si>
    <t>대구광역시</t>
  </si>
  <si>
    <t>영남대학교병원</t>
  </si>
  <si>
    <t>L02255438202</t>
  </si>
  <si>
    <t>2022.12.08</t>
  </si>
  <si>
    <t>정대훈</t>
  </si>
  <si>
    <t>02-2181-2771</t>
  </si>
  <si>
    <t>P0236</t>
  </si>
  <si>
    <t>박채원</t>
  </si>
  <si>
    <t>010-5122-7670</t>
  </si>
  <si>
    <t xml:space="preserve">2026.06.16 08:00 </t>
  </si>
  <si>
    <t>농협 815143-52-226207 송태양(헬프케어)</t>
  </si>
  <si>
    <t>A0154</t>
  </si>
  <si>
    <t>C0174</t>
  </si>
  <si>
    <t>2026.04.29 19:00</t>
  </si>
  <si>
    <t>류호정</t>
  </si>
  <si>
    <t>010-5557-4501</t>
  </si>
  <si>
    <t>Q0158</t>
  </si>
  <si>
    <t>2026.06.19: 17:00</t>
  </si>
  <si>
    <t>2026.06.20 08:45</t>
  </si>
  <si>
    <t>A0155</t>
  </si>
  <si>
    <t>C0175</t>
  </si>
  <si>
    <t>P0237</t>
  </si>
  <si>
    <t>박가영</t>
  </si>
  <si>
    <t>010-3608-3237</t>
  </si>
  <si>
    <t>조은간병</t>
  </si>
  <si>
    <t>2026.05.10 19:00</t>
  </si>
  <si>
    <t>2026.06.12 14:00</t>
  </si>
  <si>
    <t>2026.06.26 14:00</t>
  </si>
  <si>
    <t>국민은행 773925 96 105874 박가영</t>
  </si>
  <si>
    <t>A0156</t>
  </si>
  <si>
    <t>C0176</t>
  </si>
  <si>
    <t>Q0159</t>
  </si>
  <si>
    <t>2026.07.20 12:00</t>
  </si>
  <si>
    <t>P0238</t>
  </si>
  <si>
    <t>2026.05.08</t>
  </si>
  <si>
    <t>2026.05.20 19:00</t>
  </si>
  <si>
    <t>김보민</t>
  </si>
  <si>
    <t>010-3353-0122</t>
  </si>
  <si>
    <t>2026.06.17 10:00</t>
  </si>
  <si>
    <t>우리은행 김보민 1002 857 846819</t>
  </si>
  <si>
    <t>Q0160</t>
  </si>
  <si>
    <t>A0157</t>
  </si>
  <si>
    <t>C0177</t>
  </si>
  <si>
    <t>P0239</t>
  </si>
  <si>
    <t>2026.05.31 19:00</t>
  </si>
  <si>
    <t>정미옥</t>
  </si>
  <si>
    <t>010-8858-3909</t>
  </si>
  <si>
    <t>소망</t>
  </si>
  <si>
    <t>Q0161</t>
  </si>
  <si>
    <t>2026.06.29 17:00</t>
  </si>
  <si>
    <t>2026.08.06 12:00</t>
  </si>
  <si>
    <t>우체국 110-0009-49071 정미옥</t>
  </si>
  <si>
    <t>A0158</t>
  </si>
  <si>
    <t>C0179</t>
  </si>
  <si>
    <t>퇴원후 재입원=&gt;서비스요청</t>
  </si>
  <si>
    <t>2026.08.31 09:00</t>
  </si>
  <si>
    <t>P0240</t>
  </si>
  <si>
    <t>안은자</t>
  </si>
  <si>
    <t>010-8323-7909</t>
  </si>
  <si>
    <t>2026.06.15 19:00</t>
  </si>
  <si>
    <t>2026.06.10 19:00</t>
  </si>
  <si>
    <t>농협 안은자 7940 1046 431</t>
  </si>
  <si>
    <t>A0159</t>
  </si>
  <si>
    <t>C0181</t>
  </si>
  <si>
    <t>Q0162</t>
  </si>
  <si>
    <t>2026.06.20 19:00</t>
  </si>
  <si>
    <t>P0242</t>
  </si>
  <si>
    <t>Q0163</t>
  </si>
  <si>
    <t>하선경</t>
  </si>
  <si>
    <t>010-2936-1970</t>
  </si>
  <si>
    <t>새마을금고 9003 2804 4097 8 하선경</t>
  </si>
  <si>
    <t>A0160</t>
  </si>
  <si>
    <t>C0182</t>
  </si>
  <si>
    <t>2026.06.30 19:00</t>
  </si>
  <si>
    <t>P0244</t>
  </si>
  <si>
    <t>Q0164</t>
  </si>
  <si>
    <t>광주 북구 양산제로 30 201동 1301호</t>
  </si>
  <si>
    <t>2026.07.23</t>
  </si>
  <si>
    <t>2026.07.25</t>
  </si>
  <si>
    <t>A0161</t>
  </si>
  <si>
    <t>C0183</t>
  </si>
  <si>
    <t>Q0165</t>
  </si>
  <si>
    <t>P0246</t>
  </si>
  <si>
    <t>김광숙</t>
  </si>
  <si>
    <t>010-5358-1956</t>
  </si>
  <si>
    <t>신안간병</t>
  </si>
  <si>
    <t>010-4064-7557</t>
  </si>
  <si>
    <t>2026.07.26</t>
  </si>
  <si>
    <t>2026.08.12</t>
  </si>
  <si>
    <t xml:space="preserve">농협 653012 52 088960 김하영(간병콜센터) 휴무4일 </t>
  </si>
  <si>
    <t>A0162</t>
  </si>
  <si>
    <t>C0184</t>
  </si>
  <si>
    <t>P0248</t>
  </si>
  <si>
    <t>서명조</t>
  </si>
  <si>
    <t>010-5499-6741</t>
  </si>
  <si>
    <t>Q0166</t>
  </si>
  <si>
    <t>2026.06.20 12:00</t>
  </si>
  <si>
    <t>우체국 613935-02-079204 최수환(남편)</t>
  </si>
  <si>
    <t>A0163</t>
  </si>
  <si>
    <t>C0185</t>
  </si>
  <si>
    <t>P0250</t>
  </si>
  <si>
    <t>신계숙</t>
  </si>
  <si>
    <t>2026.08.10 15:00</t>
  </si>
  <si>
    <t>2026.08.26 12:00</t>
  </si>
  <si>
    <t>새마을금고신계숙1406-10-0096583</t>
  </si>
  <si>
    <t>A0164</t>
  </si>
  <si>
    <t>C0186</t>
  </si>
  <si>
    <t>Q0167</t>
  </si>
  <si>
    <t>더나은병원</t>
  </si>
  <si>
    <t>정경숙</t>
  </si>
  <si>
    <t>010-3616-1009</t>
  </si>
  <si>
    <t>2026.06.23 12:30</t>
  </si>
  <si>
    <t>2026.07.01 12:30</t>
  </si>
  <si>
    <t>농협 352.1025.5431.03 정경숙</t>
  </si>
  <si>
    <t>A0165</t>
  </si>
  <si>
    <t>C0187</t>
  </si>
  <si>
    <t>P0253</t>
  </si>
  <si>
    <t>홍묘숙</t>
  </si>
  <si>
    <t>010-3447-5566</t>
  </si>
  <si>
    <t>농협은행 601177-56-265627윤지회</t>
  </si>
  <si>
    <t>Q0168</t>
  </si>
  <si>
    <t>A0166</t>
  </si>
  <si>
    <t>C0188</t>
  </si>
  <si>
    <t>P0255</t>
  </si>
  <si>
    <t>장현숙</t>
  </si>
  <si>
    <t>010-4162-1199</t>
  </si>
  <si>
    <t>2026.06.24 08:00</t>
  </si>
  <si>
    <t>2026.06.27 09:00</t>
  </si>
  <si>
    <t>농협 장현숙 302-0152-3900-61</t>
  </si>
  <si>
    <t>A0167</t>
  </si>
  <si>
    <t>C0189</t>
  </si>
  <si>
    <t>Q0169</t>
  </si>
  <si>
    <t>김영자</t>
  </si>
  <si>
    <t>010-5377-4781</t>
  </si>
  <si>
    <t>2026.05.10 13:00</t>
  </si>
  <si>
    <t>2026.06.29 16:30</t>
  </si>
  <si>
    <t>2026.07.03 07:00</t>
  </si>
  <si>
    <t>농협 김영자 350-02-180950</t>
  </si>
  <si>
    <t>P0257</t>
  </si>
  <si>
    <t>Q0170</t>
  </si>
  <si>
    <t>A0168</t>
  </si>
  <si>
    <t>C0190</t>
  </si>
  <si>
    <t>2026.05.18 16:00</t>
  </si>
  <si>
    <t>Q0171</t>
  </si>
  <si>
    <t>박미영</t>
  </si>
  <si>
    <t>010-5545-1284</t>
  </si>
  <si>
    <t>2026.07.04 10:00</t>
  </si>
  <si>
    <t>2026.07.04 13:30</t>
  </si>
  <si>
    <t>1021-01-9271833 전북은행 윤준호(행복)/대자인병원으로 하루 간병함</t>
  </si>
  <si>
    <t>A0169</t>
  </si>
  <si>
    <t>C0191</t>
  </si>
  <si>
    <t>P0259</t>
  </si>
  <si>
    <t>본인 서비스 취소</t>
  </si>
  <si>
    <t>고수연</t>
  </si>
  <si>
    <t>이수빈</t>
  </si>
  <si>
    <t>010-7629-9020</t>
  </si>
  <si>
    <t>2026.07.08 11:35</t>
  </si>
  <si>
    <t>제주특별자치도</t>
  </si>
  <si>
    <t>2026.07.08 12:40</t>
  </si>
  <si>
    <t>제주시</t>
  </si>
  <si>
    <t>Q0172</t>
  </si>
  <si>
    <t>제주도 제주시 정존3길 11, 웰빙파크 102호</t>
  </si>
  <si>
    <t>A0170</t>
  </si>
  <si>
    <t>C0192</t>
  </si>
  <si>
    <t>L02544870641</t>
  </si>
  <si>
    <t>2025.10.10</t>
  </si>
  <si>
    <t>차연희</t>
  </si>
  <si>
    <t>02-2181-2720</t>
  </si>
  <si>
    <t>2026.04.08</t>
  </si>
  <si>
    <t>14일</t>
  </si>
  <si>
    <t>P0260</t>
  </si>
  <si>
    <t>오정아</t>
  </si>
  <si>
    <t>010-6768-7565</t>
  </si>
  <si>
    <t>2026.07.08 17:00</t>
  </si>
  <si>
    <t>2026.07.09 21:00</t>
  </si>
  <si>
    <t>A0171</t>
  </si>
  <si>
    <t>C0193</t>
  </si>
  <si>
    <t>Q0173</t>
  </si>
  <si>
    <t>신정숙</t>
  </si>
  <si>
    <t>010-7704-3138</t>
  </si>
  <si>
    <t>지평선케어</t>
  </si>
  <si>
    <t>2026.04.29 11:20</t>
  </si>
  <si>
    <t>010-5115-9170</t>
  </si>
  <si>
    <t>2026.06.24 15:00</t>
  </si>
  <si>
    <t>새마을금고 5138-10-010-6711 지평선케어</t>
  </si>
  <si>
    <t>A0172</t>
  </si>
  <si>
    <t>C0194</t>
  </si>
  <si>
    <t>P0261</t>
  </si>
  <si>
    <t>Q0174</t>
  </si>
  <si>
    <t>오영숙</t>
  </si>
  <si>
    <t>중랑구</t>
  </si>
  <si>
    <t>서울의료원</t>
  </si>
  <si>
    <t>L02234908224</t>
  </si>
  <si>
    <t>2022.08.02</t>
  </si>
  <si>
    <t>이지혜</t>
  </si>
  <si>
    <t>062-602-3911</t>
  </si>
  <si>
    <t>6~7일</t>
  </si>
  <si>
    <t>이명희</t>
  </si>
  <si>
    <t>010-8257-6712</t>
  </si>
  <si>
    <t>케어링파트너스</t>
  </si>
  <si>
    <t>2026.05.10 11:20</t>
  </si>
  <si>
    <t>2026.06.29 14:00</t>
  </si>
  <si>
    <t>2026.06.30 18:00</t>
  </si>
  <si>
    <t>농협 352 1682 5290 13  방은식</t>
  </si>
  <si>
    <t>A0173</t>
  </si>
  <si>
    <t>C0195</t>
  </si>
  <si>
    <t>Q0175</t>
  </si>
  <si>
    <t>P0263</t>
  </si>
  <si>
    <t>2026.05.20 11:20</t>
  </si>
  <si>
    <t>심봉화</t>
  </si>
  <si>
    <t>010-9966-0946</t>
  </si>
  <si>
    <t>2026.07.03 18:00</t>
  </si>
  <si>
    <t>Q0176</t>
  </si>
  <si>
    <t>A0174</t>
  </si>
  <si>
    <t>C0196</t>
  </si>
  <si>
    <t>2026.05.15 19:00</t>
  </si>
  <si>
    <t>P0264</t>
  </si>
  <si>
    <t>Q0177</t>
  </si>
  <si>
    <t>2026.07.16</t>
  </si>
  <si>
    <t>지영희</t>
  </si>
  <si>
    <t>A0175</t>
  </si>
  <si>
    <t>C0197</t>
  </si>
  <si>
    <t>010-5440-0886</t>
  </si>
  <si>
    <t>광진구</t>
  </si>
  <si>
    <t>편안한요양병원(구의동)</t>
  </si>
  <si>
    <t>L02217077673</t>
  </si>
  <si>
    <t>2022.04.15</t>
  </si>
  <si>
    <t>권나라</t>
  </si>
  <si>
    <t>042-829-1499</t>
  </si>
  <si>
    <t>Q0178</t>
  </si>
  <si>
    <t>조명순</t>
  </si>
  <si>
    <t>메디코리아(간병코리아)</t>
  </si>
  <si>
    <t>010-4347-5050</t>
  </si>
  <si>
    <t>2026.06.30 13:00</t>
  </si>
  <si>
    <t>2026.07.28 14:00</t>
  </si>
  <si>
    <t>P0265</t>
  </si>
  <si>
    <t>농협 312 019 7849 411 조명순</t>
  </si>
  <si>
    <t>A0176</t>
  </si>
  <si>
    <t>C0198</t>
  </si>
  <si>
    <t>2026.05.10 10:00</t>
  </si>
  <si>
    <t>Q0179</t>
  </si>
  <si>
    <t>김경숙</t>
  </si>
  <si>
    <t>010-4386-8983</t>
  </si>
  <si>
    <t>환자요청</t>
  </si>
  <si>
    <t>농협 352 10 16972 663 유설희(딸)</t>
  </si>
  <si>
    <t>A0177</t>
  </si>
  <si>
    <t>C0200</t>
  </si>
  <si>
    <t>P0266</t>
  </si>
  <si>
    <t>2026.05.20 10:00</t>
  </si>
  <si>
    <t>Q0180</t>
  </si>
  <si>
    <t>김은진</t>
  </si>
  <si>
    <t>010-5156-0813</t>
  </si>
  <si>
    <t>2026.07.09 14:30</t>
  </si>
  <si>
    <t>2026.07.13 13:00</t>
  </si>
  <si>
    <t>농협 352 009 7542 543 김은진</t>
  </si>
  <si>
    <t>A0178</t>
  </si>
  <si>
    <t>C0201</t>
  </si>
  <si>
    <t>2026.05.31 14:00</t>
  </si>
  <si>
    <t>Q0181</t>
  </si>
  <si>
    <t>P0267</t>
  </si>
  <si>
    <t>이성옥</t>
  </si>
  <si>
    <t>010-8487-4055</t>
  </si>
  <si>
    <t>영등포(일과사람들)</t>
  </si>
  <si>
    <t>010-7711-1896</t>
  </si>
  <si>
    <t>2026.07.13 10:30</t>
  </si>
  <si>
    <t>2026.09.02 10:30</t>
  </si>
  <si>
    <t xml:space="preserve">우리 1005-904-871712 일과사람들 </t>
  </si>
  <si>
    <t>A0179</t>
  </si>
  <si>
    <t>C0202</t>
  </si>
  <si>
    <t>2026.06.10 14:00</t>
  </si>
  <si>
    <t>Q0182</t>
  </si>
  <si>
    <t>서진숙</t>
  </si>
  <si>
    <t>010-9983-3927</t>
  </si>
  <si>
    <t>2026.07.13 12:00</t>
  </si>
  <si>
    <t>2026.07.16 14:00</t>
  </si>
  <si>
    <t>P0268</t>
  </si>
  <si>
    <t>신한은행 110  281 912712  서진숙</t>
  </si>
  <si>
    <t>A0180</t>
  </si>
  <si>
    <t>C0203</t>
  </si>
  <si>
    <t>2026.06.20 14:00</t>
  </si>
  <si>
    <t>Q0183</t>
  </si>
  <si>
    <t>1개월에 한번씩 청구해 달라(고객 입원서류), 5월26일 권나라님 통화8월12일이후 입금미확인</t>
  </si>
  <si>
    <t>조순호</t>
  </si>
  <si>
    <t>010-2439-4884</t>
  </si>
  <si>
    <t>경희의료원</t>
  </si>
  <si>
    <t>L02219238024</t>
  </si>
  <si>
    <t>2022.04.28</t>
  </si>
  <si>
    <t>이태길</t>
  </si>
  <si>
    <t>노희정</t>
  </si>
  <si>
    <t>010-5859-6566</t>
  </si>
  <si>
    <t>062-602-3910</t>
  </si>
  <si>
    <t>2026.07.16 09:00</t>
  </si>
  <si>
    <t>7일미지급/지급완료</t>
  </si>
  <si>
    <t>A0181</t>
  </si>
  <si>
    <t>2026.04.13</t>
  </si>
  <si>
    <t>C0205</t>
  </si>
  <si>
    <t>7일</t>
  </si>
  <si>
    <t>Q0184</t>
  </si>
  <si>
    <t>P0269</t>
  </si>
  <si>
    <t>이복희</t>
  </si>
  <si>
    <t>010-3521-1914</t>
  </si>
  <si>
    <t>2026.07.15 14:00</t>
  </si>
  <si>
    <t>2026.07.17 10:00</t>
  </si>
  <si>
    <t>농협 351 1091-7979-93  이진호</t>
  </si>
  <si>
    <t>A0182</t>
  </si>
  <si>
    <t>C0206</t>
  </si>
  <si>
    <t>2026.07.07</t>
  </si>
  <si>
    <t>Q0185</t>
  </si>
  <si>
    <t>2026.07.20 09:00</t>
  </si>
  <si>
    <t>P0270</t>
  </si>
  <si>
    <t>최수완</t>
  </si>
  <si>
    <t>010-3326-0678</t>
  </si>
  <si>
    <t>2026.07.18</t>
  </si>
  <si>
    <t>9월부터 다시 진행(간병일지 확인요망) / 영등포 제이더블유코퍼레이션 진병관 신협 132121402334</t>
  </si>
  <si>
    <t>A0183</t>
  </si>
  <si>
    <t>C0207</t>
  </si>
  <si>
    <t>보호자 조수영 / 한창우 04.16 하루 미간병</t>
  </si>
  <si>
    <t>김경재</t>
  </si>
  <si>
    <t>남양주시</t>
  </si>
  <si>
    <t>한양병원</t>
  </si>
  <si>
    <t>Q0186</t>
  </si>
  <si>
    <t>L02122819667</t>
  </si>
  <si>
    <t>2021.04.26</t>
  </si>
  <si>
    <t>2605075553
2604544391</t>
  </si>
  <si>
    <t>최은아</t>
  </si>
  <si>
    <t>062-602-3965</t>
  </si>
  <si>
    <t>김금녀</t>
  </si>
  <si>
    <t>010-9719-6350</t>
  </si>
  <si>
    <t>P0271</t>
  </si>
  <si>
    <t>2026.07.22 08:30</t>
  </si>
  <si>
    <t>2026.08.13 08:30</t>
  </si>
  <si>
    <t>농협 351 1382 5198 53 BAI TAIFENG</t>
  </si>
  <si>
    <t>A0184</t>
  </si>
  <si>
    <t>C0208</t>
  </si>
  <si>
    <t>Q0187</t>
  </si>
  <si>
    <t>신수복</t>
  </si>
  <si>
    <t>영등포(정성담은)</t>
  </si>
  <si>
    <t>2026.07.22 09:00</t>
  </si>
  <si>
    <t>2026.08.04 14:00</t>
  </si>
  <si>
    <t>새마을금고 김숙희 9002-2082-8872-2</t>
  </si>
  <si>
    <t>A0185</t>
  </si>
  <si>
    <t>C0209</t>
  </si>
  <si>
    <t>2026.08.10 09:00</t>
  </si>
  <si>
    <t>P0272</t>
  </si>
  <si>
    <t>8월27일 통화-&gt; 7월21일~8월11일 2,709,000원 입금-&gt; 일당 129,000원 계산했다고 함-&gt; 이전 것도 모두 129,000/일 계산-&gt; 확인 필요</t>
  </si>
  <si>
    <t>Q0188</t>
  </si>
  <si>
    <t>최덕순</t>
  </si>
  <si>
    <t>010-2255-4186</t>
  </si>
  <si>
    <t>메트로병원</t>
  </si>
  <si>
    <t>L02141347179</t>
  </si>
  <si>
    <t>2021.07.29</t>
  </si>
  <si>
    <t>010-8419-1074</t>
  </si>
  <si>
    <t xml:space="preserve">
하태영</t>
  </si>
  <si>
    <t>2026.07.24 09:00</t>
  </si>
  <si>
    <t>051-602-5720
053-640-4764</t>
  </si>
  <si>
    <t>국민은행 086 21 0312 231 이영숙</t>
  </si>
  <si>
    <t>A0186</t>
  </si>
  <si>
    <t>C0210</t>
  </si>
  <si>
    <t>2026.04.30 13:00</t>
  </si>
  <si>
    <t>2026.05.15</t>
  </si>
  <si>
    <t>P0273</t>
  </si>
  <si>
    <t>차액 입금 확인</t>
  </si>
  <si>
    <t>Q0189</t>
  </si>
  <si>
    <t>정남숙</t>
  </si>
  <si>
    <t>010-9800-8039</t>
  </si>
  <si>
    <t>메디코리아</t>
  </si>
  <si>
    <t>010-7259-8086</t>
  </si>
  <si>
    <t>2026.07.20 17:00</t>
  </si>
  <si>
    <t>2026.07.21 16:00</t>
  </si>
  <si>
    <t>국민은행 462 602-04-464611 정남숙</t>
  </si>
  <si>
    <t>A0187</t>
  </si>
  <si>
    <t>C0211</t>
  </si>
  <si>
    <t>Q0190</t>
  </si>
  <si>
    <t>P0275</t>
  </si>
  <si>
    <t>이영기</t>
  </si>
  <si>
    <t>한복선</t>
  </si>
  <si>
    <t>010-8833-5734</t>
  </si>
  <si>
    <t>010-9978-6575</t>
  </si>
  <si>
    <t>국민은행 456102-04-069080 한복선</t>
  </si>
  <si>
    <t>서울삼성병원</t>
  </si>
  <si>
    <t>A0188</t>
  </si>
  <si>
    <t>C0212</t>
  </si>
  <si>
    <t>2026.05.22 13:00</t>
  </si>
  <si>
    <t>L02104893082</t>
  </si>
  <si>
    <t>2021.01.22</t>
  </si>
  <si>
    <t>배서은</t>
  </si>
  <si>
    <t>051-602-5720</t>
  </si>
  <si>
    <t>Q0191</t>
  </si>
  <si>
    <t>P0277</t>
  </si>
  <si>
    <t>2026.07.19 21:00</t>
  </si>
  <si>
    <t xml:space="preserve">우리은행 1005-304-803945  </t>
  </si>
  <si>
    <t>A0189</t>
  </si>
  <si>
    <t>C0213</t>
  </si>
  <si>
    <t>Q0192</t>
  </si>
  <si>
    <t>P0279</t>
  </si>
  <si>
    <t>강형률</t>
  </si>
  <si>
    <t>010-5486-8836</t>
  </si>
  <si>
    <t>2026.07.21 21:00</t>
  </si>
  <si>
    <t>2026.08.22 11:00</t>
  </si>
  <si>
    <t>Q0193</t>
  </si>
  <si>
    <t>우리은행 1005-304-803945  간병24</t>
  </si>
  <si>
    <t>A0190</t>
  </si>
  <si>
    <t>C0214</t>
  </si>
  <si>
    <t>정춘영</t>
  </si>
  <si>
    <t>010-3689-7050</t>
  </si>
  <si>
    <t>정읍시</t>
  </si>
  <si>
    <t>광주OK정형외과(광주광역시)</t>
  </si>
  <si>
    <t>L02104612143</t>
  </si>
  <si>
    <t>2021.01.21</t>
  </si>
  <si>
    <t>2026.05.03 24:00</t>
  </si>
  <si>
    <t>P0281</t>
  </si>
  <si>
    <t>010-7616-0109</t>
  </si>
  <si>
    <t>Q0194</t>
  </si>
  <si>
    <t>2026.07.31 11:00</t>
  </si>
  <si>
    <t>A0191</t>
  </si>
  <si>
    <t>C0217</t>
  </si>
  <si>
    <t>Q0195</t>
  </si>
  <si>
    <t>신명옥</t>
  </si>
  <si>
    <t>010-7147-0816</t>
  </si>
  <si>
    <t>P0284</t>
  </si>
  <si>
    <t>2026.07.23 14:00</t>
  </si>
  <si>
    <t>2026.07.25 09:00</t>
  </si>
  <si>
    <t>A0192</t>
  </si>
  <si>
    <t>C0218</t>
  </si>
  <si>
    <t>Q0196</t>
  </si>
  <si>
    <t>05.08 129만원 간병비 처리되었는데, 피보험자에게 지급된 내역 확인됨 (담당자 14:00 퇴근자임) =&gt; 확인 필요</t>
  </si>
  <si>
    <t>김정은</t>
  </si>
  <si>
    <t>남양주시 도농로 34, 304동 403호</t>
  </si>
  <si>
    <t>L02544607314</t>
  </si>
  <si>
    <t>2026.04.30 24:00</t>
  </si>
  <si>
    <t>김소형</t>
  </si>
  <si>
    <t>P0285</t>
  </si>
  <si>
    <t>조성자</t>
  </si>
  <si>
    <t>010-5590-9137</t>
  </si>
  <si>
    <t>믿음간병(광주)</t>
  </si>
  <si>
    <t>2026.07.22 10:00</t>
  </si>
  <si>
    <t>2026.07.31 17:00</t>
  </si>
  <si>
    <t>농협 조성자  645 12 003175</t>
  </si>
  <si>
    <t>6일</t>
  </si>
  <si>
    <t>A0193</t>
  </si>
  <si>
    <t>C0219</t>
  </si>
  <si>
    <t>2026.07.29</t>
  </si>
  <si>
    <t>Q0197</t>
  </si>
  <si>
    <t>박성열</t>
  </si>
  <si>
    <t>010-5312-0859</t>
  </si>
  <si>
    <t>010-3419-3828</t>
  </si>
  <si>
    <t>2026.07.06 10:00</t>
  </si>
  <si>
    <t>2026.07.24 14:00</t>
  </si>
  <si>
    <t>부산은행 010 2775 3828  차차간병협회</t>
  </si>
  <si>
    <t>A0194</t>
  </si>
  <si>
    <t>C0220</t>
  </si>
  <si>
    <t>2026.08.01 11:00</t>
  </si>
  <si>
    <t>P0286</t>
  </si>
  <si>
    <t>2026.08.01</t>
  </si>
  <si>
    <t>Q0198</t>
  </si>
  <si>
    <t>손명자</t>
  </si>
  <si>
    <t>010-6806-8820</t>
  </si>
  <si>
    <t>2026.08.06 14:00</t>
  </si>
  <si>
    <t>2026.08.21 18 :00</t>
  </si>
  <si>
    <t>가족간병(010-5357-9993)</t>
  </si>
  <si>
    <t>A0195</t>
  </si>
  <si>
    <t>C0221</t>
  </si>
  <si>
    <t>2026.08.09:11:00</t>
  </si>
  <si>
    <t>김우현</t>
  </si>
  <si>
    <t>010-9377-5402 / 010-6338-9998</t>
  </si>
  <si>
    <t>동구</t>
  </si>
  <si>
    <t>파티마병원</t>
  </si>
  <si>
    <t>L02156928172</t>
  </si>
  <si>
    <t>2021.11.04</t>
  </si>
  <si>
    <t>P0288</t>
  </si>
  <si>
    <t>0507-071-0563</t>
  </si>
  <si>
    <t>8월25일 1,440,000원 입금 확인-&gt; 우리은행 통장</t>
  </si>
  <si>
    <t>Q0199</t>
  </si>
  <si>
    <t>손선화</t>
  </si>
  <si>
    <t>2026.05.10 14:30</t>
  </si>
  <si>
    <t>010-2860-6727</t>
  </si>
  <si>
    <t>2026.07.23 12:00</t>
  </si>
  <si>
    <t>2026.07.24 12:00</t>
  </si>
  <si>
    <t>농협 손선화 352-1862-9253-83</t>
  </si>
  <si>
    <t>Q0200</t>
  </si>
  <si>
    <t>2026.05.21 11:00</t>
  </si>
  <si>
    <t>A0196</t>
  </si>
  <si>
    <t>C0222</t>
  </si>
  <si>
    <t>P0289</t>
  </si>
  <si>
    <t>Q0201</t>
  </si>
  <si>
    <t>2026.07.23 16:00</t>
  </si>
  <si>
    <t>이담</t>
  </si>
  <si>
    <t>A0197</t>
  </si>
  <si>
    <t>C0224</t>
  </si>
  <si>
    <t>010-4309-4949</t>
  </si>
  <si>
    <t>2026.05.23 11:00</t>
  </si>
  <si>
    <t>은평구</t>
  </si>
  <si>
    <t>가톨릭대학교 은평성모병원</t>
  </si>
  <si>
    <t>L02142675023</t>
  </si>
  <si>
    <t>P0290</t>
  </si>
  <si>
    <t>2021.08.24</t>
  </si>
  <si>
    <t>하태영</t>
  </si>
  <si>
    <t>053-640-4764</t>
  </si>
  <si>
    <t>2026.05.31 09:00</t>
  </si>
  <si>
    <t>정선남</t>
  </si>
  <si>
    <t>010-3495-1663</t>
  </si>
  <si>
    <t>2026.07.24 09:30</t>
  </si>
  <si>
    <t>A0198</t>
  </si>
  <si>
    <t>C0226</t>
  </si>
  <si>
    <t>지급 단가 기준</t>
  </si>
  <si>
    <t>2026.05.02 17:00</t>
  </si>
  <si>
    <t>P0291</t>
  </si>
  <si>
    <t>1. 사용일당담보 : 고객에게 청구한 상태
2. 8월26일 본인은보험사에서문자로 이미간병비가지급되었다고 문자를받음 
   내용은간병비지급하고남은금액 돌려준다고해서 입금되었다.
   험사로 알라보라고하심/문자받은전화번호 알려주신다고하고 종료
3. 보험사와 알아서 하라고 함.</t>
  </si>
  <si>
    <t>Q0202</t>
  </si>
  <si>
    <t>원애화</t>
  </si>
  <si>
    <t>010-8719-1319</t>
  </si>
  <si>
    <t>2026.08.03 15:10</t>
  </si>
  <si>
    <t>2026.08.10 17:00</t>
  </si>
  <si>
    <t>A0199</t>
  </si>
  <si>
    <t>C0227</t>
  </si>
  <si>
    <t>2026.06.10 09:00</t>
  </si>
  <si>
    <t>P0292</t>
  </si>
  <si>
    <t>Q0203</t>
  </si>
  <si>
    <t>김태자</t>
  </si>
  <si>
    <t>010-8756-3981</t>
  </si>
  <si>
    <t>희망찬병원 (병점)</t>
  </si>
  <si>
    <t>L02232262697</t>
  </si>
  <si>
    <t>2022.07.18</t>
  </si>
  <si>
    <t>김지훈</t>
  </si>
  <si>
    <t>051-602-5721</t>
  </si>
  <si>
    <t>2026.04.21</t>
  </si>
  <si>
    <t>박찬녀</t>
  </si>
  <si>
    <t>010-7958-4777</t>
  </si>
  <si>
    <t>2026.07.30 11:00</t>
  </si>
  <si>
    <t>P0293</t>
  </si>
  <si>
    <t>2026.08.30 11:00</t>
  </si>
  <si>
    <t>A0200</t>
  </si>
  <si>
    <t>C0228</t>
  </si>
  <si>
    <t>2026.06.20 09:00</t>
  </si>
  <si>
    <t>Q0204</t>
  </si>
  <si>
    <t>P0294</t>
  </si>
  <si>
    <t>피해선</t>
  </si>
  <si>
    <t>010-3923-8381</t>
  </si>
  <si>
    <t>2026.08.11 18:00</t>
  </si>
  <si>
    <t>국민은행 0507 0204 0949 63 피해선</t>
  </si>
  <si>
    <t>A0201</t>
  </si>
  <si>
    <t>C0229</t>
  </si>
  <si>
    <t>Q0205</t>
  </si>
  <si>
    <t>2026.05.20 11:00</t>
  </si>
  <si>
    <t>말바우재활의학과의원</t>
  </si>
  <si>
    <t>P0295</t>
  </si>
  <si>
    <t>L02154171808</t>
  </si>
  <si>
    <t>2021.10.20</t>
  </si>
  <si>
    <t>2026.04.25</t>
  </si>
  <si>
    <t>4~5일</t>
  </si>
  <si>
    <t>양희원</t>
  </si>
  <si>
    <t>010-3669-5973</t>
  </si>
  <si>
    <t>2026.07.10 09:00</t>
  </si>
  <si>
    <t>2026.07.31 15:00</t>
  </si>
  <si>
    <t>2026.08.05 13:00</t>
  </si>
  <si>
    <t>A0202</t>
  </si>
  <si>
    <t>C0230</t>
  </si>
  <si>
    <t>Q0206</t>
  </si>
  <si>
    <t>P0296</t>
  </si>
  <si>
    <t>2026.06.10 11:00</t>
  </si>
  <si>
    <t>김수정</t>
  </si>
  <si>
    <t>010-6263-2852</t>
  </si>
  <si>
    <t>2026.08.06 11:00</t>
  </si>
  <si>
    <t>Q0207</t>
  </si>
  <si>
    <t>50031402358987우체국/김진숙환자지급계좌 /간병인에게직접지급한것</t>
  </si>
  <si>
    <t>P0297</t>
  </si>
  <si>
    <t>문영해</t>
  </si>
  <si>
    <t>A0203</t>
  </si>
  <si>
    <t>C0231</t>
  </si>
  <si>
    <t>010-4418-8877</t>
  </si>
  <si>
    <t>안산시</t>
  </si>
  <si>
    <t>근로복지공단 안산병원</t>
  </si>
  <si>
    <t>L02214695150</t>
  </si>
  <si>
    <t>2022.04.01</t>
  </si>
  <si>
    <t>김지은</t>
  </si>
  <si>
    <t>062-602-3903</t>
  </si>
  <si>
    <t>2026.07.24 11:00</t>
  </si>
  <si>
    <t>P0298</t>
  </si>
  <si>
    <t>정맹구</t>
  </si>
  <si>
    <t>010-4548-4053</t>
  </si>
  <si>
    <t>간병콜센터(목포)</t>
  </si>
  <si>
    <t>Q0208</t>
  </si>
  <si>
    <t>2026.08.07 07:00</t>
  </si>
  <si>
    <t>2026.08.10 18:00</t>
  </si>
  <si>
    <t>농협은행 653012 52 088960 김하영</t>
  </si>
  <si>
    <t>A0204</t>
  </si>
  <si>
    <t>C0232</t>
  </si>
  <si>
    <t>P0299</t>
  </si>
  <si>
    <t>2026.05.11.14:40</t>
  </si>
  <si>
    <t>김동심</t>
  </si>
  <si>
    <t>010-9530-9004</t>
  </si>
  <si>
    <t>2026.08.11 07:00</t>
  </si>
  <si>
    <t>2026.08.25.11:00</t>
  </si>
  <si>
    <t>A0205</t>
  </si>
  <si>
    <t>Q0209</t>
  </si>
  <si>
    <t>C0233</t>
  </si>
  <si>
    <t>05.10 기준 정산 &amp; 05.31기준 정산 요청/8월10까지입금완료 /케어진행중</t>
  </si>
  <si>
    <t>이정완</t>
  </si>
  <si>
    <t>010-4518-8778</t>
  </si>
  <si>
    <t>대자인병원 (전주)</t>
  </si>
  <si>
    <t>L02325598208</t>
  </si>
  <si>
    <t>2023.05.24</t>
  </si>
  <si>
    <t>이민희</t>
  </si>
  <si>
    <t>02-2181-2302</t>
  </si>
  <si>
    <t>2026.04.23</t>
  </si>
  <si>
    <t>P0300</t>
  </si>
  <si>
    <t>박정선</t>
  </si>
  <si>
    <t>010-9677-5100</t>
  </si>
  <si>
    <t>2026.08.06 17:00</t>
  </si>
  <si>
    <t>2026.08.18 1:00</t>
  </si>
  <si>
    <t>부산은행 박정선 117-12-022969-1</t>
  </si>
  <si>
    <t>A0206</t>
  </si>
  <si>
    <t>C0234</t>
  </si>
  <si>
    <t>2026.05.20 14:40</t>
  </si>
  <si>
    <t>Q0210</t>
  </si>
  <si>
    <t>P0301</t>
  </si>
  <si>
    <t>김연주</t>
  </si>
  <si>
    <t>010-7327-6760</t>
  </si>
  <si>
    <t>2026.08.10 11:00</t>
  </si>
  <si>
    <t>2026.08.14 14:00</t>
  </si>
  <si>
    <t>A0207</t>
  </si>
  <si>
    <t>Q0211</t>
  </si>
  <si>
    <t>C0235</t>
  </si>
  <si>
    <t>P0302</t>
  </si>
  <si>
    <t>2026.06.21</t>
  </si>
  <si>
    <t>이멍순</t>
  </si>
  <si>
    <t>010-5170-4567</t>
  </si>
  <si>
    <t>메디코리아(이미현)</t>
  </si>
  <si>
    <t>2026.08.07 10:30</t>
  </si>
  <si>
    <t>Q0212</t>
  </si>
  <si>
    <t>제외</t>
  </si>
  <si>
    <t>사용일수로보험처리</t>
  </si>
  <si>
    <t>A0208</t>
  </si>
  <si>
    <t>C0236</t>
  </si>
  <si>
    <t>P0303</t>
  </si>
  <si>
    <t>2026.06.24</t>
  </si>
  <si>
    <t>Q0213</t>
  </si>
  <si>
    <t>방여숙</t>
  </si>
  <si>
    <t>010-2395-7770</t>
  </si>
  <si>
    <t>2026.08.07 14:30</t>
  </si>
  <si>
    <t>2026.08.19.10:40</t>
  </si>
  <si>
    <t>A0209</t>
  </si>
  <si>
    <t>C0239</t>
  </si>
  <si>
    <t>P0305</t>
  </si>
  <si>
    <t>8월27일 김준희 담당자 통화 144,000원/일</t>
  </si>
  <si>
    <t>Q0214</t>
  </si>
  <si>
    <t>P0307</t>
  </si>
  <si>
    <t>박금옥</t>
  </si>
  <si>
    <t>010-5950-1875</t>
  </si>
  <si>
    <t>온누리간병</t>
  </si>
  <si>
    <t>010-5131-7549</t>
  </si>
  <si>
    <t>2026.08.11 17:00</t>
  </si>
  <si>
    <t>2026.08.20 14:00</t>
  </si>
  <si>
    <t>카카오뱅크 3333-25-2381757 임현주</t>
  </si>
  <si>
    <t>A0210</t>
  </si>
  <si>
    <t>C0240</t>
  </si>
  <si>
    <t>Q0215</t>
  </si>
  <si>
    <t>P0310</t>
  </si>
  <si>
    <t>김대영</t>
  </si>
  <si>
    <t>010-6468-9028</t>
  </si>
  <si>
    <t>조카</t>
  </si>
  <si>
    <t>2026.08.11 16:00</t>
  </si>
  <si>
    <t>김창식</t>
  </si>
  <si>
    <t>2029.09.21 14:00</t>
  </si>
  <si>
    <t>신한은행110439515235  강민희</t>
  </si>
  <si>
    <t>010-3671-8233</t>
  </si>
  <si>
    <t>A0211</t>
  </si>
  <si>
    <t>북구</t>
  </si>
  <si>
    <t>C0241</t>
  </si>
  <si>
    <t>L02107549675</t>
  </si>
  <si>
    <t>2021.02.05</t>
  </si>
  <si>
    <t>최수진</t>
  </si>
  <si>
    <t>051-602-5725</t>
  </si>
  <si>
    <t>0507-770-6119</t>
  </si>
  <si>
    <t>P0311</t>
  </si>
  <si>
    <t>Q0216</t>
  </si>
  <si>
    <t>강정숙</t>
  </si>
  <si>
    <t>010-9354-6847</t>
  </si>
  <si>
    <t>A0212</t>
  </si>
  <si>
    <t>C0242</t>
  </si>
  <si>
    <t>P0312</t>
  </si>
  <si>
    <t>Q0217</t>
  </si>
  <si>
    <t>2026.08.20 09:00</t>
  </si>
  <si>
    <t>2029.09.05 13:00</t>
  </si>
  <si>
    <t>2026.05.20 00:00</t>
  </si>
  <si>
    <t>A0213</t>
  </si>
  <si>
    <t>P0313</t>
  </si>
  <si>
    <t>C0243</t>
  </si>
  <si>
    <t>Q0218</t>
  </si>
  <si>
    <t>청담한방병원</t>
  </si>
  <si>
    <t>서동화</t>
  </si>
  <si>
    <t>010-8564-1819</t>
  </si>
  <si>
    <t>2026.08.18 17:00</t>
  </si>
  <si>
    <t>2026.08.21 17:00</t>
  </si>
  <si>
    <t>Q0219</t>
  </si>
  <si>
    <t>농협349 12 144055김미숙(진심간병ᆢ)</t>
  </si>
  <si>
    <t>A0214</t>
  </si>
  <si>
    <t>C0244</t>
  </si>
  <si>
    <t>P0314</t>
  </si>
  <si>
    <t>손정관</t>
  </si>
  <si>
    <t>2026.06.10 24:00</t>
  </si>
  <si>
    <t>010-4645-0602</t>
  </si>
  <si>
    <t>광산구</t>
  </si>
  <si>
    <t>KS병원 (광주광역시)</t>
  </si>
  <si>
    <t>L02115588184</t>
  </si>
  <si>
    <t>2021.03.23</t>
  </si>
  <si>
    <t>2604A72463</t>
  </si>
  <si>
    <t>한지예</t>
  </si>
  <si>
    <t>Q0220</t>
  </si>
  <si>
    <t>02-2181-2317</t>
  </si>
  <si>
    <t>박영민</t>
  </si>
  <si>
    <t>010-5705-5067</t>
  </si>
  <si>
    <t>2026.08.14 19:30</t>
  </si>
  <si>
    <t>2026.08.18 19:30</t>
  </si>
  <si>
    <t>A0215</t>
  </si>
  <si>
    <t>C0245</t>
  </si>
  <si>
    <t>2026.06.20 24:00</t>
  </si>
  <si>
    <t>Q0221</t>
  </si>
  <si>
    <t>P0315</t>
  </si>
  <si>
    <t>행복한간병</t>
  </si>
  <si>
    <t>사용일당안내</t>
  </si>
  <si>
    <t>사용일당안내(결핵)</t>
  </si>
  <si>
    <t>A0216</t>
  </si>
  <si>
    <t>2026.06.30 00:00</t>
  </si>
  <si>
    <t>허지승
한지예</t>
  </si>
  <si>
    <t>051-602-5726
02-2181-2317</t>
  </si>
  <si>
    <t>C0249</t>
  </si>
  <si>
    <t>Q0222</t>
  </si>
  <si>
    <t>박노진</t>
  </si>
  <si>
    <t>송금화</t>
  </si>
  <si>
    <t>010-3819-5799</t>
  </si>
  <si>
    <t>대구1004간병협회</t>
  </si>
  <si>
    <t>2026.08.19 17:20</t>
  </si>
  <si>
    <t>2026.08.21.17:20</t>
  </si>
  <si>
    <t>카카오뱅크 박나은 3333-06-0053367 송금화딸계좌</t>
  </si>
  <si>
    <t>2026.06.20 11:00</t>
  </si>
  <si>
    <t>A0217</t>
  </si>
  <si>
    <t>C0246</t>
  </si>
  <si>
    <t>2026.07.10 00:00</t>
  </si>
  <si>
    <t>P0316</t>
  </si>
  <si>
    <t>Q0223</t>
  </si>
  <si>
    <t>고복순</t>
  </si>
  <si>
    <t>010-7151-8713 / 010-6420-8712</t>
  </si>
  <si>
    <t>센턴병원</t>
  </si>
  <si>
    <t>L02243841629</t>
  </si>
  <si>
    <t>2022.09.28</t>
  </si>
  <si>
    <t>2604A74372</t>
  </si>
  <si>
    <t>02-2181-2512</t>
  </si>
  <si>
    <t>이영원</t>
  </si>
  <si>
    <t>1개월</t>
  </si>
  <si>
    <t>010-7306-8897</t>
  </si>
  <si>
    <t>2026.08.20 18:00</t>
  </si>
  <si>
    <t>2026.08.22 18:00</t>
  </si>
  <si>
    <t>2026.07.20 00:00</t>
  </si>
  <si>
    <t>농협은행 조명임(센터) 356-11-96-2339-63 22일 이영범대체간병시작</t>
  </si>
  <si>
    <t>A0218</t>
  </si>
  <si>
    <t>2026.06.30 11:00</t>
  </si>
  <si>
    <t>Q0224</t>
  </si>
  <si>
    <t>P0317</t>
  </si>
  <si>
    <t>2026.07.31 00:00</t>
  </si>
  <si>
    <t>문세정</t>
  </si>
  <si>
    <t>구성란</t>
  </si>
  <si>
    <t>010-2196-3270</t>
  </si>
  <si>
    <t>010-4500-9062(아들)</t>
  </si>
  <si>
    <t>2026.08.24 18:30</t>
  </si>
  <si>
    <t>상무힐링요양병원</t>
  </si>
  <si>
    <t>L02162625622</t>
  </si>
  <si>
    <t>Q0225</t>
  </si>
  <si>
    <t>2021.12.07</t>
  </si>
  <si>
    <t>2604A75375</t>
  </si>
  <si>
    <t>A0219</t>
  </si>
  <si>
    <t>042-829-1486</t>
  </si>
  <si>
    <t>C0247</t>
  </si>
  <si>
    <t>1~2개월</t>
  </si>
  <si>
    <t>2026.07.10 11:00</t>
  </si>
  <si>
    <t>P0318</t>
  </si>
  <si>
    <t>2026.08.10 00:00</t>
  </si>
  <si>
    <t>박경남</t>
  </si>
  <si>
    <t>010-8496-7499</t>
  </si>
  <si>
    <t>8월27일 최보배 담당자 통화 전액 입금 확인 144,000원/일</t>
  </si>
  <si>
    <t>더조은간병</t>
  </si>
  <si>
    <t>010-3953-6119</t>
  </si>
  <si>
    <t>Q0226</t>
  </si>
  <si>
    <t>2026.08.19 18:20</t>
  </si>
  <si>
    <t>2026.09.03 11:30</t>
  </si>
  <si>
    <t>신한은행 110440982003 김연진 대표</t>
  </si>
  <si>
    <t>A0220</t>
  </si>
  <si>
    <t>2026.07.20 11:00</t>
  </si>
  <si>
    <t>010-8958-9062본인</t>
  </si>
  <si>
    <t>Q0227</t>
  </si>
  <si>
    <t>권혜경</t>
  </si>
  <si>
    <t>박선득</t>
  </si>
  <si>
    <t>010-6861-4997</t>
  </si>
  <si>
    <t>케어링</t>
  </si>
  <si>
    <t>P0319</t>
  </si>
  <si>
    <t>2025.11.10 12:00</t>
  </si>
  <si>
    <t>2025.11.12 16:00</t>
  </si>
  <si>
    <t>A0221</t>
  </si>
  <si>
    <t>Q0228</t>
  </si>
  <si>
    <t>신현정</t>
  </si>
  <si>
    <t>010-5342-7053</t>
  </si>
  <si>
    <t>2025.12.22 12:00</t>
  </si>
  <si>
    <t>2025.12.30 16:00</t>
  </si>
  <si>
    <t>A0222</t>
  </si>
  <si>
    <t>P0320</t>
  </si>
  <si>
    <t>문완모</t>
  </si>
  <si>
    <t>010-6614-7125</t>
  </si>
  <si>
    <t>강남 세브란스 병원</t>
  </si>
  <si>
    <t>L02215969786</t>
  </si>
  <si>
    <t>2022.04.08</t>
  </si>
  <si>
    <t>2604A75783</t>
  </si>
  <si>
    <t>김윤정</t>
  </si>
  <si>
    <t>063-281-3605</t>
  </si>
  <si>
    <t>0507-739-7877</t>
  </si>
  <si>
    <t>Q0229</t>
  </si>
  <si>
    <t>2026.01.29 12:00</t>
  </si>
  <si>
    <t>2026.01.31 16:00</t>
  </si>
  <si>
    <t>A0224</t>
  </si>
  <si>
    <t>C0238</t>
  </si>
  <si>
    <t>Q0230</t>
  </si>
  <si>
    <t>P0321</t>
  </si>
  <si>
    <t>박제아</t>
  </si>
  <si>
    <t>010-4382-1525</t>
  </si>
  <si>
    <t>2026.08.13 18:00</t>
  </si>
  <si>
    <t>2026.08.19 18:00</t>
  </si>
  <si>
    <t>A0225</t>
  </si>
  <si>
    <t>C0248</t>
  </si>
  <si>
    <t>서인화</t>
  </si>
  <si>
    <t>010-2398-0868</t>
  </si>
  <si>
    <t>나주시</t>
  </si>
  <si>
    <t>빛가람종합병원</t>
  </si>
  <si>
    <t>L02154963960</t>
  </si>
  <si>
    <t>Q0231</t>
  </si>
  <si>
    <t>7~14일</t>
  </si>
  <si>
    <t>정명옥</t>
  </si>
  <si>
    <t>010-9697-6366</t>
  </si>
  <si>
    <t>2026.08.24 13:00</t>
  </si>
  <si>
    <t>2026.08.26 13:00</t>
  </si>
  <si>
    <t xml:space="preserve">농협은행 조명임(센터) 356-11-96-2339-63 </t>
  </si>
  <si>
    <t>P0322</t>
  </si>
  <si>
    <t>A0226</t>
  </si>
  <si>
    <t>김홍철</t>
  </si>
  <si>
    <t>이영범</t>
  </si>
  <si>
    <t>010-9062-5672</t>
  </si>
  <si>
    <t>2026.08.25 17:00</t>
  </si>
  <si>
    <t>A0227</t>
  </si>
  <si>
    <t>Q0232</t>
  </si>
  <si>
    <t>퇴원시 일시정산 희망</t>
  </si>
  <si>
    <t>김국선</t>
  </si>
  <si>
    <t>010-7323-6002</t>
  </si>
  <si>
    <t>대구 가톨릭대학교 병원</t>
  </si>
  <si>
    <t>L02219951191</t>
  </si>
  <si>
    <t>2022.05.12</t>
  </si>
  <si>
    <t>2604B48087</t>
  </si>
  <si>
    <t>이광호</t>
  </si>
  <si>
    <t>02-2181-2510</t>
  </si>
  <si>
    <t>Q0233</t>
  </si>
  <si>
    <t>P0323</t>
  </si>
  <si>
    <t>이송자</t>
  </si>
  <si>
    <t>010-2675-6658</t>
  </si>
  <si>
    <t>2026.09.10 13:30</t>
  </si>
  <si>
    <t>2026.06.26 13:00</t>
  </si>
  <si>
    <t>2026.06.28</t>
  </si>
  <si>
    <t>A0228</t>
  </si>
  <si>
    <t>C0251</t>
  </si>
  <si>
    <t>Q0234</t>
  </si>
  <si>
    <t>이봉호</t>
  </si>
  <si>
    <t>허순녀</t>
  </si>
  <si>
    <t>010-2756-8216</t>
  </si>
  <si>
    <t xml:space="preserve"> 나우리간병협회</t>
  </si>
  <si>
    <t>2026.08.25 13:00</t>
  </si>
  <si>
    <t>2026.09.08 13:00</t>
  </si>
  <si>
    <t>우리은행 1002-154-213846 xushunnyu(허순녀)</t>
  </si>
  <si>
    <t>A0229</t>
  </si>
  <si>
    <t>C0252</t>
  </si>
  <si>
    <t>김덕만</t>
  </si>
  <si>
    <t>문성국</t>
  </si>
  <si>
    <t>010-7189-5556</t>
  </si>
  <si>
    <t>2026.08.27 17:00</t>
  </si>
  <si>
    <t>2026.08.28 11:00</t>
  </si>
  <si>
    <t>농협은행 조명임(센터) 356-11-96-2339-63/환자중증 산소호흡기줄도 많고 중증</t>
  </si>
  <si>
    <t>A0230</t>
  </si>
  <si>
    <t>C0253</t>
  </si>
  <si>
    <t>김용재</t>
  </si>
  <si>
    <t>김명월</t>
  </si>
  <si>
    <t>포항으로 전원 계획 (대구카톨릭 퇴원시 일시 청구)</t>
  </si>
  <si>
    <t>010-9247-0435</t>
  </si>
  <si>
    <t>2026.08.27 13:00</t>
  </si>
  <si>
    <t>2026.08.30 12:00</t>
  </si>
  <si>
    <t>A0231</t>
  </si>
  <si>
    <t>대구한의대한방병원</t>
  </si>
  <si>
    <t>남경임</t>
  </si>
  <si>
    <t>이옥분</t>
  </si>
  <si>
    <t>교체</t>
  </si>
  <si>
    <t>010-5324-1517</t>
  </si>
  <si>
    <t>2026.06.28 15:00</t>
  </si>
  <si>
    <t>(김해)조은간병인협회</t>
  </si>
  <si>
    <t>2026.06.29</t>
  </si>
  <si>
    <t>2026.05.15 24:00</t>
  </si>
  <si>
    <t>Q0235</t>
  </si>
  <si>
    <t>2026.08.26 15:00</t>
  </si>
  <si>
    <t>2026.08.28 15:00</t>
  </si>
  <si>
    <t>부산은행 308-12-0179349  이옥분</t>
  </si>
  <si>
    <t>간병사가 넘 늙어서 싫타교체/식비추가요구 다시받기로 협회에 의견조율</t>
  </si>
  <si>
    <t>A0232</t>
  </si>
  <si>
    <t>P0324</t>
  </si>
  <si>
    <t>김옥분</t>
  </si>
  <si>
    <t>010-7712-1848</t>
  </si>
  <si>
    <t>2026.08.27 18:30</t>
  </si>
  <si>
    <t>2026.09.04 13:30</t>
  </si>
  <si>
    <t>국민은행 801301-01-698237 김옥분 /환자돌발행동있음</t>
  </si>
  <si>
    <t>A0233</t>
  </si>
  <si>
    <t>C0256</t>
  </si>
  <si>
    <t>2026.05.18</t>
  </si>
  <si>
    <t>Q0236</t>
  </si>
  <si>
    <t>유계숙</t>
  </si>
  <si>
    <t>620913-6860016</t>
  </si>
  <si>
    <t>010-8203-7889</t>
  </si>
  <si>
    <t>참사랑간병협회</t>
  </si>
  <si>
    <t>010-2033-2300</t>
  </si>
  <si>
    <t>2026.08.28 15:30</t>
  </si>
  <si>
    <t>2026.09.01 16:30</t>
  </si>
  <si>
    <t>제일은행69720223482  liuguishu</t>
  </si>
  <si>
    <t>2026.06.10 14:30</t>
  </si>
  <si>
    <t>A0234</t>
  </si>
  <si>
    <t>김미애</t>
  </si>
  <si>
    <t>부산대병원 교체</t>
  </si>
  <si>
    <t>010-9233-3629</t>
  </si>
  <si>
    <t>Q0237</t>
  </si>
  <si>
    <t>2026.09.03 12:30</t>
  </si>
  <si>
    <t>농협은행 352-0793541283  김미애 /김옥분간병사대체교체</t>
  </si>
  <si>
    <t>환자가  술집을 했냐고 물어보는 실수로  기분안좋아 교체/식비요구 다시 받기로협의함</t>
  </si>
  <si>
    <t>A0235</t>
  </si>
  <si>
    <t>차상옥</t>
  </si>
  <si>
    <t>석정임</t>
  </si>
  <si>
    <t>010-2381-4064</t>
  </si>
  <si>
    <t>P0325</t>
  </si>
  <si>
    <t>2026.08.31 17:00</t>
  </si>
  <si>
    <t>2026.09.03 사망</t>
  </si>
  <si>
    <t>아들계좌 3333335419743 카카오뱅크</t>
  </si>
  <si>
    <t>사망으로 간병사에게 미리지급 아들 차재환 님으로 14만원 4일 입금 원함</t>
  </si>
  <si>
    <t>A0236</t>
  </si>
  <si>
    <t>C0262</t>
  </si>
  <si>
    <t>김광식</t>
  </si>
  <si>
    <t>강기종</t>
  </si>
  <si>
    <t>010-5219-8326</t>
  </si>
  <si>
    <t>글로벌간병협회</t>
  </si>
  <si>
    <t>010-3055-2757</t>
  </si>
  <si>
    <t>2026.09.0118:00</t>
  </si>
  <si>
    <t>2029.09.07 13:00</t>
  </si>
  <si>
    <t>국민은행  27010204080609  강기종 (KANGJIZHONG)</t>
  </si>
  <si>
    <t>A0237</t>
  </si>
  <si>
    <t>Q0238</t>
  </si>
  <si>
    <t>고려대련요양병원</t>
  </si>
  <si>
    <t>P0326</t>
  </si>
  <si>
    <t xml:space="preserve">박영자 </t>
  </si>
  <si>
    <t>010-6765-8116</t>
  </si>
  <si>
    <t>일과사람들 영등포</t>
  </si>
  <si>
    <t>2026.07.04</t>
  </si>
  <si>
    <t>2026.09.02 11:00</t>
  </si>
  <si>
    <t>A0238</t>
  </si>
  <si>
    <t>Q0239</t>
  </si>
  <si>
    <t>박다원</t>
  </si>
  <si>
    <t>교체 3번째</t>
  </si>
  <si>
    <t>010-4560-4893</t>
  </si>
  <si>
    <t>김해 조은간병인협회</t>
  </si>
  <si>
    <t>2029.09.17 13:00</t>
  </si>
  <si>
    <t>농협 302-0363-702711  박다원/9월6일 까지 간병비 지급완료</t>
  </si>
  <si>
    <t xml:space="preserve">식비요구로 다시받는거로 협회에 얘기함 </t>
  </si>
  <si>
    <t>A0239</t>
  </si>
  <si>
    <t>C0263</t>
  </si>
  <si>
    <t>지영춘</t>
  </si>
  <si>
    <t>김인희</t>
  </si>
  <si>
    <t>010-9621-6656</t>
  </si>
  <si>
    <t>참좋은간병전국</t>
  </si>
  <si>
    <t>2026.07.11</t>
  </si>
  <si>
    <t>2026.09.04 09:30</t>
  </si>
  <si>
    <t>2029.09.14 17:00</t>
  </si>
  <si>
    <t>임범수</t>
  </si>
  <si>
    <t>신안은행 110-223-593266  김금순 대표//7일단위 결제 원함</t>
  </si>
  <si>
    <t>Q0240</t>
  </si>
  <si>
    <t>A0240</t>
  </si>
  <si>
    <t>010-5468-4429</t>
  </si>
  <si>
    <t>C0264</t>
  </si>
  <si>
    <t>황인홍</t>
  </si>
  <si>
    <t>청주시</t>
  </si>
  <si>
    <t>현대병원 (청주)</t>
  </si>
  <si>
    <t>540707-6760025</t>
  </si>
  <si>
    <t>온누리간병협회</t>
  </si>
  <si>
    <t>L02117741079</t>
  </si>
  <si>
    <t>2021.03.30</t>
  </si>
  <si>
    <t>2026.09.03 15:00</t>
  </si>
  <si>
    <t>이경미</t>
  </si>
  <si>
    <t>042-251-1505</t>
  </si>
  <si>
    <t>2026.09.03 17:00</t>
  </si>
  <si>
    <t>P0327</t>
  </si>
  <si>
    <t>2026.09.06 17:00</t>
  </si>
  <si>
    <t>우리은행1002354810183   PLAOJINYU</t>
  </si>
  <si>
    <t>삼성화재보험해지로 통합간병실로 옮김 간병비 해결해야함</t>
  </si>
  <si>
    <t>A0241</t>
  </si>
  <si>
    <t>C0266</t>
  </si>
  <si>
    <t>5~7일</t>
  </si>
  <si>
    <t>이금주</t>
  </si>
  <si>
    <t>김영금</t>
  </si>
  <si>
    <t>490916-6100499</t>
  </si>
  <si>
    <t>010-2364-8041</t>
  </si>
  <si>
    <t>010-9028-9300</t>
  </si>
  <si>
    <t>2026.09.04 13:00</t>
  </si>
  <si>
    <t>2026.09.06 13:00</t>
  </si>
  <si>
    <t>2026.09.09 13:00</t>
  </si>
  <si>
    <t>기업은행 온누리협회계좌07907608701015 대표</t>
  </si>
  <si>
    <t>A0242</t>
  </si>
  <si>
    <t>C0265</t>
  </si>
  <si>
    <t>예선옥</t>
  </si>
  <si>
    <t>박명옥</t>
  </si>
  <si>
    <t>010-9413-4520</t>
  </si>
  <si>
    <t>2026.09.05 09:50</t>
  </si>
  <si>
    <t>2026.09.05 15:00</t>
  </si>
  <si>
    <t>농협 121086-56-118731 박명옥</t>
  </si>
  <si>
    <t>C0268</t>
  </si>
  <si>
    <t>유숙희</t>
  </si>
  <si>
    <t>임경옥</t>
  </si>
  <si>
    <t>010-5809-0708</t>
  </si>
  <si>
    <t>010-6861-6836</t>
  </si>
  <si>
    <t>Q0241</t>
  </si>
  <si>
    <t>2026.09.05 18:00</t>
  </si>
  <si>
    <t>2026.09.08 14:00</t>
  </si>
  <si>
    <t>110491285520신한은행 임경옥</t>
  </si>
  <si>
    <t>A0243</t>
  </si>
  <si>
    <t>C0269</t>
  </si>
  <si>
    <t>지선주</t>
  </si>
  <si>
    <t>2026.09.07 12:30</t>
  </si>
  <si>
    <t>2026.09.07 16:30</t>
  </si>
  <si>
    <t>A0244</t>
  </si>
  <si>
    <t>C0270</t>
  </si>
  <si>
    <t>이정숙</t>
  </si>
  <si>
    <t>이향순</t>
  </si>
  <si>
    <t>691115-2155031</t>
  </si>
  <si>
    <t>010-8355-9591</t>
  </si>
  <si>
    <t xml:space="preserve">      성심간병협회 </t>
  </si>
  <si>
    <t>010-7527-2378</t>
  </si>
  <si>
    <t>2026.09.08 15:00</t>
  </si>
  <si>
    <t>2026.09.15  15:00</t>
  </si>
  <si>
    <t>국민은행 646801-01-610346 박민선 (성심케어)</t>
  </si>
  <si>
    <t xml:space="preserve">파킨스병이 중증이어서 낙상염려됨 /간병비 인상원함 </t>
  </si>
  <si>
    <t>A0245</t>
  </si>
  <si>
    <t>C0271</t>
  </si>
  <si>
    <t>김지원</t>
  </si>
  <si>
    <t>강영희</t>
  </si>
  <si>
    <t>010-2498-6142</t>
  </si>
  <si>
    <t xml:space="preserve">     더조은간병협회</t>
  </si>
  <si>
    <t>24시간내 취소건 1일 일당 지급</t>
  </si>
  <si>
    <t>A0246</t>
  </si>
  <si>
    <t>C0275</t>
  </si>
  <si>
    <t>윤석찬</t>
  </si>
  <si>
    <t>김명옥</t>
  </si>
  <si>
    <t>530527-6760011</t>
  </si>
  <si>
    <t>010-7595-5027</t>
  </si>
  <si>
    <t>환자상태 안좋아 15만원으로 상향 필요, 주휴수당 있어야</t>
  </si>
  <si>
    <t>참나눔간병협회</t>
  </si>
  <si>
    <t>최경자</t>
  </si>
  <si>
    <t>2026.09.10 14:00</t>
  </si>
  <si>
    <t>Q0242</t>
  </si>
  <si>
    <t>2026.09.15  14:00</t>
  </si>
  <si>
    <t>P0328</t>
  </si>
  <si>
    <t>010-8871-1449 / 010-5472-3644</t>
  </si>
  <si>
    <t>1002958004374 김명옥 우리은행</t>
  </si>
  <si>
    <t>A0247</t>
  </si>
  <si>
    <t>푸른정형외과</t>
  </si>
  <si>
    <t>C0277</t>
  </si>
  <si>
    <t xml:space="preserve">양명해 </t>
  </si>
  <si>
    <t>L02509081576</t>
  </si>
  <si>
    <t xml:space="preserve">안경순 </t>
  </si>
  <si>
    <t>010-9113-5283</t>
  </si>
  <si>
    <t>2025.02.25</t>
  </si>
  <si>
    <t>신윤도</t>
  </si>
  <si>
    <t>042-602-7006</t>
  </si>
  <si>
    <t>2026.09.11 10:01</t>
  </si>
  <si>
    <t>2026.05.06</t>
  </si>
  <si>
    <t>A0248</t>
  </si>
  <si>
    <t>C0274</t>
  </si>
  <si>
    <t>정근래</t>
  </si>
  <si>
    <t>10일</t>
  </si>
  <si>
    <t>2026.09.11 14:00</t>
  </si>
  <si>
    <t>2026.09.13 14:00</t>
  </si>
  <si>
    <t>2026.09.15  12:00</t>
  </si>
  <si>
    <t>A0249</t>
  </si>
  <si>
    <t>C0278</t>
  </si>
  <si>
    <t>이지은</t>
  </si>
  <si>
    <t>진심간병협회</t>
  </si>
  <si>
    <t>2026.09.11  16:00</t>
  </si>
  <si>
    <t>2026.09.13  19:00</t>
  </si>
  <si>
    <t>농협:349 12 144055 서동화</t>
  </si>
  <si>
    <t>A0250</t>
  </si>
  <si>
    <t>C0280</t>
  </si>
  <si>
    <t>정은숙</t>
  </si>
  <si>
    <t>010-2519-1120</t>
  </si>
  <si>
    <t>0103944-0333</t>
  </si>
  <si>
    <t>2026.09.12 15:00</t>
  </si>
  <si>
    <t>2026.09.12 16:00</t>
  </si>
  <si>
    <t>202608.05 12:00</t>
  </si>
  <si>
    <t>농협 3010219478981 청주간병인협회</t>
  </si>
  <si>
    <t>2026.08.05</t>
  </si>
  <si>
    <t>간병지원해지문자</t>
  </si>
  <si>
    <t>A0251</t>
  </si>
  <si>
    <t>C0279</t>
  </si>
  <si>
    <t xml:space="preserve">김명순 </t>
  </si>
  <si>
    <t>김춘화</t>
  </si>
  <si>
    <t>600714-6101296</t>
  </si>
  <si>
    <t>010-9585-9359</t>
  </si>
  <si>
    <t>2026.09.28 15:00</t>
  </si>
  <si>
    <t>28일 예약건</t>
  </si>
  <si>
    <t>P0329</t>
  </si>
  <si>
    <t>재확인</t>
  </si>
  <si>
    <t>A0252</t>
  </si>
  <si>
    <t>8월27일 김승환 담당자 통화-&gt; 7월31일까지 입금 확인-&gt; 8월5일자 청구서는 없다?-&gt; 청구완료되었음
09.16 : 입원 일당으로 처리되어 환입 요청 진행 중, 환입 후 처리 예정</t>
  </si>
  <si>
    <t>이영상</t>
  </si>
  <si>
    <t>010-2093-8893</t>
  </si>
  <si>
    <t>Q0243</t>
  </si>
  <si>
    <t>C0143</t>
  </si>
  <si>
    <t>한국병원</t>
  </si>
  <si>
    <t>010-5082-1969</t>
  </si>
  <si>
    <t>우리은행1002-933-224989 오정근 (서울간병인협회)</t>
  </si>
  <si>
    <t>교체3번째 /환자가 잠을 안잠 수면제 처방 재활까지 필요  남자필요/80kg 넘어서 힘듦</t>
  </si>
  <si>
    <t>김준희</t>
  </si>
  <si>
    <t>051-602-5749</t>
  </si>
  <si>
    <t>A0253</t>
  </si>
  <si>
    <t>C0282</t>
  </si>
  <si>
    <t>이나연</t>
  </si>
  <si>
    <t>허동화</t>
  </si>
  <si>
    <t>740108-6320017</t>
  </si>
  <si>
    <t>010-5946-6759</t>
  </si>
  <si>
    <t>2026.09.14  17:00</t>
  </si>
  <si>
    <t>2026.09.18  17:00</t>
  </si>
  <si>
    <t>A0254</t>
  </si>
  <si>
    <t>C0284</t>
  </si>
  <si>
    <t>임명석</t>
  </si>
  <si>
    <t>010-3595-2952</t>
  </si>
  <si>
    <t>2026.09.15  10:00</t>
  </si>
  <si>
    <t>당일서비스취소</t>
  </si>
  <si>
    <t>사용취소</t>
  </si>
  <si>
    <t>A0255</t>
  </si>
  <si>
    <t>C0285</t>
  </si>
  <si>
    <t>2026.09.17  10:00</t>
  </si>
  <si>
    <t>서비스불가 안내</t>
  </si>
  <si>
    <t xml:space="preserve">울산시 서생면 마근길133-2 </t>
  </si>
  <si>
    <t>A0256</t>
  </si>
  <si>
    <t>C0286</t>
  </si>
  <si>
    <t>P0330</t>
  </si>
  <si>
    <t>이필용</t>
  </si>
  <si>
    <t>010-8603-4059</t>
  </si>
  <si>
    <t>2026.09.17  12:00</t>
  </si>
  <si>
    <t xml:space="preserve">강원도 강릉시 명주로 77번길2층 </t>
  </si>
  <si>
    <t>A0257</t>
  </si>
  <si>
    <t>C0287</t>
  </si>
  <si>
    <t>김임순</t>
  </si>
  <si>
    <t>김계향</t>
  </si>
  <si>
    <t>010-3873-3528</t>
  </si>
  <si>
    <t xml:space="preserve">개인  </t>
  </si>
  <si>
    <t>2026.09.15  09:00</t>
  </si>
  <si>
    <t>2026.09.23</t>
  </si>
  <si>
    <t xml:space="preserve">농협86502125800정자은  </t>
  </si>
  <si>
    <t>본인이 간병사 구함</t>
  </si>
  <si>
    <t>A0258</t>
  </si>
  <si>
    <t>이명순</t>
  </si>
  <si>
    <t>010-5673-9008</t>
  </si>
  <si>
    <t xml:space="preserve">청주성심간병협회 </t>
  </si>
  <si>
    <t>010-3132-7820</t>
  </si>
  <si>
    <t>2026.09.16  10:00</t>
  </si>
  <si>
    <t>농혐 3021248047611 이명순</t>
  </si>
  <si>
    <t>A0259</t>
  </si>
  <si>
    <t>C0288</t>
  </si>
  <si>
    <t>최태연</t>
  </si>
  <si>
    <t>전지민</t>
  </si>
  <si>
    <t>010-3386-9219</t>
  </si>
  <si>
    <t>더조은간병협회</t>
  </si>
  <si>
    <t>2026.09.15  18:00</t>
  </si>
  <si>
    <t>2026.09.18  10:00</t>
  </si>
  <si>
    <t>A0260</t>
  </si>
  <si>
    <t>C0289</t>
  </si>
  <si>
    <t>8월27일 김용호 담당자 통화-&gt; 6월18일 SCOR로 570,000원 입금 완료</t>
  </si>
  <si>
    <t>김기영</t>
  </si>
  <si>
    <t>지복단</t>
  </si>
  <si>
    <t>010-8883-7890</t>
  </si>
  <si>
    <t>Q0244</t>
  </si>
  <si>
    <t>2026.09.16  14:00</t>
  </si>
  <si>
    <t>2026.09.17  13:50</t>
  </si>
  <si>
    <t>내국인지명</t>
  </si>
  <si>
    <t>A0261</t>
  </si>
  <si>
    <t>C0291</t>
  </si>
  <si>
    <t>박용식</t>
  </si>
  <si>
    <t>김금옥</t>
  </si>
  <si>
    <t>010-2330-0773</t>
  </si>
  <si>
    <t>2026.09.17  08:50</t>
  </si>
  <si>
    <t>P0331</t>
  </si>
  <si>
    <t>A0262</t>
  </si>
  <si>
    <t>C0292</t>
  </si>
  <si>
    <t>박정호</t>
  </si>
  <si>
    <t>박봉란</t>
  </si>
  <si>
    <t>010-5562-5299</t>
  </si>
  <si>
    <t>인천성심간병협회</t>
  </si>
  <si>
    <t>A0263</t>
  </si>
  <si>
    <t>C0294</t>
  </si>
  <si>
    <t>박종수</t>
  </si>
  <si>
    <t>010-4309-8877</t>
  </si>
  <si>
    <t>김해좋은간병부산</t>
  </si>
  <si>
    <t>2026.09.17  18:50</t>
  </si>
  <si>
    <t>국민 은행 이민영 233-0010-405835-8</t>
  </si>
  <si>
    <t>A0264</t>
  </si>
  <si>
    <t>C0295</t>
  </si>
  <si>
    <t>고연분</t>
  </si>
  <si>
    <t>권은지</t>
  </si>
  <si>
    <t>010-3747-8963</t>
  </si>
  <si>
    <t>2026.09.18  15:00</t>
  </si>
  <si>
    <t>우리은행 221070-35105 최효진   딸계좌</t>
  </si>
  <si>
    <t>A0265</t>
  </si>
  <si>
    <t>C0296</t>
  </si>
  <si>
    <t>문형근</t>
  </si>
  <si>
    <t>글로벌케어인재협회</t>
  </si>
  <si>
    <t>02-855-3055</t>
  </si>
  <si>
    <t>A0266</t>
  </si>
  <si>
    <t>C0297</t>
  </si>
  <si>
    <t>최이순</t>
  </si>
  <si>
    <t>010-3290-3323</t>
  </si>
  <si>
    <t>농협352-7629-115513  이혜숙</t>
  </si>
  <si>
    <t>Q0245</t>
  </si>
  <si>
    <t>본인이 간병인 구함 지인</t>
  </si>
  <si>
    <t>A0267</t>
  </si>
  <si>
    <t>C0298</t>
  </si>
  <si>
    <t>김주영</t>
  </si>
  <si>
    <t>성옥녀</t>
  </si>
  <si>
    <t>650824-2259558</t>
  </si>
  <si>
    <t>010-9459-1222</t>
  </si>
  <si>
    <t>2026.09.19  17:01</t>
  </si>
  <si>
    <t>국민은행857201-00074462   성옥녀</t>
  </si>
  <si>
    <t>A0268</t>
  </si>
  <si>
    <t>C0299</t>
  </si>
  <si>
    <t>민지애</t>
  </si>
  <si>
    <t>장연희</t>
  </si>
  <si>
    <t>650307-2216815</t>
  </si>
  <si>
    <t>010-5754-2289</t>
  </si>
  <si>
    <t>010-2033-2301</t>
  </si>
  <si>
    <t>2026.09.19  15:02</t>
  </si>
  <si>
    <t>신한은행 110262-940210 장연희</t>
  </si>
  <si>
    <t>A0269</t>
  </si>
  <si>
    <t>C0300</t>
  </si>
  <si>
    <t>박은희</t>
  </si>
  <si>
    <t xml:space="preserve">개인 사촌 </t>
  </si>
  <si>
    <t>2026.09.19  17:03</t>
  </si>
  <si>
    <t>2029.09.21 15:00</t>
  </si>
  <si>
    <t>P0332</t>
  </si>
  <si>
    <t>Q0246</t>
  </si>
  <si>
    <t>2026.05.10 14:40</t>
  </si>
  <si>
    <t>P0333</t>
  </si>
  <si>
    <t>Q0247</t>
  </si>
  <si>
    <t>P0334</t>
  </si>
  <si>
    <t>Q0248</t>
  </si>
  <si>
    <t>2026.07.08 11:00</t>
  </si>
  <si>
    <t>2026.07.08</t>
  </si>
  <si>
    <t>Q0249</t>
  </si>
  <si>
    <t>P0335</t>
  </si>
  <si>
    <t>김막례</t>
  </si>
  <si>
    <t>010-8554-6655</t>
  </si>
  <si>
    <t>세안병원</t>
  </si>
  <si>
    <t>L02153996532</t>
  </si>
  <si>
    <t>2021.10.18</t>
  </si>
  <si>
    <t>조혜령</t>
  </si>
  <si>
    <t>032-456-6419</t>
  </si>
  <si>
    <t>0507-770-6684</t>
  </si>
  <si>
    <t>Q0250</t>
  </si>
  <si>
    <t>P0336</t>
  </si>
  <si>
    <t>8월27일 유호연 담당자 통화-&gt; 처리 안된거 같음-&gt; 확인 후 연락키로-&gt; 고객 서류 미비로 오늘 다시 요청했다고 피드백 받음</t>
  </si>
  <si>
    <t>Q0251</t>
  </si>
  <si>
    <t>이재철</t>
  </si>
  <si>
    <t>010-4164-8400 / 010-5716-4799</t>
  </si>
  <si>
    <t>당진시</t>
  </si>
  <si>
    <t>당진종합병원</t>
  </si>
  <si>
    <t>L02224017230</t>
  </si>
  <si>
    <t>P0338</t>
  </si>
  <si>
    <t>2022.05.27</t>
  </si>
  <si>
    <t>최보배</t>
  </si>
  <si>
    <t>02-2181-2520</t>
  </si>
  <si>
    <t>2026.05.29</t>
  </si>
  <si>
    <t>8월27일 송소연 담당자 통화-&gt; 입금 확인</t>
  </si>
  <si>
    <t>Q0252</t>
  </si>
  <si>
    <t>P0339</t>
  </si>
  <si>
    <t>Q0253</t>
  </si>
  <si>
    <t>P0340</t>
  </si>
  <si>
    <t>8월28일 이상혁 담당 통화-&gt; 6월30일 SCOR으로 190,000원 입금 확인</t>
  </si>
  <si>
    <t>Q0254</t>
  </si>
  <si>
    <t>지창호</t>
  </si>
  <si>
    <t>010-3560-8433</t>
  </si>
  <si>
    <t>동아대학교병원</t>
  </si>
  <si>
    <t>L02150774593</t>
  </si>
  <si>
    <t>2021.09.29</t>
  </si>
  <si>
    <t>송경용</t>
  </si>
  <si>
    <t>052-290-5421</t>
  </si>
  <si>
    <t>P0341</t>
  </si>
  <si>
    <t>2026.06.05</t>
  </si>
  <si>
    <t>8월28일 김미선 담당 통화-&gt; 금일 입금하겠다고 함
09.18 : 금일 입금하겠음</t>
  </si>
  <si>
    <t>Q0255</t>
  </si>
  <si>
    <t>개인이 알고 있는 간병사 섭외하여 연락주겠다.</t>
  </si>
  <si>
    <t>박수미</t>
  </si>
  <si>
    <t>P0342</t>
  </si>
  <si>
    <t>010-2768-0343</t>
  </si>
  <si>
    <t>평택시</t>
  </si>
  <si>
    <t>평택시 지제동삭1로 91, 112동 1502호</t>
  </si>
  <si>
    <t>L02544194091</t>
  </si>
  <si>
    <t>02-2181-2595</t>
  </si>
  <si>
    <t>5~7</t>
  </si>
  <si>
    <t>Q0256</t>
  </si>
  <si>
    <t>P0343</t>
  </si>
  <si>
    <t>서비스는 8일 제공 =&gt; 정산은 6일 (2일은 고객에게 환불 필요)</t>
  </si>
  <si>
    <t>이상수</t>
  </si>
  <si>
    <t>010-4583-9761 / 0107-4432-3656(설계사)</t>
  </si>
  <si>
    <t>세란병원</t>
  </si>
  <si>
    <t>L02218981173</t>
  </si>
  <si>
    <t>2022.04.27</t>
  </si>
  <si>
    <t>손승환</t>
  </si>
  <si>
    <t>051-602-5731</t>
  </si>
  <si>
    <t>2026.05.13</t>
  </si>
  <si>
    <t>3주</t>
  </si>
  <si>
    <t>P0344</t>
  </si>
  <si>
    <t>Q0257</t>
  </si>
  <si>
    <t>P0345</t>
  </si>
  <si>
    <t>박주희</t>
  </si>
  <si>
    <t>010-4158-1525</t>
  </si>
  <si>
    <t>예산군</t>
  </si>
  <si>
    <t>예산종합병원</t>
  </si>
  <si>
    <t>L02104894267</t>
  </si>
  <si>
    <t>02-2181-2796</t>
  </si>
  <si>
    <t>Q0258</t>
  </si>
  <si>
    <t>P0346</t>
  </si>
  <si>
    <t>8월28일 이철희 담당 통화-&gt; 8월10일까지 입금(입금내역은 FAX 02-6203-6502 보내기로), 8월10일 이후는 아직 담당자에게 전달 안되었다</t>
  </si>
  <si>
    <t>Q0259</t>
  </si>
  <si>
    <t>당분간 보호자 있어서…6월중 천천히 구해 주세요.</t>
  </si>
  <si>
    <t>2026.07.10 24:00</t>
  </si>
  <si>
    <t>P0347</t>
  </si>
  <si>
    <t>2026.07.31 24:00</t>
  </si>
  <si>
    <t>2026.07.20 24:00</t>
  </si>
  <si>
    <t>P0348</t>
  </si>
  <si>
    <t>Q0260</t>
  </si>
  <si>
    <t>순천향대학교병원</t>
  </si>
  <si>
    <t>062-602-3904</t>
  </si>
  <si>
    <t>P0349</t>
  </si>
  <si>
    <t>2026.08.08 24:00</t>
  </si>
  <si>
    <t>2026.08.10 24:00</t>
  </si>
  <si>
    <t>P0350</t>
  </si>
  <si>
    <t>8월28일 이철희 담당 통화-&gt; 카톡으로 1,152,000 입금완료 문자왔음(지급계좌우리은행 1005-4398 )통장확인요함</t>
  </si>
  <si>
    <t>Q0261</t>
  </si>
  <si>
    <t>P0354</t>
  </si>
  <si>
    <t>간병사 미배정 =&gt; 개인 구인시 사용일당 지원하겠음</t>
  </si>
  <si>
    <t>Q0262</t>
  </si>
  <si>
    <t>P0355</t>
  </si>
  <si>
    <t>P0357</t>
  </si>
  <si>
    <t>8월28일 신솔아 담당 통화-&gt; 6월30일 SCOR 1,045,000원 입금 완료(추가 입금한 건)</t>
  </si>
  <si>
    <t>Q0263</t>
  </si>
  <si>
    <t>010-8855-9856</t>
  </si>
  <si>
    <t>성모병원</t>
  </si>
  <si>
    <t>L02141512195</t>
  </si>
  <si>
    <t>2021.07.30</t>
  </si>
  <si>
    <t>허재민</t>
  </si>
  <si>
    <t>052-290-5422</t>
  </si>
  <si>
    <t>0507 071 0534</t>
  </si>
  <si>
    <t>2025.05.14</t>
  </si>
  <si>
    <t>Q0264</t>
  </si>
  <si>
    <t>P0359</t>
  </si>
  <si>
    <t>2026.06.06 12:00</t>
  </si>
  <si>
    <t>8월28일 김민혜 담당(02-2181-2512) 부재 중, 대리 통화-&gt; 확인하고 연락주기로 함</t>
  </si>
  <si>
    <t>Q0265</t>
  </si>
  <si>
    <t>P0360</t>
  </si>
  <si>
    <t>P0361</t>
  </si>
  <si>
    <t>Q0266</t>
  </si>
  <si>
    <t>P0362</t>
  </si>
  <si>
    <t>Q0267</t>
  </si>
  <si>
    <t>P0363</t>
  </si>
  <si>
    <t>Q0268</t>
  </si>
  <si>
    <t>P0367</t>
  </si>
  <si>
    <t>2026.06.11 14:30</t>
  </si>
  <si>
    <t>P0368</t>
  </si>
  <si>
    <t>Q0269</t>
  </si>
  <si>
    <t>P0369</t>
  </si>
  <si>
    <t>2026.07.06 14:00</t>
  </si>
  <si>
    <t>P0370</t>
  </si>
  <si>
    <t>Q0270</t>
  </si>
  <si>
    <t>김승환</t>
  </si>
  <si>
    <t>051-602-5761</t>
  </si>
  <si>
    <t>P0371</t>
  </si>
  <si>
    <t>Q0271</t>
  </si>
  <si>
    <t>박흥규</t>
  </si>
  <si>
    <t>010-9426-4118 / 010-9414-7985</t>
  </si>
  <si>
    <t>동남구 동명4길 15, 105동 1805호</t>
  </si>
  <si>
    <t>L02544400942</t>
  </si>
  <si>
    <t>김용호</t>
  </si>
  <si>
    <t>042-602-7032</t>
  </si>
  <si>
    <t>2026.07.11 13:00</t>
  </si>
  <si>
    <t>2026.05.19</t>
  </si>
  <si>
    <t>P0372</t>
  </si>
  <si>
    <t>2026.06.15 11:00</t>
  </si>
  <si>
    <t>8월28일 채경필 담당 부재로 대리자 통화-&gt; 월요일 확인 후 연락주기로 함-&gt; 8월 31일 채경필 담당-&gt; 6월19일 1,728,000 입금 확인</t>
  </si>
  <si>
    <t>Q0272</t>
  </si>
  <si>
    <t>P0373</t>
  </si>
  <si>
    <t>지영순</t>
  </si>
  <si>
    <t>2026.06.10 15:30</t>
  </si>
  <si>
    <t>010-9088-8673</t>
  </si>
  <si>
    <t>강북구</t>
  </si>
  <si>
    <t>현대병원</t>
  </si>
  <si>
    <t>L02121088240</t>
  </si>
  <si>
    <t>2021.04.14</t>
  </si>
  <si>
    <t>P0374</t>
  </si>
  <si>
    <t>김영주</t>
  </si>
  <si>
    <t>Q0273</t>
  </si>
  <si>
    <t>02-2181-2319</t>
  </si>
  <si>
    <t>P0375</t>
  </si>
  <si>
    <t>Q0274</t>
  </si>
  <si>
    <t>2026.06.01 11:00</t>
  </si>
  <si>
    <t>P0376</t>
  </si>
  <si>
    <t>최재식</t>
  </si>
  <si>
    <t>010-4610-8964 / 010-6717-5121</t>
  </si>
  <si>
    <t>중앙병원</t>
  </si>
  <si>
    <t>L02544635998</t>
  </si>
  <si>
    <t>2026.06.13 11:30</t>
  </si>
  <si>
    <t>5일</t>
  </si>
  <si>
    <t>P0377</t>
  </si>
  <si>
    <t>Q0275</t>
  </si>
  <si>
    <t>2026.06.21 11:00</t>
  </si>
  <si>
    <t>P0378</t>
  </si>
  <si>
    <t>2026.07.01 11:00</t>
  </si>
  <si>
    <t>P0379</t>
  </si>
  <si>
    <t>Q0276</t>
  </si>
  <si>
    <t>지급단가 SCOR확인 예정</t>
  </si>
  <si>
    <t>김의웅</t>
  </si>
  <si>
    <t>010-6541-8954 / 010-3501-8954</t>
  </si>
  <si>
    <t>L02234539821</t>
  </si>
  <si>
    <t>P0380</t>
  </si>
  <si>
    <t>2022.07.31</t>
  </si>
  <si>
    <t>2605801939
2605911477</t>
  </si>
  <si>
    <t>유호연
최혜리</t>
  </si>
  <si>
    <t>052-290-5431
062-602-3906</t>
  </si>
  <si>
    <t>2026.05.26</t>
  </si>
  <si>
    <t>3~4주</t>
  </si>
  <si>
    <t>Q0277</t>
  </si>
  <si>
    <t>P0381</t>
  </si>
  <si>
    <t>2026.06.05 15:00</t>
  </si>
  <si>
    <t>P0382</t>
  </si>
  <si>
    <t>Q0278</t>
  </si>
  <si>
    <t>P0383</t>
  </si>
  <si>
    <t>이정혜</t>
  </si>
  <si>
    <t>010-8014-4932</t>
  </si>
  <si>
    <t>고신대복음병원</t>
  </si>
  <si>
    <t>L02139596577</t>
  </si>
  <si>
    <t>2021.07.20</t>
  </si>
  <si>
    <t>송소연</t>
  </si>
  <si>
    <t>02-2181-2760</t>
  </si>
  <si>
    <t>2025.05.26</t>
  </si>
  <si>
    <t>P0384</t>
  </si>
  <si>
    <t>Q0279</t>
  </si>
  <si>
    <t>P0385</t>
  </si>
  <si>
    <t>P0386</t>
  </si>
  <si>
    <t>김수지</t>
  </si>
  <si>
    <t>7월14일 1440000원, 7월21일 1,440,000원, 8월7일 1,584,000원, 8월11일 1,440,000원, 8월25일1,440,000원</t>
  </si>
  <si>
    <t>010-7756-5105 / 010-5526-5195</t>
  </si>
  <si>
    <t>Q0280</t>
  </si>
  <si>
    <t>전주시 완산구 인정4길 16-3, 302호</t>
  </si>
  <si>
    <t>L02546985620</t>
  </si>
  <si>
    <t>2006.06.06</t>
  </si>
  <si>
    <t>P0387</t>
  </si>
  <si>
    <t>P0388</t>
  </si>
  <si>
    <t>8월28일 손승한 담당 부재로 대리자 통화-&gt; 8월25일 1,440,000원 추가 입금확인-&gt; 월요일 담당자 오면 확인 후 처리하겠다고 함</t>
  </si>
  <si>
    <t>Q0281</t>
  </si>
  <si>
    <t>설계사 정은선(010-5526-5195) 요양보호사 자격=&gt; 본인이 간병할 수 있고 25년11월에 1일 사용함</t>
  </si>
  <si>
    <t>P0389</t>
  </si>
  <si>
    <t>Q0282</t>
  </si>
  <si>
    <t>P0390</t>
  </si>
  <si>
    <t>2026.07.09</t>
  </si>
  <si>
    <t>조선미</t>
  </si>
  <si>
    <t>P0391</t>
  </si>
  <si>
    <t>010-2432-2420</t>
  </si>
  <si>
    <t>L02111995928</t>
  </si>
  <si>
    <t>2021.03.04</t>
  </si>
  <si>
    <t>김미선</t>
  </si>
  <si>
    <t>02-2181-2539</t>
  </si>
  <si>
    <t>Q0283</t>
  </si>
  <si>
    <t>P0392</t>
  </si>
  <si>
    <t>2026.06.20 10:25</t>
  </si>
  <si>
    <t>이향주</t>
  </si>
  <si>
    <t>010-2684-2020</t>
  </si>
  <si>
    <t>상무효정병원</t>
  </si>
  <si>
    <t>2026. 8. 28 담당자(유미솔-&gt; ) 변동, 담당자 통화-&gt; 7월22일 입금 확인</t>
  </si>
  <si>
    <t>L02122032026</t>
  </si>
  <si>
    <t>2021.04.21</t>
  </si>
  <si>
    <t>P0393</t>
  </si>
  <si>
    <t>Q0284</t>
  </si>
  <si>
    <t>P0394</t>
  </si>
  <si>
    <t>2026.06.20 15:00</t>
  </si>
  <si>
    <t>8월31일 통화-&gt; 담당자 한솔비로 변경-&gt; 한솔비 담당자에게 전달해서 연락하겠다고 함
09.02 : 담당자 변경(부재)</t>
  </si>
  <si>
    <t>Q0285</t>
  </si>
  <si>
    <t>P0395</t>
  </si>
  <si>
    <t>출퇴근  입금확인요함</t>
  </si>
  <si>
    <t>김금례</t>
  </si>
  <si>
    <t>010-2856-7153</t>
  </si>
  <si>
    <t>고려대학교 안암병원</t>
  </si>
  <si>
    <t>구유진</t>
  </si>
  <si>
    <t>051-602-5708</t>
  </si>
  <si>
    <t>P0396</t>
  </si>
  <si>
    <t>2026.06.22 09:00</t>
  </si>
  <si>
    <t>Q0286</t>
  </si>
  <si>
    <t>P0397</t>
  </si>
  <si>
    <t>8월28일 최수진 담당 부재로 대리인 통화-&gt; 월요일에 담당자가 확인해서 통화하기로 함</t>
  </si>
  <si>
    <t>Q0287</t>
  </si>
  <si>
    <t>신솔아</t>
  </si>
  <si>
    <t>042-829-1496</t>
  </si>
  <si>
    <t>2026.05..29</t>
  </si>
  <si>
    <t>2026.06.11 08:00</t>
  </si>
  <si>
    <t>P0398</t>
  </si>
  <si>
    <t>8월28일 정문식 담당 통화-&gt; 고객 서류 미비로 미입금-&gt; 오늘 재촉해서 서류 보완하고 입금 처리하겠다고 함</t>
  </si>
  <si>
    <t>Q0288</t>
  </si>
  <si>
    <t>2026.06.19:10:30</t>
  </si>
  <si>
    <t>P0399</t>
  </si>
  <si>
    <t>최묘진</t>
  </si>
  <si>
    <t>010-7254-0339</t>
  </si>
  <si>
    <t>서산시</t>
  </si>
  <si>
    <t>L02163923902</t>
  </si>
  <si>
    <t>2021.12.14</t>
  </si>
  <si>
    <t>한솔비</t>
  </si>
  <si>
    <t>042-251-1503</t>
  </si>
  <si>
    <t>P0400</t>
  </si>
  <si>
    <t>Q0289</t>
  </si>
  <si>
    <t>P0401</t>
  </si>
  <si>
    <t>전복순</t>
  </si>
  <si>
    <t>010-2040-4983</t>
  </si>
  <si>
    <t>용인시</t>
  </si>
  <si>
    <t>동백세브란스병원</t>
  </si>
  <si>
    <t>P0402</t>
  </si>
  <si>
    <t>L02612574265</t>
  </si>
  <si>
    <t>김민혜</t>
  </si>
  <si>
    <t>042-829-1465</t>
  </si>
  <si>
    <t>P0403</t>
  </si>
  <si>
    <t>8월28일 김규미 담당 통화-&gt; 리본케어 청구서 미수령, 고객으로 380,000원만 지급-&gt; 청구서 확인 요망/28일다시청구완료
사용일당담보 : 고객에게 청구 필요</t>
  </si>
  <si>
    <t>Q0290</t>
  </si>
  <si>
    <t>남정숙</t>
  </si>
  <si>
    <t>010-8812-3393</t>
  </si>
  <si>
    <t>첨단종합병원</t>
  </si>
  <si>
    <t>L02138939672</t>
  </si>
  <si>
    <t>2021.07.15</t>
  </si>
  <si>
    <t>P0404</t>
  </si>
  <si>
    <t>신수지</t>
  </si>
  <si>
    <t>042-829-1467</t>
  </si>
  <si>
    <t xml:space="preserve">2026.06.29 </t>
  </si>
  <si>
    <t>8월28일 김규미 담당 통화-&gt; 리본케어 청구서 미수령, 고객으로 380,000원만 지급-&gt; 청구서 확인 요망/28일다시청구완료/지
사용일당담보 : 고객에게 청구 필요/지급금액 2,278,000원 입금 확인요망 9월1일 카톡으로 확인우리은행(1005****4398)</t>
  </si>
  <si>
    <t>P0405</t>
  </si>
  <si>
    <t>Q0291</t>
  </si>
  <si>
    <t>간병하시던분이 계속 승계</t>
  </si>
  <si>
    <t>장성군</t>
  </si>
  <si>
    <t>혜원병원</t>
  </si>
  <si>
    <t>P0406</t>
  </si>
  <si>
    <t>8월28일 조만기 담당 통화-&gt; 6월23일 4일분 560,000원 입금 확인-&gt; 추가 1일분 청구서가 도착해 있는데-&gt; 추가 1일 입금 요청</t>
  </si>
  <si>
    <t>Q0292</t>
  </si>
  <si>
    <t>P0407</t>
  </si>
  <si>
    <t>장금애</t>
  </si>
  <si>
    <t>P0408</t>
  </si>
  <si>
    <t>Q0293</t>
  </si>
  <si>
    <t>P0409</t>
  </si>
  <si>
    <t>010-2940-0032</t>
  </si>
  <si>
    <t>경상대학교병원</t>
  </si>
  <si>
    <t>L02203774490</t>
  </si>
  <si>
    <t>2022.01.25</t>
  </si>
  <si>
    <t>채경필</t>
  </si>
  <si>
    <t>2026.06.03</t>
  </si>
  <si>
    <t>P0410</t>
  </si>
  <si>
    <t>통화량 폭증?-&gt;월요일 본사 확인-&gt;051-602-5725 다른 담당자에게 요청-&gt;6월29일 2,160,000 입금확인-&gt;담당번호(02-2181-2584,정유진)</t>
  </si>
  <si>
    <t>Q0294</t>
  </si>
  <si>
    <t>P0411</t>
  </si>
  <si>
    <t>방혜영</t>
  </si>
  <si>
    <t>2026.06.20 13:00</t>
  </si>
  <si>
    <t>010-7666-1696</t>
  </si>
  <si>
    <t>P0412</t>
  </si>
  <si>
    <t>퇴계원엘병원</t>
  </si>
  <si>
    <t>L02150732616</t>
  </si>
  <si>
    <t>2021.09.28</t>
  </si>
  <si>
    <t>김선희</t>
  </si>
  <si>
    <t>052-290-5416</t>
  </si>
  <si>
    <t>6월22일 405,000</t>
  </si>
  <si>
    <t>Q0295</t>
  </si>
  <si>
    <t>2026.07.31 08:00</t>
  </si>
  <si>
    <t>P0413</t>
  </si>
  <si>
    <t>2026.08.10 08:00</t>
  </si>
  <si>
    <t>P0414</t>
  </si>
  <si>
    <t>7월1일 1,215,000</t>
  </si>
  <si>
    <t>Q0296</t>
  </si>
  <si>
    <t>P0415</t>
  </si>
  <si>
    <t>리나 LINA</t>
  </si>
  <si>
    <t>010-8234-3337</t>
  </si>
  <si>
    <t>한라병원</t>
  </si>
  <si>
    <t>L02165487339</t>
  </si>
  <si>
    <t>2021.12.22</t>
  </si>
  <si>
    <t>연광정</t>
  </si>
  <si>
    <t>052-290-5404</t>
  </si>
  <si>
    <t>P0416</t>
  </si>
  <si>
    <t>7월16일 1,485,000</t>
  </si>
  <si>
    <t>Q0297</t>
  </si>
  <si>
    <t>2026.06.21 17:00</t>
  </si>
  <si>
    <t>P0417</t>
  </si>
  <si>
    <t>계약확인되면 계속하시던 간병사로…(14만원 초과는 본인 부담하겠으니 간병사 교체 말라)</t>
  </si>
  <si>
    <t>유수분</t>
  </si>
  <si>
    <t>010-2790-8363</t>
  </si>
  <si>
    <t>안산나래요양병원</t>
  </si>
  <si>
    <t>L02122928111</t>
  </si>
  <si>
    <t>2021.04.23</t>
  </si>
  <si>
    <t>장기</t>
  </si>
  <si>
    <t>이가진 담당(053-640-4771)-&gt; 8월28일 담당 부재, 대리인 통화</t>
  </si>
  <si>
    <t>Q0298</t>
  </si>
  <si>
    <t>P0419</t>
  </si>
  <si>
    <t>P0420</t>
  </si>
  <si>
    <t>P0421</t>
  </si>
  <si>
    <t>(기존 간병인 계속 지원 요청)8월20일 입금확인요함/입금확인됨</t>
  </si>
  <si>
    <t>송영록</t>
  </si>
  <si>
    <t>Q0299</t>
  </si>
  <si>
    <t>010-7174-5546</t>
  </si>
  <si>
    <t>의정부시</t>
  </si>
  <si>
    <t>의정부추병원</t>
  </si>
  <si>
    <t>L02215737697</t>
  </si>
  <si>
    <t>2022.04.07</t>
  </si>
  <si>
    <t>P0422</t>
  </si>
  <si>
    <t>P0423</t>
  </si>
  <si>
    <t>8월10일 3,645,000원 입금 확인-&gt; 단가(135,000-&gt;144,000) 차이-&gt; 차이나는 금액 추가로 입금 요청-&gt;월요일 담당 확인하겠다</t>
  </si>
  <si>
    <t>Q0300</t>
  </si>
  <si>
    <t>P0424</t>
  </si>
  <si>
    <t>김덕순</t>
  </si>
  <si>
    <t>010-9808-7023</t>
  </si>
  <si>
    <t>L02158221841</t>
  </si>
  <si>
    <t>2021.12.16</t>
  </si>
  <si>
    <t>유미솔</t>
  </si>
  <si>
    <t>02-2181-2721</t>
  </si>
  <si>
    <t>P0425</t>
  </si>
  <si>
    <t>8월28일 이호중 담당 통화 7.30 576,000 입금 확인</t>
  </si>
  <si>
    <t>Q0301</t>
  </si>
  <si>
    <t>P0426</t>
  </si>
  <si>
    <t>2026.07.02</t>
  </si>
  <si>
    <t>Q0302</t>
  </si>
  <si>
    <t>송파구</t>
  </si>
  <si>
    <t>아산병원</t>
  </si>
  <si>
    <t>052-290-5412</t>
  </si>
  <si>
    <t>P0427</t>
  </si>
  <si>
    <t>Q0303</t>
  </si>
  <si>
    <t>P0429</t>
  </si>
  <si>
    <t>P0431</t>
  </si>
  <si>
    <t>8월28일 최봄 담당 통화 7월14일 입금확인</t>
  </si>
  <si>
    <t>Q0304</t>
  </si>
  <si>
    <t>2026.07.09 17:00</t>
  </si>
  <si>
    <t>P0432</t>
  </si>
  <si>
    <t>김영호</t>
  </si>
  <si>
    <t>010-9275-3608</t>
  </si>
  <si>
    <t>강북삼성병원</t>
  </si>
  <si>
    <t>L02130874378</t>
  </si>
  <si>
    <t>2021.06.08</t>
  </si>
  <si>
    <t>정문식</t>
  </si>
  <si>
    <t>2026.07.01</t>
  </si>
  <si>
    <t>051-602-5740</t>
  </si>
  <si>
    <t>2026.07.19 17:00</t>
  </si>
  <si>
    <t>Q0305</t>
  </si>
  <si>
    <t>P0433</t>
  </si>
  <si>
    <t>P0434</t>
  </si>
  <si>
    <t>김원섭</t>
  </si>
  <si>
    <t>010-3643-3955</t>
  </si>
  <si>
    <t>영광군</t>
  </si>
  <si>
    <t>영광기독병원</t>
  </si>
  <si>
    <t>2026.07.10 12:30</t>
  </si>
  <si>
    <t>L02154081789</t>
  </si>
  <si>
    <t>2021.10.27</t>
  </si>
  <si>
    <t>김규미</t>
  </si>
  <si>
    <t>042-829-1469</t>
  </si>
  <si>
    <t>P0435</t>
  </si>
  <si>
    <t>Q0306</t>
  </si>
  <si>
    <t>P0436</t>
  </si>
  <si>
    <t>2026.07.20 12:30</t>
  </si>
  <si>
    <t>조현숙</t>
  </si>
  <si>
    <t>010-8529-1978</t>
  </si>
  <si>
    <t>울산대학교병원</t>
  </si>
  <si>
    <t>L02106944029</t>
  </si>
  <si>
    <t>조만기</t>
  </si>
  <si>
    <t>031-8014-6869</t>
  </si>
  <si>
    <t>Q0307</t>
  </si>
  <si>
    <t>P0437</t>
  </si>
  <si>
    <t>P0438</t>
  </si>
  <si>
    <t>2026.07.31 12:30</t>
  </si>
  <si>
    <t>환자 직접 구인 =&gt; 차액은 본인 부담하겠음</t>
  </si>
  <si>
    <t>Q0308</t>
  </si>
  <si>
    <t>P0439</t>
  </si>
  <si>
    <t>2026.08.10 12:30</t>
  </si>
  <si>
    <t>P0440</t>
  </si>
  <si>
    <t>6월20자 하루 미청구건 완료</t>
  </si>
  <si>
    <t>8월26일 통장 입금 확인-&gt; 9,802,000원 입금</t>
  </si>
  <si>
    <t>박정숙</t>
  </si>
  <si>
    <t>010-2823-0095</t>
  </si>
  <si>
    <t>Q0309</t>
  </si>
  <si>
    <t>희망병원</t>
  </si>
  <si>
    <t>L02225553941</t>
  </si>
  <si>
    <t>2022.06.08</t>
  </si>
  <si>
    <t>P0441</t>
  </si>
  <si>
    <t>P0442</t>
  </si>
  <si>
    <t>2026.06.28 09:00</t>
  </si>
  <si>
    <t>환자출퇴근요청</t>
  </si>
  <si>
    <t>김성수</t>
  </si>
  <si>
    <t>010-9398-3996</t>
  </si>
  <si>
    <t>동래구</t>
  </si>
  <si>
    <t>대동병원</t>
  </si>
  <si>
    <t>L02218014587</t>
  </si>
  <si>
    <t>2022.04.21</t>
  </si>
  <si>
    <t>이가진</t>
  </si>
  <si>
    <t>053-640-4771</t>
  </si>
  <si>
    <t>6월 30일 420,000원 입금 확인</t>
  </si>
  <si>
    <t>Q0310</t>
  </si>
  <si>
    <t>P0443</t>
  </si>
  <si>
    <t>P0444</t>
  </si>
  <si>
    <t>2026.07.03</t>
  </si>
  <si>
    <t>7월 4일 560,000원 입금 확인</t>
  </si>
  <si>
    <t>Q0311</t>
  </si>
  <si>
    <t>P0445</t>
  </si>
  <si>
    <t>2026.07.04 03:30</t>
  </si>
  <si>
    <t>2026.09.02</t>
  </si>
  <si>
    <t>2026.09.02 재청구함</t>
  </si>
  <si>
    <t>Q0312</t>
  </si>
  <si>
    <t>P0446</t>
  </si>
  <si>
    <t>위필환</t>
  </si>
  <si>
    <t>010-9276-4026</t>
  </si>
  <si>
    <t>전남대학교병원</t>
  </si>
  <si>
    <t>L02549881934</t>
  </si>
  <si>
    <t>2025.11.12</t>
  </si>
  <si>
    <t>이호중</t>
  </si>
  <si>
    <t>042-602-7013</t>
  </si>
  <si>
    <t>P0447</t>
  </si>
  <si>
    <t>2026.07.08 21:00</t>
  </si>
  <si>
    <t>하성임</t>
  </si>
  <si>
    <t>P0448</t>
  </si>
  <si>
    <t>010-5520-2661</t>
  </si>
  <si>
    <t>북구 양산제로 30, 한국아델리움 201동 1301호</t>
  </si>
  <si>
    <t>L02547222256</t>
  </si>
  <si>
    <t>2025.10.27</t>
  </si>
  <si>
    <t>입금140,000  9월7일</t>
  </si>
  <si>
    <t>02-2181-2712</t>
  </si>
  <si>
    <t>Q0313</t>
  </si>
  <si>
    <t>2026.06.17</t>
  </si>
  <si>
    <t>2026.06.30 15:00</t>
  </si>
  <si>
    <t>P0449</t>
  </si>
  <si>
    <t>8월28일 노희정 담당 통화-&gt; 7월13일 2,197,000원 입금 확인</t>
  </si>
  <si>
    <t>Q0314</t>
  </si>
  <si>
    <t>P0450</t>
  </si>
  <si>
    <t>Q0315</t>
  </si>
  <si>
    <t>P0451</t>
  </si>
  <si>
    <t>권세림</t>
  </si>
  <si>
    <t>P0452</t>
  </si>
  <si>
    <t>Q0316</t>
  </si>
  <si>
    <t>27일 간병일지와 청구완료</t>
  </si>
  <si>
    <t>김용식</t>
  </si>
  <si>
    <t>2026.07.10 18:00</t>
  </si>
  <si>
    <t>010-4861-0211</t>
  </si>
  <si>
    <t>P0453</t>
  </si>
  <si>
    <t>L02149269918</t>
  </si>
  <si>
    <t>2021.09.15</t>
  </si>
  <si>
    <t>최본</t>
  </si>
  <si>
    <t>032-456-6431</t>
  </si>
  <si>
    <t>Q0317</t>
  </si>
  <si>
    <t>2026.07.16 18:00</t>
  </si>
  <si>
    <t>P0454</t>
  </si>
  <si>
    <t>2026.07.16 10:00</t>
  </si>
  <si>
    <t>202607.10 13:00</t>
  </si>
  <si>
    <t>P0455</t>
  </si>
  <si>
    <t>Q0318</t>
  </si>
  <si>
    <t>2026.07.20 13:00</t>
  </si>
  <si>
    <t>P0456</t>
  </si>
  <si>
    <t>2026.07.10 13:00</t>
  </si>
  <si>
    <t>2026.08.04</t>
  </si>
  <si>
    <t>Q0319</t>
  </si>
  <si>
    <t>P0457</t>
  </si>
  <si>
    <t>Q0320</t>
  </si>
  <si>
    <t>P0458</t>
  </si>
  <si>
    <t>수술예정</t>
  </si>
  <si>
    <t>홍정숙</t>
  </si>
  <si>
    <t>010-3666-7756</t>
  </si>
  <si>
    <t>동행재활요양병원</t>
  </si>
  <si>
    <t>L02607561728</t>
  </si>
  <si>
    <t>2026.02.26</t>
  </si>
  <si>
    <t>김예슬</t>
  </si>
  <si>
    <t>02-2127-0782</t>
  </si>
  <si>
    <t>2026.07.28 15:00</t>
  </si>
  <si>
    <t>2026.06.23</t>
  </si>
  <si>
    <t>P0459</t>
  </si>
  <si>
    <t>8월28일 최용은 담당 통화-&gt; 입금확인</t>
  </si>
  <si>
    <t>Q0321</t>
  </si>
  <si>
    <t>P0460</t>
  </si>
  <si>
    <t>P0461</t>
  </si>
  <si>
    <t>Q0322</t>
  </si>
  <si>
    <t>P0462</t>
  </si>
  <si>
    <t>2026.07.20 10:30</t>
  </si>
  <si>
    <t>Q0323</t>
  </si>
  <si>
    <t>P0463</t>
  </si>
  <si>
    <t>2026.07.31 10:30</t>
  </si>
  <si>
    <t>P0464</t>
  </si>
  <si>
    <t>2026.08.10 10:30</t>
  </si>
  <si>
    <t>P0465</t>
  </si>
  <si>
    <t>8월28일 장호섭 담당, 장성택 담당 통화-&gt; 입금확인-&gt; 단가(129,000) 차이 문제는 본사로 직접 요청하라고 함</t>
  </si>
  <si>
    <t>Q0324</t>
  </si>
  <si>
    <t>P0466</t>
  </si>
  <si>
    <t>농협/60101452092379 이태길</t>
  </si>
  <si>
    <t>P0468</t>
  </si>
  <si>
    <t>Q0325</t>
  </si>
  <si>
    <t>P0469</t>
  </si>
  <si>
    <t>2026.07.01 08:30</t>
  </si>
  <si>
    <t>Q0326</t>
  </si>
  <si>
    <t>P0470</t>
  </si>
  <si>
    <t>0507-770-6781</t>
  </si>
  <si>
    <t>2026.08.10 08:30</t>
  </si>
  <si>
    <t>P0471</t>
  </si>
  <si>
    <t>Q0327</t>
  </si>
  <si>
    <t>8월 2차</t>
  </si>
  <si>
    <t>P0472</t>
  </si>
  <si>
    <t>노다은</t>
  </si>
  <si>
    <t>010-2209-2472</t>
  </si>
  <si>
    <t>김제시</t>
  </si>
  <si>
    <t>김제병원</t>
  </si>
  <si>
    <t>L02305992358</t>
  </si>
  <si>
    <t>2023.02.06</t>
  </si>
  <si>
    <t>8월28일 김효선 담당 통화-&gt; 8월26일까지 입금 완료</t>
  </si>
  <si>
    <t>Q0328</t>
  </si>
  <si>
    <t>P0473</t>
  </si>
  <si>
    <t>정영수</t>
  </si>
  <si>
    <t>은평성모병원</t>
  </si>
  <si>
    <t>L02548645446</t>
  </si>
  <si>
    <t>2025.11.07</t>
  </si>
  <si>
    <t>최지혜</t>
  </si>
  <si>
    <t>051-602-5757</t>
  </si>
  <si>
    <t>0507-770-6262</t>
  </si>
  <si>
    <t>P0474</t>
  </si>
  <si>
    <t>8월28일 기효진 담당 통화-&gt; 입금 확인-&gt; 135,000원 단가 차이 금액 입금 요청-&gt; 확인해보고 연락주겠다고 함</t>
  </si>
  <si>
    <t>Q0329</t>
  </si>
  <si>
    <t>설계사 연락</t>
  </si>
  <si>
    <t>P0475</t>
  </si>
  <si>
    <t>2026.07.31 16:00</t>
  </si>
  <si>
    <t>8월28일 기효진 담당 통화-&gt; 입금확인</t>
  </si>
  <si>
    <t>P0476</t>
  </si>
  <si>
    <t>Q0330</t>
  </si>
  <si>
    <t>홀리요양재활병원</t>
  </si>
  <si>
    <t>2026.08.10 16:00</t>
  </si>
  <si>
    <t>2026.07.31 08:30</t>
  </si>
  <si>
    <t>보험사 기준</t>
  </si>
  <si>
    <t>P0477</t>
  </si>
  <si>
    <t>1. 질병 담보 가입이나 상해로 입원 : 고객 청구 필요//9월14일 남편전화 총금액을 할인해서 해결하자고함 -공문서 보내달라고함 
2. 윤광자 본인의 잦은 입원과 보험청구로 미고지를하여 보험이 해지당함
   현대해상은 내용증명과 해지서류 집으로 다 보낸상태임(8월12일 해지)
3. 본인은 잘 모르겠다고 하며 해당 설계사(신청인) 관련 내용 통화(고객 청구서를 발송하라고 함)
4. 청구 내용 문자 발송//9월9일 22일치  재청구(7월 22일 부터 8월12일까지 청구)</t>
  </si>
  <si>
    <t>Q0331</t>
  </si>
  <si>
    <t>차미임</t>
  </si>
  <si>
    <t>010-6396-1306</t>
  </si>
  <si>
    <t>건양대학교병원</t>
  </si>
  <si>
    <t>2026.07.20 21:00</t>
  </si>
  <si>
    <t>L02110295734</t>
  </si>
  <si>
    <t>2024.03.02</t>
  </si>
  <si>
    <t>최용은</t>
  </si>
  <si>
    <t>P0478</t>
  </si>
  <si>
    <t>042-829-1481</t>
  </si>
  <si>
    <t>P0479</t>
  </si>
  <si>
    <t>Q0332</t>
  </si>
  <si>
    <t>P0480</t>
  </si>
  <si>
    <t>유승백</t>
  </si>
  <si>
    <t>010-3798-3720</t>
  </si>
  <si>
    <t>L02162724787</t>
  </si>
  <si>
    <t>장호섭 장성택</t>
  </si>
  <si>
    <t xml:space="preserve">8월27일 장성택 담당자 통화-&gt; 7월31일까지 입금 처리 확인(고객 서류 요청 중, 8월10일, 8월20일 보험 청구 확인-&gt; 8월28일 보험 청구 완료 </t>
  </si>
  <si>
    <t>052-290-5407 02-2182-2748</t>
  </si>
  <si>
    <t>Q0333</t>
  </si>
  <si>
    <t>P0481</t>
  </si>
  <si>
    <t>김시훈</t>
  </si>
  <si>
    <t>010-2815-2230</t>
  </si>
  <si>
    <t>도담지소아과</t>
  </si>
  <si>
    <t>8월28일 송경욱 담당(052-290-5421) 통화-&gt; 7월, 8월 청구서 접수했으나 고객 서류 미비로 미입금-&gt; 고객 서류 재요청 후, 처리 하겠다고 함</t>
  </si>
  <si>
    <t>L02228424664</t>
  </si>
  <si>
    <t>2022.06.24</t>
  </si>
  <si>
    <t>Q0334</t>
  </si>
  <si>
    <t>김태양</t>
  </si>
  <si>
    <t>051-602-5704</t>
  </si>
  <si>
    <t xml:space="preserve">2026.07.31 </t>
  </si>
  <si>
    <t>P0482</t>
  </si>
  <si>
    <t>김철재</t>
  </si>
  <si>
    <t>010-2265-5847</t>
  </si>
  <si>
    <t>파주시</t>
  </si>
  <si>
    <t>운정서울대효요양병원</t>
  </si>
  <si>
    <t>L02338386913</t>
  </si>
  <si>
    <t>2023.08.01</t>
  </si>
  <si>
    <t>8월28일 허재민 담당 통화</t>
  </si>
  <si>
    <t>Q0335</t>
  </si>
  <si>
    <t>2026.07.13</t>
  </si>
  <si>
    <t>P0483</t>
  </si>
  <si>
    <t>2026.07.31 18:00</t>
  </si>
  <si>
    <t>P0485</t>
  </si>
  <si>
    <t>구상순</t>
  </si>
  <si>
    <t>010-4692-5203</t>
  </si>
  <si>
    <t>충북대학교병원</t>
  </si>
  <si>
    <t>L02237755608</t>
  </si>
  <si>
    <t>2022.08.19</t>
  </si>
  <si>
    <t>2507B11753</t>
  </si>
  <si>
    <t>민형석 김효진</t>
  </si>
  <si>
    <t>02-2165-7528 062-602-3908</t>
  </si>
  <si>
    <t>8월28일 김경민 담당 통화-&gt; 8월13일 1,080,000입금-&gt; 차액 72,000원 08.28 입금 확인</t>
  </si>
  <si>
    <t>Q0336</t>
  </si>
  <si>
    <t>P0486</t>
  </si>
  <si>
    <t>박옥순</t>
  </si>
  <si>
    <t>010-5849-6266 / 010-9460-8385</t>
  </si>
  <si>
    <t>조선대학교병원</t>
  </si>
  <si>
    <t>L02130786184</t>
  </si>
  <si>
    <t>2021.06.11</t>
  </si>
  <si>
    <t>박익순</t>
  </si>
  <si>
    <t>Q0337</t>
  </si>
  <si>
    <t>P0487</t>
  </si>
  <si>
    <t>아시는 간병사님이 간병하는 것 요청</t>
  </si>
  <si>
    <t>C0204</t>
  </si>
  <si>
    <t>최인희</t>
  </si>
  <si>
    <t>010-5730-9182</t>
  </si>
  <si>
    <t>삼성서울병원</t>
  </si>
  <si>
    <t>미해당</t>
  </si>
  <si>
    <t>2026.07.26 18:00</t>
  </si>
  <si>
    <t>2026.08.01 09:30</t>
  </si>
  <si>
    <t>P0488</t>
  </si>
  <si>
    <t xml:space="preserve">2026.06.26 18:00간병완료, 8월28일 송석중 담당 통화 </t>
  </si>
  <si>
    <t>Q0338</t>
  </si>
  <si>
    <t>간병인 사용일당 담보(07.13 접수팀장님) =&gt; 서비스 지원 불가 안내</t>
  </si>
  <si>
    <t>이춘남</t>
  </si>
  <si>
    <t>010-9587-0987</t>
  </si>
  <si>
    <t>성북구</t>
  </si>
  <si>
    <t>L02212635052</t>
  </si>
  <si>
    <t>2022.03.22</t>
  </si>
  <si>
    <t>P0489</t>
  </si>
  <si>
    <t>입금확인완료</t>
  </si>
  <si>
    <t>Q0339</t>
  </si>
  <si>
    <t>신현주</t>
  </si>
  <si>
    <t>2026.08.28</t>
  </si>
  <si>
    <t>8월28일 박진희 담당 통화-&gt; 고객서류 미비, 리본케어 청구서도 없음 / 8월28일 청구완료/입금완료1,008,0009월2일</t>
  </si>
  <si>
    <t>Q0340</t>
  </si>
  <si>
    <t>최영자</t>
  </si>
  <si>
    <t>010-9778-0678</t>
  </si>
  <si>
    <t>칠곡군</t>
  </si>
  <si>
    <t>왜관읍 평장7길 11번지 305동 106호</t>
  </si>
  <si>
    <t>L02551001020</t>
  </si>
  <si>
    <t>2025.11.20</t>
  </si>
  <si>
    <t>김효선</t>
  </si>
  <si>
    <t>042-602-7010</t>
  </si>
  <si>
    <t>P0490</t>
  </si>
  <si>
    <t>2026. 8. 28 구자훈 담당(부재중-&gt; 대리인 통화) 8월12일 675,000원(135,000원) 입금-&gt; 144,000/일 이라 차액 송금 요청-&gt; 월요일 처리</t>
  </si>
  <si>
    <t>Q0341</t>
  </si>
  <si>
    <t>P0491</t>
  </si>
  <si>
    <t>마더케어 청구 필요26일청구</t>
  </si>
  <si>
    <t>윤광자</t>
  </si>
  <si>
    <t>010-5374-5974/010-6325-6565</t>
  </si>
  <si>
    <t>동작구</t>
  </si>
  <si>
    <t>보라매병원</t>
  </si>
  <si>
    <t>L02556846044</t>
  </si>
  <si>
    <t>2025.12.22</t>
  </si>
  <si>
    <t>김한비</t>
  </si>
  <si>
    <t>02-2270-7059</t>
  </si>
  <si>
    <t>2026.08.14</t>
  </si>
  <si>
    <t>P0492</t>
  </si>
  <si>
    <t>8월28일 이용민 담당 통화-&gt; 8월21일 576,000입금 확인</t>
  </si>
  <si>
    <t>Q0342</t>
  </si>
  <si>
    <t>이춘애</t>
  </si>
  <si>
    <t>010-7472-7217</t>
  </si>
  <si>
    <t>원광대학교병원</t>
  </si>
  <si>
    <t>L02143210860</t>
  </si>
  <si>
    <t>2021.08.10</t>
  </si>
  <si>
    <t>김인아</t>
  </si>
  <si>
    <t>042-602-7029</t>
  </si>
  <si>
    <t>P0493</t>
  </si>
  <si>
    <t>김진숙</t>
  </si>
  <si>
    <t>2026.08.11 24:00</t>
  </si>
  <si>
    <t>50031402358987우체국/김진숙환자지급계좌</t>
  </si>
  <si>
    <t>P0494</t>
  </si>
  <si>
    <t>8월28일 이진욱 담당(변경 )통화-&gt; 현재 서비스 진행 중이고 입금 처리 아직 못했다-&gt; 모아서 처리 예정</t>
  </si>
  <si>
    <t>Q0343</t>
  </si>
  <si>
    <t>청구완료</t>
  </si>
  <si>
    <t>윤경자</t>
  </si>
  <si>
    <t>010-3777-4968</t>
  </si>
  <si>
    <t>호평로 45번길 11-15,  KCC스위첸 103동 1603호</t>
  </si>
  <si>
    <t>L02549230214</t>
  </si>
  <si>
    <t>P0495</t>
  </si>
  <si>
    <t>8월28일 허재민 담당 통화-&gt; 144,000/일</t>
  </si>
  <si>
    <t>Q0344</t>
  </si>
  <si>
    <t>박정란</t>
  </si>
  <si>
    <t>010-4884-6582</t>
  </si>
  <si>
    <t>서산중앙병원</t>
  </si>
  <si>
    <t>L02214746178</t>
  </si>
  <si>
    <t>장성택</t>
  </si>
  <si>
    <t>02-2181-2748</t>
  </si>
  <si>
    <t>P0496</t>
  </si>
  <si>
    <t xml:space="preserve">8월27일, 28일 이동영 담당 통화-&gt; 고객서류 미비, 재촉 중이고 완료되는대로 입금하기로 함 </t>
  </si>
  <si>
    <t>Q0345</t>
  </si>
  <si>
    <t>간병사 통합 청구 진행</t>
  </si>
  <si>
    <t>P0497</t>
  </si>
  <si>
    <t>2026.08.10 14:30</t>
  </si>
  <si>
    <t xml:space="preserve">8월27일 통합 입금 </t>
  </si>
  <si>
    <t>Q0346</t>
  </si>
  <si>
    <t>8월1차미청구건 같이 27일 합산청구함</t>
  </si>
  <si>
    <t>나도선</t>
  </si>
  <si>
    <t>010-4763-5620</t>
  </si>
  <si>
    <t>분당서울대병원</t>
  </si>
  <si>
    <t>L02212375258</t>
  </si>
  <si>
    <t>2022.03.18</t>
  </si>
  <si>
    <t>2026.07.22</t>
  </si>
  <si>
    <t>11월 2차</t>
  </si>
  <si>
    <t>P0498</t>
  </si>
  <si>
    <t>Q0347</t>
  </si>
  <si>
    <t>12월 4차</t>
  </si>
  <si>
    <t>2026.12.30</t>
  </si>
  <si>
    <t>P0499</t>
  </si>
  <si>
    <t>Q0348</t>
  </si>
  <si>
    <t>간병사 통합 청구 진행/8월1차미청구건합산하여청구</t>
  </si>
  <si>
    <t>2026.08.18</t>
  </si>
  <si>
    <t>임형순</t>
  </si>
  <si>
    <t>010-2588-7203</t>
  </si>
  <si>
    <t>덕진구 무삼지로 10, 부영6차 605동 1206호</t>
  </si>
  <si>
    <t>1월 4차</t>
  </si>
  <si>
    <t>P0500</t>
  </si>
  <si>
    <t>2026.01.31</t>
  </si>
  <si>
    <t>L02545790954</t>
  </si>
  <si>
    <t xml:space="preserve">원용연 </t>
  </si>
  <si>
    <t>2025.10.16</t>
  </si>
  <si>
    <t>김진성</t>
  </si>
  <si>
    <t>02-2181-2722</t>
  </si>
  <si>
    <t>2026.07.17</t>
  </si>
  <si>
    <t>P0501</t>
  </si>
  <si>
    <t>Q0349</t>
  </si>
  <si>
    <t xml:space="preserve">최경희 </t>
  </si>
  <si>
    <t>2026.08.20</t>
  </si>
  <si>
    <t>P0502</t>
  </si>
  <si>
    <t>2026.08.19</t>
  </si>
  <si>
    <t>마더케어 청구 필요</t>
  </si>
  <si>
    <t>C0216</t>
  </si>
  <si>
    <t>임필순</t>
  </si>
  <si>
    <t>010-2850-3264</t>
  </si>
  <si>
    <t>안양시</t>
  </si>
  <si>
    <t>한림대학교 성심병원 평촌</t>
  </si>
  <si>
    <t>통합 청구</t>
  </si>
  <si>
    <t>L02235481630</t>
  </si>
  <si>
    <t>2022.08.05</t>
  </si>
  <si>
    <t>P0503</t>
  </si>
  <si>
    <t>Q0350</t>
  </si>
  <si>
    <t>P0504</t>
  </si>
  <si>
    <t>썩션 및 콧줄 등 의료행위=&gt; 사용일당 지원하겠음</t>
  </si>
  <si>
    <t>김일순</t>
  </si>
  <si>
    <t>010-5254-3369/010-8767-0082</t>
  </si>
  <si>
    <t>Q0351</t>
  </si>
  <si>
    <t>L02120248708</t>
  </si>
  <si>
    <t>2021.04.09</t>
  </si>
  <si>
    <t>P0505</t>
  </si>
  <si>
    <t>Q0352</t>
  </si>
  <si>
    <t>P0506</t>
  </si>
  <si>
    <t>홍표승</t>
  </si>
  <si>
    <t>010-6337-7883</t>
  </si>
  <si>
    <t>수서한방병원</t>
  </si>
  <si>
    <t>L02246129033</t>
  </si>
  <si>
    <t>2022.10.13</t>
  </si>
  <si>
    <t>김경민</t>
  </si>
  <si>
    <t>02-2181-2517</t>
  </si>
  <si>
    <t>P0507</t>
  </si>
  <si>
    <t xml:space="preserve">     김경미</t>
  </si>
  <si>
    <t>P0508</t>
  </si>
  <si>
    <t>Q0353</t>
  </si>
  <si>
    <t>김순종</t>
  </si>
  <si>
    <t>P0509</t>
  </si>
  <si>
    <t>010-2704-4724</t>
  </si>
  <si>
    <t>대전한방병원</t>
  </si>
  <si>
    <t>L02322738386</t>
  </si>
  <si>
    <t>2023.05.09</t>
  </si>
  <si>
    <t>김지아</t>
  </si>
  <si>
    <t>051-602-5736</t>
  </si>
  <si>
    <t>2026.07.06</t>
  </si>
  <si>
    <t>P0510</t>
  </si>
  <si>
    <t>2026.05.12</t>
  </si>
  <si>
    <t>Q0354</t>
  </si>
  <si>
    <t>P0511</t>
  </si>
  <si>
    <t>이미 간병인을 사용하고 있는 상황임</t>
  </si>
  <si>
    <t>안운자</t>
  </si>
  <si>
    <t>010-8246-6788</t>
  </si>
  <si>
    <t>서대문구</t>
  </si>
  <si>
    <t>L02614069876</t>
  </si>
  <si>
    <t>유아람,양희철</t>
  </si>
  <si>
    <t>02-2181-2339, 2536</t>
  </si>
  <si>
    <t>2026.08.07</t>
  </si>
  <si>
    <t>P0512</t>
  </si>
  <si>
    <t>Q0355</t>
  </si>
  <si>
    <t>8월1차 미청구되어 합산하여청구함</t>
  </si>
  <si>
    <t>2026..07.23</t>
  </si>
  <si>
    <t>P0513</t>
  </si>
  <si>
    <t>Q0356</t>
  </si>
  <si>
    <t>고객 요청으로 2시간만에 철수 =&gt; 간병비 1일치 지급 =&gt; 추가 청구는 어려움</t>
  </si>
  <si>
    <t>P0514</t>
  </si>
  <si>
    <t>Q0357</t>
  </si>
  <si>
    <t>한빛병원</t>
  </si>
  <si>
    <t>정은호</t>
  </si>
  <si>
    <t>02-2127-0857</t>
  </si>
  <si>
    <t>Q0358</t>
  </si>
  <si>
    <t>P0515</t>
  </si>
  <si>
    <t>P0516</t>
  </si>
  <si>
    <t>010-9799-5413</t>
  </si>
  <si>
    <t>하나병원</t>
  </si>
  <si>
    <t>L02165836173</t>
  </si>
  <si>
    <t>2021.12.23</t>
  </si>
  <si>
    <t>2607A65502</t>
  </si>
  <si>
    <t>042-</t>
  </si>
  <si>
    <t>8월13일 1.240,000입금확인</t>
  </si>
  <si>
    <t>Q0360</t>
  </si>
  <si>
    <t>P0517</t>
  </si>
  <si>
    <t>썩션 의료행위 필요 =&gt; 사용일당 적용 가능 안내 (08.10)</t>
  </si>
  <si>
    <t>송영경</t>
  </si>
  <si>
    <t>010-5760-5260</t>
  </si>
  <si>
    <t>상계백명원</t>
  </si>
  <si>
    <t>L02527237586</t>
  </si>
  <si>
    <t>2025.06.16</t>
  </si>
  <si>
    <t>2607A65343</t>
  </si>
  <si>
    <t>강주현</t>
  </si>
  <si>
    <t>02-2127-0717</t>
  </si>
  <si>
    <t>2026.08.24</t>
  </si>
  <si>
    <t>P0518</t>
  </si>
  <si>
    <t>최재승</t>
  </si>
  <si>
    <t>010-5222-1950</t>
  </si>
  <si>
    <t>인애가병원(문정동)</t>
  </si>
  <si>
    <t>L02131315615</t>
  </si>
  <si>
    <t>2024.06.11</t>
  </si>
  <si>
    <t>2607B23277</t>
  </si>
  <si>
    <t>최유철</t>
  </si>
  <si>
    <t>02-2181-2355</t>
  </si>
  <si>
    <t xml:space="preserve"> 황상하(042-829-1490) 통화-&gt; 9월11일 아직 미현장 실사</t>
  </si>
  <si>
    <t>Q0361</t>
  </si>
  <si>
    <t>P0519</t>
  </si>
  <si>
    <t>고경진</t>
  </si>
  <si>
    <t>010-9010-1301</t>
  </si>
  <si>
    <t>더서울병원</t>
  </si>
  <si>
    <t>L02238580992</t>
  </si>
  <si>
    <t>2022.08.29</t>
  </si>
  <si>
    <t>2607B25894</t>
  </si>
  <si>
    <t>구자훈</t>
  </si>
  <si>
    <t>051-602-5755</t>
  </si>
  <si>
    <t xml:space="preserve"> 8월18일 576,000입금 확인</t>
  </si>
  <si>
    <t>Q0362</t>
  </si>
  <si>
    <t>팩스9월11일 재송부 1장에 12일치 내역이 모두 적용 9월 14일 담당자 다시 전화하기로함</t>
  </si>
  <si>
    <t>Q0363</t>
  </si>
  <si>
    <t>010-3766-1636</t>
  </si>
  <si>
    <t>전남병원</t>
  </si>
  <si>
    <t>P0520</t>
  </si>
  <si>
    <t>L02221417901</t>
  </si>
  <si>
    <t>2022.05.13</t>
  </si>
  <si>
    <t>이용민</t>
  </si>
  <si>
    <t>02-2181-2779</t>
  </si>
  <si>
    <t>8월31일 이미지 담당 통화-&gt; 고객 서류 미비로 입금 지연-&gt; 확인 후 처리하겠다고 함</t>
  </si>
  <si>
    <t>Q0364</t>
  </si>
  <si>
    <t xml:space="preserve">출퇴근6일치 김진숙환자가 직접간병사에게지급함/ 입금확인요함 </t>
  </si>
  <si>
    <t>P0521</t>
  </si>
  <si>
    <t>곽상헌</t>
  </si>
  <si>
    <t>010-4156-2708</t>
  </si>
  <si>
    <t>고흥군</t>
  </si>
  <si>
    <t>고흥종합병원</t>
  </si>
  <si>
    <t>L02139016517</t>
  </si>
  <si>
    <t>2024.07.19</t>
  </si>
  <si>
    <t>이진욱</t>
  </si>
  <si>
    <t>02-2181-2530</t>
  </si>
  <si>
    <t>8월25일 정대훈 손해사정인 통화-&gt; 8월 10일까지 청구분 입금 확인-&gt; 8월 10일~8월 20일 청구 분은 곧 입금 예정</t>
  </si>
  <si>
    <t>26일</t>
  </si>
  <si>
    <t>Q0365</t>
  </si>
  <si>
    <t>042-829-1479</t>
  </si>
  <si>
    <t>P0522</t>
  </si>
  <si>
    <t xml:space="preserve">8월24 입금1 .240.000확인 </t>
  </si>
  <si>
    <t>Q0366</t>
  </si>
  <si>
    <t>P0523</t>
  </si>
  <si>
    <t>설아림</t>
  </si>
  <si>
    <t>010-6488-1453</t>
  </si>
  <si>
    <t>김해시</t>
  </si>
  <si>
    <t>복음병원</t>
  </si>
  <si>
    <t>L02210132374</t>
  </si>
  <si>
    <t>2022.03.04</t>
  </si>
  <si>
    <t>P0524</t>
  </si>
  <si>
    <t xml:space="preserve">확인요함 9월 11일 미청구건으로 확인소급청구함 </t>
  </si>
  <si>
    <t>Q0367</t>
  </si>
  <si>
    <t>2026.08.23 11:00</t>
  </si>
  <si>
    <t>P0525</t>
  </si>
  <si>
    <t>2026.08.21</t>
  </si>
  <si>
    <t>P0526</t>
  </si>
  <si>
    <t>장옥영</t>
  </si>
  <si>
    <t>010-7735-2494</t>
  </si>
  <si>
    <t>서울대학교병원</t>
  </si>
  <si>
    <t>L02106943065</t>
  </si>
  <si>
    <t>2021.02.02</t>
  </si>
  <si>
    <t>이동영</t>
  </si>
  <si>
    <t>02-2181-2337</t>
  </si>
  <si>
    <t>2026.08.27</t>
  </si>
  <si>
    <t>P0527</t>
  </si>
  <si>
    <t>간병신청대장에 기록 누락-&gt; 현대 담당자, 사고번호 확인완료</t>
  </si>
  <si>
    <t>Q0368</t>
  </si>
  <si>
    <t>청구완료건</t>
  </si>
  <si>
    <t>010-4077-6949</t>
  </si>
  <si>
    <t>단국대학교병원</t>
  </si>
  <si>
    <t>Q0369</t>
  </si>
  <si>
    <t>P0528</t>
  </si>
  <si>
    <t>사용일당 담보 =&gt; 고객안내 배정 취소 등</t>
  </si>
  <si>
    <t>정대석</t>
  </si>
  <si>
    <t>010-3115-1503</t>
  </si>
  <si>
    <t>신세계병원</t>
  </si>
  <si>
    <t>L02238871610</t>
  </si>
  <si>
    <t>2022.08.25</t>
  </si>
  <si>
    <t>서지영</t>
  </si>
  <si>
    <t>02-2181-2769</t>
  </si>
  <si>
    <t>P0529</t>
  </si>
  <si>
    <t>Q0370</t>
  </si>
  <si>
    <t>P0530</t>
  </si>
  <si>
    <t>곽은정</t>
  </si>
  <si>
    <t>010-2267-7502</t>
  </si>
  <si>
    <t>P0531</t>
  </si>
  <si>
    <t>속초시</t>
  </si>
  <si>
    <t>속초시 동해대로 4284</t>
  </si>
  <si>
    <t>L02549183830</t>
  </si>
  <si>
    <t>김정하</t>
  </si>
  <si>
    <t>042-602-7064</t>
  </si>
  <si>
    <t>2026.08.11</t>
  </si>
  <si>
    <t>10~15회</t>
  </si>
  <si>
    <t>P0532</t>
  </si>
  <si>
    <t>Q0371</t>
  </si>
  <si>
    <t>이기흥</t>
  </si>
  <si>
    <t>010-9680-8456</t>
  </si>
  <si>
    <t>안양샘병원</t>
  </si>
  <si>
    <t>L02628933860</t>
  </si>
  <si>
    <t>윤현재</t>
  </si>
  <si>
    <t>02-2127-0876</t>
  </si>
  <si>
    <t>3~4일</t>
  </si>
  <si>
    <t>P0533</t>
  </si>
  <si>
    <t>8월31일 최보배 담당자 통화-&gt; 8월14일 3,024,000원 입금 완료</t>
  </si>
  <si>
    <t>Q0372</t>
  </si>
  <si>
    <t>7월 4차</t>
  </si>
  <si>
    <t>강종미</t>
  </si>
  <si>
    <t>010-3181-4525</t>
  </si>
  <si>
    <t>광양시</t>
  </si>
  <si>
    <t>탑병원</t>
  </si>
  <si>
    <t>L02232150872</t>
  </si>
  <si>
    <t>2022.07.15</t>
  </si>
  <si>
    <t>배진희</t>
  </si>
  <si>
    <t>042-829-1418</t>
  </si>
  <si>
    <t>0507-739-0092</t>
  </si>
  <si>
    <t>2026.08.26</t>
  </si>
  <si>
    <t>Q0373</t>
  </si>
  <si>
    <t>P0534</t>
  </si>
  <si>
    <t xml:space="preserve"> 1,440,000원 입금확인 9월2일 입금</t>
  </si>
  <si>
    <t>Q0374</t>
  </si>
  <si>
    <t>010-2073-8509</t>
  </si>
  <si>
    <t xml:space="preserve">서구 </t>
  </si>
  <si>
    <t>L02532037967</t>
  </si>
  <si>
    <t>2025.07.17</t>
  </si>
  <si>
    <t>이세란</t>
  </si>
  <si>
    <t>P0535</t>
  </si>
  <si>
    <t>P0536</t>
  </si>
  <si>
    <t>연락필요</t>
  </si>
  <si>
    <t>Q0375</t>
  </si>
  <si>
    <t>공동간병(기저귀 착용으로 1인 간병 병실로 이동 불가)</t>
  </si>
  <si>
    <t>신수진</t>
  </si>
  <si>
    <t>2026.08.13</t>
  </si>
  <si>
    <t>2026.08.24 11:30</t>
  </si>
  <si>
    <t>P0537</t>
  </si>
  <si>
    <t>8월28일 장성택 담당 통화-&gt; 입금확인</t>
  </si>
  <si>
    <t>Q0376</t>
  </si>
  <si>
    <t>P0538</t>
  </si>
  <si>
    <t>8월31일 1루 /9월10일 소급하여지급청구하기로함</t>
  </si>
  <si>
    <t>이원주</t>
  </si>
  <si>
    <t>010-3864-8599</t>
  </si>
  <si>
    <t>사천시</t>
  </si>
  <si>
    <t>삼천포 서울병원</t>
  </si>
  <si>
    <t>L02123718258</t>
  </si>
  <si>
    <t>2021.04.30</t>
  </si>
  <si>
    <t>053-640-4710</t>
  </si>
  <si>
    <t>P0539</t>
  </si>
  <si>
    <t>C0254</t>
  </si>
  <si>
    <t>P0540</t>
  </si>
  <si>
    <t>P0541</t>
  </si>
  <si>
    <t>8월26일 입금-&gt; 통장 확인 요망
13일치 청구함</t>
  </si>
  <si>
    <t>Q0377</t>
  </si>
  <si>
    <t>증권번호공란으로 청구오류 /수정완료</t>
  </si>
  <si>
    <t>P0542</t>
  </si>
  <si>
    <t>원용연</t>
  </si>
  <si>
    <t>010-6374-2258</t>
  </si>
  <si>
    <t>화순군</t>
  </si>
  <si>
    <t>L02134148460</t>
  </si>
  <si>
    <t>2021.05.03</t>
  </si>
  <si>
    <t>이미지</t>
  </si>
  <si>
    <t>02-2181-2322</t>
  </si>
  <si>
    <t>P0543</t>
  </si>
  <si>
    <t>8월 3차</t>
  </si>
  <si>
    <t>P0544</t>
  </si>
  <si>
    <t>전라북도</t>
  </si>
  <si>
    <t xml:space="preserve">135.000단가 입금 완료 </t>
  </si>
  <si>
    <t>동군산병원</t>
  </si>
  <si>
    <t>Q0378</t>
  </si>
  <si>
    <t>P0545</t>
  </si>
  <si>
    <t>2026.08.18 09:30</t>
  </si>
  <si>
    <t>2~3주</t>
  </si>
  <si>
    <t xml:space="preserve">2026.08.30 </t>
  </si>
  <si>
    <t>8월10미청구로 인한  미지급함</t>
  </si>
  <si>
    <t>P0547</t>
  </si>
  <si>
    <t>결핵으로 서비스 제공 불가</t>
  </si>
  <si>
    <t>서울 대방성애병원</t>
  </si>
  <si>
    <t>Q0379</t>
  </si>
  <si>
    <t>L02321639529</t>
  </si>
  <si>
    <t>2026.08.31</t>
  </si>
  <si>
    <t>2023.05.06</t>
  </si>
  <si>
    <t>P0548</t>
  </si>
  <si>
    <t>신정원</t>
  </si>
  <si>
    <t>02-2181-2379</t>
  </si>
  <si>
    <t>P0549</t>
  </si>
  <si>
    <t>8월28일 배진희 담당 통화-&gt; 단가 차이 문제 확인하기로 함</t>
  </si>
  <si>
    <t>Q0380</t>
  </si>
  <si>
    <t>P0550</t>
  </si>
  <si>
    <t>최교삼</t>
  </si>
  <si>
    <t>010-9478-7069</t>
  </si>
  <si>
    <t>강원도</t>
  </si>
  <si>
    <t>동해</t>
  </si>
  <si>
    <t>동해동인병원</t>
  </si>
  <si>
    <t>L02224735329</t>
  </si>
  <si>
    <t>2022.06.02</t>
  </si>
  <si>
    <t>1-2주</t>
  </si>
  <si>
    <t>P0551</t>
  </si>
  <si>
    <t>P0552</t>
  </si>
  <si>
    <t>P0553</t>
  </si>
  <si>
    <t xml:space="preserve">15일치  통합청구함 </t>
  </si>
  <si>
    <t>P0554</t>
  </si>
  <si>
    <t>이정민</t>
  </si>
  <si>
    <t>010-2761-2033/환자010-7711-2733</t>
  </si>
  <si>
    <t>부천시</t>
  </si>
  <si>
    <t>부천순천향병원</t>
  </si>
  <si>
    <t>L02205710647</t>
  </si>
  <si>
    <t>2022.02,07</t>
  </si>
  <si>
    <t>2608A66174</t>
  </si>
  <si>
    <t>2026.08.28  09:40</t>
  </si>
  <si>
    <t>1주일</t>
  </si>
  <si>
    <t>P0555</t>
  </si>
  <si>
    <t>8월31일 이지은담당 통화-&gt; 아직 서류 심사 중이니 확인 후 처리하겠다고 함</t>
  </si>
  <si>
    <t>Q0381</t>
  </si>
  <si>
    <t>2026.09.01</t>
  </si>
  <si>
    <t>((620913-6860016유계숙)  빠르게 지급원함
협회 수수료는 계산서 발행 요청(4,563원x5일)</t>
  </si>
  <si>
    <t>P0556</t>
  </si>
  <si>
    <t>8월28일소급접수 /신청접수누락완료</t>
  </si>
  <si>
    <t>대구시</t>
  </si>
  <si>
    <t>대구카톨릭병원</t>
  </si>
  <si>
    <t>L02162349134</t>
  </si>
  <si>
    <t>김태리</t>
  </si>
  <si>
    <t>042-251-1502</t>
  </si>
  <si>
    <t>2026.08.19 13:10</t>
  </si>
  <si>
    <t>2박3일</t>
  </si>
  <si>
    <t>P0557</t>
  </si>
  <si>
    <t xml:space="preserve">8월31일 김정하 담당 통화-&gt; 아직 입금 못했는데 빨리 처리하겠다고 서류미비건010-9158-4782 현장조사 과정 </t>
  </si>
  <si>
    <t>Q0382</t>
  </si>
  <si>
    <t>P0558</t>
  </si>
  <si>
    <t>목에 가시가 걸려 후두수술</t>
  </si>
  <si>
    <t>C0250</t>
  </si>
  <si>
    <t>군포시</t>
  </si>
  <si>
    <t>군포성모병원</t>
  </si>
  <si>
    <t>2026.08.20 16:40</t>
  </si>
  <si>
    <t xml:space="preserve"> </t>
  </si>
  <si>
    <t>P0559</t>
  </si>
  <si>
    <t xml:space="preserve">고객 서류 요청 중-&gt;고객이 서류 미송부로 계속 미루고 있음 . 9월 11일 </t>
  </si>
  <si>
    <t>Q0383</t>
  </si>
  <si>
    <t>P0560</t>
  </si>
  <si>
    <t>010-6576-4937</t>
  </si>
  <si>
    <t>천안단국대병원</t>
  </si>
  <si>
    <t>L02217022836</t>
  </si>
  <si>
    <t>2022.04.14</t>
  </si>
  <si>
    <t>정민지</t>
  </si>
  <si>
    <t>042-829-1472</t>
  </si>
  <si>
    <t>P0561</t>
  </si>
  <si>
    <t>Q0384</t>
  </si>
  <si>
    <t>P0562</t>
  </si>
  <si>
    <t>010-3177-1447</t>
  </si>
  <si>
    <t>서울</t>
  </si>
  <si>
    <t>L02103732756</t>
  </si>
  <si>
    <t>2021.01.19</t>
  </si>
  <si>
    <t>김성은</t>
  </si>
  <si>
    <t>032-456-6404</t>
  </si>
  <si>
    <t>2026.08.25 14:40</t>
  </si>
  <si>
    <t>2026.08.30</t>
  </si>
  <si>
    <t>P0563</t>
  </si>
  <si>
    <t>산소호흡기와 기타 줄이 많고 암 말기로 환자가 간병사를 기피함</t>
  </si>
  <si>
    <t>010-9968-8645</t>
  </si>
  <si>
    <t>8월31 496000입금확인</t>
  </si>
  <si>
    <t>서울대학병원</t>
  </si>
  <si>
    <t>L02156689637</t>
  </si>
  <si>
    <t>Q0385</t>
  </si>
  <si>
    <t>2026.08.25 14:50</t>
  </si>
  <si>
    <t>8월31일 김태리 담당 통화-&gt; 청구 서류 재송부 요청/8월25일 재송부</t>
  </si>
  <si>
    <t>Q0386</t>
  </si>
  <si>
    <t>P0564</t>
  </si>
  <si>
    <t>010-2274-8509/010-2073-8509</t>
  </si>
  <si>
    <t>부산</t>
  </si>
  <si>
    <t>부산시</t>
  </si>
  <si>
    <t>부산대병원(서구)</t>
  </si>
  <si>
    <t>2608A01453</t>
  </si>
  <si>
    <t>김남일</t>
  </si>
  <si>
    <t>051-602-5758</t>
  </si>
  <si>
    <t>2026.08.26 10:10</t>
  </si>
  <si>
    <t>8월31일 통화 담당 변경(유아람02-2181-2339-&gt;양희철02-2181-2536)-&gt; SCOR계좌로 8월27일 2,640,000원 입금(계약 상 간병일당2 상품), 리본케어는 간병일당1 상품</t>
  </si>
  <si>
    <t>Q0387</t>
  </si>
  <si>
    <t>P0565</t>
  </si>
  <si>
    <t>9월 1차</t>
  </si>
  <si>
    <t>P0566</t>
  </si>
  <si>
    <t>C0255</t>
  </si>
  <si>
    <t>P0567</t>
  </si>
  <si>
    <t>8월26일 재접수 신청건 (7월 서비스이용안함)</t>
  </si>
  <si>
    <t>P0568</t>
  </si>
  <si>
    <t>2029.09.06 15:00</t>
  </si>
  <si>
    <t>협회 수수료는 계산서 발행 요청(4,563원x3일)삼성화재
우리은행1002354810183   PLAOJINYU(박금옥)</t>
  </si>
  <si>
    <t>P0569</t>
  </si>
  <si>
    <t>P0570</t>
  </si>
  <si>
    <t>김순자</t>
  </si>
  <si>
    <t>010-3686-3988</t>
  </si>
  <si>
    <t>구리시</t>
  </si>
  <si>
    <t>구리 윤서병원</t>
  </si>
  <si>
    <t>L02546009685</t>
  </si>
  <si>
    <t>2025-10.17</t>
  </si>
  <si>
    <t>2608A65027</t>
  </si>
  <si>
    <t>김욱환</t>
  </si>
  <si>
    <t>02-818-4735</t>
  </si>
  <si>
    <t xml:space="preserve">통합입금건 입금확인 </t>
  </si>
  <si>
    <t>Q0388</t>
  </si>
  <si>
    <t>P0571</t>
  </si>
  <si>
    <t>2029.09.06</t>
  </si>
  <si>
    <t>선지급완료</t>
  </si>
  <si>
    <t>P0572</t>
  </si>
  <si>
    <t>P0573</t>
  </si>
  <si>
    <t>9월1일 청구완료</t>
  </si>
  <si>
    <t>C0257</t>
  </si>
  <si>
    <t>전라도</t>
  </si>
  <si>
    <t>P0574</t>
  </si>
  <si>
    <t>2026.08.31 10:00</t>
  </si>
  <si>
    <t>3주이상</t>
  </si>
  <si>
    <t>8월25일 조채영 담당 통화</t>
  </si>
  <si>
    <t>490916-6100499  김영금간병사079-076087-01-015기업은행
협회 수수료는 계산서 발행 요청(4,563원x4일)</t>
  </si>
  <si>
    <t>Q0389</t>
  </si>
  <si>
    <t>P0575</t>
  </si>
  <si>
    <t>110491285520신한은행 임경옥/퇴원</t>
  </si>
  <si>
    <t>P0576</t>
  </si>
  <si>
    <t>C0258</t>
  </si>
  <si>
    <t>우욱제</t>
  </si>
  <si>
    <t>010-3690-2382</t>
  </si>
  <si>
    <t>제주도</t>
  </si>
  <si>
    <t>제주</t>
  </si>
  <si>
    <t>L02156634031</t>
  </si>
  <si>
    <t>2024.11.02</t>
  </si>
  <si>
    <t>2608A65362</t>
  </si>
  <si>
    <t>8월25일 조채영 담당 통화/미청구로 인한 9월 2일 다시청구</t>
  </si>
  <si>
    <t>Q0390</t>
  </si>
  <si>
    <t>2029.09.10</t>
  </si>
  <si>
    <t>대표가 설명 했고 리본의 지급방식대로 따르겠다고 하심</t>
  </si>
  <si>
    <t>P0577</t>
  </si>
  <si>
    <t>고객 서류 요청 중-&gt;고객이 서류 미송부로 계속 미루고 있음 . 9월 11일</t>
  </si>
  <si>
    <t>Q0391</t>
  </si>
  <si>
    <t>서비스지원못함 누락건으로 보험사로 간병비 받기로 접수증보냄</t>
  </si>
  <si>
    <t>C0259</t>
  </si>
  <si>
    <t>010-3215-1215</t>
  </si>
  <si>
    <t>상계백병원</t>
  </si>
  <si>
    <t>,</t>
  </si>
  <si>
    <t>P0578</t>
  </si>
  <si>
    <t>이진욱 담당 통화-&gt; 월말이라 처리 못했는데 빨리 입금하겠음-&gt; 144,000(129,000원이라고 하길래 그건 고객 단가이고 리본케어 단가는 144,000원이라고 알려줌)</t>
  </si>
  <si>
    <t>Q0392</t>
  </si>
  <si>
    <t>퇴원/청구완료</t>
  </si>
  <si>
    <t>C0260</t>
  </si>
  <si>
    <t>권하윤</t>
  </si>
  <si>
    <t>010-8986-3372</t>
  </si>
  <si>
    <t xml:space="preserve">경기도 </t>
  </si>
  <si>
    <t>하늘빛어린이병원</t>
  </si>
  <si>
    <t>사용일당</t>
  </si>
  <si>
    <t>P0579</t>
  </si>
  <si>
    <t>8월28일 최봄 담당자 통화 했었고, 오늘 다시 통화-&gt; 아직 심사 중이니 기다리라고 함</t>
  </si>
  <si>
    <t>Q0393</t>
  </si>
  <si>
    <t>간병일자 고객 본인이 아이를 간병하려면? 방법 알려드림</t>
  </si>
  <si>
    <t>C0261</t>
  </si>
  <si>
    <t>P0580</t>
  </si>
  <si>
    <t>010-2294-3390/01064707443</t>
  </si>
  <si>
    <t>홍성</t>
  </si>
  <si>
    <t>홍성의료원</t>
  </si>
  <si>
    <t>8월31일 권세림 담당 통화-&gt; 8월31일 1,330,000원 SCOR 계좌로 입금(7월26일~8월10일 재택 간병 비용)</t>
  </si>
  <si>
    <t>Q0394</t>
  </si>
  <si>
    <t>P0581</t>
  </si>
  <si>
    <t>간병인은 지원했으나 간병일수보험가입자로 서비스취소</t>
  </si>
  <si>
    <t>010-3715-3837</t>
  </si>
  <si>
    <t xml:space="preserve">서울 </t>
  </si>
  <si>
    <t>서울 아산병원</t>
  </si>
  <si>
    <t>L02150116027</t>
  </si>
  <si>
    <t>2024.09.24</t>
  </si>
  <si>
    <t>황원미</t>
  </si>
  <si>
    <t>042-602-7048</t>
  </si>
  <si>
    <t>2026.09.01 15:10</t>
  </si>
  <si>
    <t>2026.09.01 18:10</t>
  </si>
  <si>
    <t>P0582</t>
  </si>
  <si>
    <t>010-9478-8952</t>
  </si>
  <si>
    <t>속초</t>
  </si>
  <si>
    <t>속초의료원</t>
  </si>
  <si>
    <t>L02165711873</t>
  </si>
  <si>
    <t>조혜정</t>
  </si>
  <si>
    <t>02-2181-2515</t>
  </si>
  <si>
    <t>2026.09.03 10:50</t>
  </si>
  <si>
    <t>2026.09.04 10:50</t>
  </si>
  <si>
    <t>Q0395</t>
  </si>
  <si>
    <t>P0583</t>
  </si>
  <si>
    <t>010-2574-6849</t>
  </si>
  <si>
    <t xml:space="preserve">수원시 </t>
  </si>
  <si>
    <t>아주대학병원</t>
  </si>
  <si>
    <t>2026.09.03 14:05</t>
  </si>
  <si>
    <t>2026.09.03 17:05</t>
  </si>
  <si>
    <t>P0584</t>
  </si>
  <si>
    <t>계약 해지되어 통합간병 병실로 옮김, 고객에게 직접 청구 필요</t>
  </si>
  <si>
    <t>Q0396</t>
  </si>
  <si>
    <t>P0585</t>
  </si>
  <si>
    <t>010-7533-1580</t>
  </si>
  <si>
    <t>서면</t>
  </si>
  <si>
    <t>온종합병원</t>
  </si>
  <si>
    <t>2026.09.03 09:05</t>
  </si>
  <si>
    <t>2026.09.05</t>
  </si>
  <si>
    <t>P0586</t>
  </si>
  <si>
    <t>서비스신청 취소, 09.05 재신청</t>
  </si>
  <si>
    <t>010-5552-8943/010-5552-6612(딸)</t>
  </si>
  <si>
    <t>평촌</t>
  </si>
  <si>
    <t>한림대병원</t>
  </si>
  <si>
    <t>2026.09.03 16:07</t>
  </si>
  <si>
    <t>Q0397</t>
  </si>
  <si>
    <t>P0587</t>
  </si>
  <si>
    <t>8월31일 최유철 담당 통화-&gt; 8월18일 1,728,000 입금 완료</t>
  </si>
  <si>
    <t>Q0398</t>
  </si>
  <si>
    <t xml:space="preserve">삼성화재 </t>
  </si>
  <si>
    <t>P0588</t>
  </si>
  <si>
    <t xml:space="preserve">정상 </t>
  </si>
  <si>
    <t>C0267</t>
  </si>
  <si>
    <t>남궁미경</t>
  </si>
  <si>
    <t>010-3684-4017</t>
  </si>
  <si>
    <t>구로구</t>
  </si>
  <si>
    <t>구로성심병원</t>
  </si>
  <si>
    <t xml:space="preserve">취소 </t>
  </si>
  <si>
    <t>2026.09.05 15:40</t>
  </si>
  <si>
    <t xml:space="preserve">간병신청대장에 기록 누락-&gt; 현대 담당자, 사고번호 파악 안됨/사고번호 입력되었음 </t>
  </si>
  <si>
    <t>Q0399</t>
  </si>
  <si>
    <t>협회 수수료는 계산서 발행 요청(4,563원x3일)</t>
  </si>
  <si>
    <t>P0589</t>
  </si>
  <si>
    <t>8월31일 송경용 담당 통화-&gt; 심사 완료-&gt; 총 5,472,000원 입금 예정</t>
  </si>
  <si>
    <t>협회 수수료는 계산서 발행 요청(4,563원x2일)삼성 성심간병</t>
  </si>
  <si>
    <t>Q0400</t>
  </si>
  <si>
    <t>P0590</t>
  </si>
  <si>
    <t>010-3526-0727</t>
  </si>
  <si>
    <t>안동시</t>
  </si>
  <si>
    <t>안동병원</t>
  </si>
  <si>
    <t>2026.09.05 16:55</t>
  </si>
  <si>
    <t>9월 2차</t>
  </si>
  <si>
    <t xml:space="preserve">2029.09.11 </t>
  </si>
  <si>
    <t>P0591</t>
  </si>
  <si>
    <t>8월31일 통화 시도-&gt; 계속 통화 중-&gt; 이미지 담당자 통화-&gt; 고객서류 요청하고 완료되면 입금하겠다고 함/청구서오류로 31일10일간병비다시청구함</t>
  </si>
  <si>
    <t>Q0401</t>
  </si>
  <si>
    <t>010-6790-1352</t>
  </si>
  <si>
    <t>화성디에스병원 803</t>
  </si>
  <si>
    <t xml:space="preserve">2026.09.07  </t>
  </si>
  <si>
    <t>P0592</t>
  </si>
  <si>
    <t>8월27일 장성택 담당자 통화-&gt; 7월31일까지 입금 처리 확인(고객 서류 요청 중, 8월10일, 8월20일 보험 청구 확인-&gt; 8월28일 보험 청구 완료</t>
  </si>
  <si>
    <t>Q0402</t>
  </si>
  <si>
    <t>미청구 8월 10건 /9월2일 다시청구함</t>
  </si>
  <si>
    <t>Q0403</t>
  </si>
  <si>
    <t>삼성</t>
  </si>
  <si>
    <t>010-3278-8182</t>
  </si>
  <si>
    <t>인천광역시</t>
  </si>
  <si>
    <t>부평구</t>
  </si>
  <si>
    <t>세림병원</t>
  </si>
  <si>
    <t>8월31일 김인아 담당 통화-&gt; 간병비 지급 전담 부서로 전달하겠다고 했는데-&gt; 오후에 다시 연락 옴-&gt; 고객서류 미비로 아직 입금 못하고 있는데 다시 요청해서 처리하겠음</t>
  </si>
  <si>
    <t>Q0404</t>
  </si>
  <si>
    <t>2026.09.08 13:30</t>
  </si>
  <si>
    <t xml:space="preserve">2026.09.07 </t>
  </si>
  <si>
    <t>2029.09.03 사망</t>
  </si>
  <si>
    <t>P0593</t>
  </si>
  <si>
    <t>8월28일 장성택 담당 통화-&gt; 1,419,000 입금확인(단가129,000-&gt; 확인 필요)</t>
  </si>
  <si>
    <t>Q0405</t>
  </si>
  <si>
    <t>P0594</t>
  </si>
  <si>
    <t>010-9744-2316</t>
  </si>
  <si>
    <t>강릉시</t>
  </si>
  <si>
    <t>아산병원 51병동23호</t>
  </si>
  <si>
    <t>L02225077372</t>
  </si>
  <si>
    <t>2022.06.03</t>
  </si>
  <si>
    <t>박경덕</t>
  </si>
  <si>
    <t>052-290-5428</t>
  </si>
  <si>
    <t>2026.09.07 13:31</t>
  </si>
  <si>
    <t>2026.09.08</t>
  </si>
  <si>
    <t>6월3차 하루분 미청구건,8월28일 조만기 담당 통화-&gt; 6월23일 4일분 560,000원 입금 확인-&gt; 추가 1일분 청구서가 도착해 있는데-&gt; 추가 1일 입금 확인</t>
  </si>
  <si>
    <t>Q0406</t>
  </si>
  <si>
    <t>Q0407</t>
  </si>
  <si>
    <t>Q0408</t>
  </si>
  <si>
    <t>P0595</t>
  </si>
  <si>
    <t>2026.09.15  19:00</t>
  </si>
  <si>
    <t>고객 취소건 별도 청구 필요</t>
  </si>
  <si>
    <t>P0596</t>
  </si>
  <si>
    <t>C0272</t>
  </si>
  <si>
    <t>현남주</t>
  </si>
  <si>
    <t>010-8854-0889</t>
  </si>
  <si>
    <t>대구</t>
  </si>
  <si>
    <t>굳센병원</t>
  </si>
  <si>
    <t>8월28일 1,440,000원 입금 확인-&gt; 우리은행 통장</t>
  </si>
  <si>
    <t>Q0409</t>
  </si>
  <si>
    <t>Q0410</t>
  </si>
  <si>
    <t>P0597</t>
  </si>
  <si>
    <t>P0598</t>
  </si>
  <si>
    <t>2026.07.16.09:00</t>
  </si>
  <si>
    <t>사용일당보험</t>
  </si>
  <si>
    <t>C0273</t>
  </si>
  <si>
    <t>김우찬</t>
  </si>
  <si>
    <t>010-5168-5649</t>
  </si>
  <si>
    <t>삼성(성심간병)</t>
  </si>
  <si>
    <t>광주</t>
  </si>
  <si>
    <t>광산수완미래아동병원</t>
  </si>
  <si>
    <t>Q0411</t>
  </si>
  <si>
    <t>P0599</t>
  </si>
  <si>
    <t>P0600</t>
  </si>
  <si>
    <t>P0601</t>
  </si>
  <si>
    <t>9월7일144,000입금확인</t>
  </si>
  <si>
    <t>Q0412</t>
  </si>
  <si>
    <t>2026.09.16 11:00</t>
  </si>
  <si>
    <t>P0602</t>
  </si>
  <si>
    <t>P0603</t>
  </si>
  <si>
    <t>010-7769-6290</t>
  </si>
  <si>
    <t>L02130747773</t>
  </si>
  <si>
    <t>조여정</t>
  </si>
  <si>
    <t>032-456-6428</t>
  </si>
  <si>
    <t>2026.09.13  14:00</t>
  </si>
  <si>
    <t>Q0413</t>
  </si>
  <si>
    <t>2029.09.20</t>
  </si>
  <si>
    <t>P0604</t>
  </si>
  <si>
    <t xml:space="preserve">2026.09.15 </t>
  </si>
  <si>
    <t>정상</t>
  </si>
  <si>
    <t xml:space="preserve">010-6237-4726.010-6227-4726
</t>
  </si>
  <si>
    <t>한림대학교동탄성심병원</t>
  </si>
  <si>
    <t>2026.09.10 0931</t>
  </si>
  <si>
    <t>2026.09.10</t>
  </si>
  <si>
    <t>P0605</t>
  </si>
  <si>
    <t>9월8일 재청구(05077706351)담당팩스송부( 사망)입금확인 되었음</t>
  </si>
  <si>
    <t>Q0414</t>
  </si>
  <si>
    <t>P0606</t>
  </si>
  <si>
    <t>누락청구서 정정 9월7일 청구재송부</t>
  </si>
  <si>
    <t>Q0415</t>
  </si>
  <si>
    <t>C0276</t>
  </si>
  <si>
    <t>강태준</t>
  </si>
  <si>
    <t>010-5210-7210</t>
  </si>
  <si>
    <t>2029.09.22 14:00</t>
  </si>
  <si>
    <t xml:space="preserve">22일 지급요함 </t>
  </si>
  <si>
    <t>9월22일퇴원 예정 한번에 지급</t>
  </si>
  <si>
    <t>P0607</t>
  </si>
  <si>
    <t>Q0416</t>
  </si>
  <si>
    <t>010-2355-2673</t>
  </si>
  <si>
    <t xml:space="preserve">강원도 </t>
  </si>
  <si>
    <t xml:space="preserve">춘천시 </t>
  </si>
  <si>
    <t>한림성심병원</t>
  </si>
  <si>
    <t>2026.09.10 14:01</t>
  </si>
  <si>
    <t>P0608</t>
  </si>
  <si>
    <t>Q0417</t>
  </si>
  <si>
    <t>P0609</t>
  </si>
  <si>
    <t>010-8502-3839</t>
  </si>
  <si>
    <t xml:space="preserve">경상남도 </t>
  </si>
  <si>
    <t xml:space="preserve">진주시 </t>
  </si>
  <si>
    <t>제일병원</t>
  </si>
  <si>
    <t>L02117753379</t>
  </si>
  <si>
    <t>2026.09.11 09:01</t>
  </si>
  <si>
    <t>2026.09.11 16:01</t>
  </si>
  <si>
    <t>Q0418</t>
  </si>
  <si>
    <t>P0610</t>
  </si>
  <si>
    <t>Q0419</t>
  </si>
  <si>
    <t>Q0420</t>
  </si>
  <si>
    <t>010-4034-3525.010-9137-3525</t>
  </si>
  <si>
    <t xml:space="preserve">동작구 </t>
  </si>
  <si>
    <t xml:space="preserve">보라매병원 </t>
  </si>
  <si>
    <t>L02213104822</t>
  </si>
  <si>
    <t>지미경</t>
  </si>
  <si>
    <t>062-602-3974</t>
  </si>
  <si>
    <t>2026.09.11 14:01</t>
  </si>
  <si>
    <t>2026.09.28 14:00</t>
  </si>
  <si>
    <t xml:space="preserve">2주일 </t>
  </si>
  <si>
    <t>P0611</t>
  </si>
  <si>
    <t>Q0421</t>
  </si>
  <si>
    <t>010-4567-1170</t>
  </si>
  <si>
    <t xml:space="preserve">층남 </t>
  </si>
  <si>
    <t xml:space="preserve">21일지급요함 퇴원 </t>
  </si>
  <si>
    <t>P0612</t>
  </si>
  <si>
    <t>2026.09.07</t>
  </si>
  <si>
    <t>재청구9월7일 함, 입금 금액 확인 필요</t>
  </si>
  <si>
    <t>Q0422</t>
  </si>
  <si>
    <t>C0281</t>
  </si>
  <si>
    <t>김규호</t>
  </si>
  <si>
    <t>010-5798-7903</t>
  </si>
  <si>
    <t>영광종합병원</t>
  </si>
  <si>
    <t>당일취소</t>
  </si>
  <si>
    <t>P0613</t>
  </si>
  <si>
    <t>P0614</t>
  </si>
  <si>
    <t>Q0423</t>
  </si>
  <si>
    <t>삼성화재/협회 수수료는 계산서 발행 요청(4,563원x3일)</t>
  </si>
  <si>
    <t>P0615</t>
  </si>
  <si>
    <t>P0616</t>
  </si>
  <si>
    <t>2029.09.18 17:00</t>
  </si>
  <si>
    <t>18일지급요함</t>
  </si>
  <si>
    <t>서비스취소 당일</t>
  </si>
  <si>
    <t>P0617</t>
  </si>
  <si>
    <t>010-2261-3859</t>
  </si>
  <si>
    <t>(율목동) 인천기독병원/한양대학병원이관</t>
  </si>
  <si>
    <t>P0618</t>
  </si>
  <si>
    <t>2026.09.14 10:30</t>
  </si>
  <si>
    <t>P0619</t>
  </si>
  <si>
    <t>Q0424</t>
  </si>
  <si>
    <t>P0620</t>
  </si>
  <si>
    <t>17일지급요함</t>
  </si>
  <si>
    <t>사망</t>
  </si>
  <si>
    <t>P0621</t>
  </si>
  <si>
    <t>2029.09.18 10:00</t>
  </si>
  <si>
    <t xml:space="preserve">18일지급요함 </t>
  </si>
  <si>
    <t>P0622</t>
  </si>
  <si>
    <t>C0283</t>
  </si>
  <si>
    <t>김창원</t>
  </si>
  <si>
    <t>사직동</t>
  </si>
  <si>
    <t>부산의료선교회 세계로병원</t>
  </si>
  <si>
    <t>P0623</t>
  </si>
  <si>
    <t>P0624</t>
  </si>
  <si>
    <t>삼성화재협회 수수료는 계산서 발행 요청(4,563원x2일)</t>
  </si>
  <si>
    <t>P0625</t>
  </si>
  <si>
    <t>9월3일 1,485,000 원 입금완료</t>
  </si>
  <si>
    <t>Q0425</t>
  </si>
  <si>
    <t>P0626</t>
  </si>
  <si>
    <t>2029.09.21</t>
  </si>
  <si>
    <t xml:space="preserve"> 연세대학교원주세브란스기독병원</t>
  </si>
  <si>
    <t xml:space="preserve">퇴원 </t>
  </si>
  <si>
    <t>2026.09.14 13:30</t>
  </si>
  <si>
    <t>P0627</t>
  </si>
  <si>
    <t>P0628</t>
  </si>
  <si>
    <t xml:space="preserve">2029.09.20 </t>
  </si>
  <si>
    <t>Q0426</t>
  </si>
  <si>
    <t xml:space="preserve">당일취소 </t>
  </si>
  <si>
    <t xml:space="preserve">울주군 </t>
  </si>
  <si>
    <t>마근길 133-2</t>
  </si>
  <si>
    <t>2026.09.14 15:10</t>
  </si>
  <si>
    <t>2026.09.03 11:00</t>
  </si>
  <si>
    <t>2026.09.03</t>
  </si>
  <si>
    <t>통합청구</t>
  </si>
  <si>
    <t>Q0427</t>
  </si>
  <si>
    <t>Q0428</t>
  </si>
  <si>
    <t xml:space="preserve">서비스불가 안내 재택보험청구 접수 안내함 </t>
  </si>
  <si>
    <t>010-6266-7994</t>
  </si>
  <si>
    <t xml:space="preserve">강릉시 </t>
  </si>
  <si>
    <t>명주로 77변길</t>
  </si>
  <si>
    <t>L02544175565</t>
  </si>
  <si>
    <t xml:space="preserve">이주형 </t>
  </si>
  <si>
    <t>02-818-4717</t>
  </si>
  <si>
    <t xml:space="preserve">양산시 </t>
  </si>
  <si>
    <t>양산부산대학교병원</t>
  </si>
  <si>
    <t xml:space="preserve">9월 2일 입금완료  1,584,000원 </t>
  </si>
  <si>
    <t xml:space="preserve">  L02203774490</t>
  </si>
  <si>
    <t>Q0429</t>
  </si>
  <si>
    <t xml:space="preserve">2026.09.14 15:00 </t>
  </si>
  <si>
    <t xml:space="preserve">2026.09.15 09:00 </t>
  </si>
  <si>
    <t>010-2589-6806</t>
  </si>
  <si>
    <t xml:space="preserve">9월 2일 입금완료  1,480,000원 </t>
  </si>
  <si>
    <t>강릉아산병원</t>
  </si>
  <si>
    <t>Q0430</t>
  </si>
  <si>
    <t xml:space="preserve">2026.09.15 13:50 </t>
  </si>
  <si>
    <t>Q0431</t>
  </si>
  <si>
    <t>010-3773-0183</t>
  </si>
  <si>
    <t>서울대학병원(7419호실)</t>
  </si>
  <si>
    <t>통합청구 13일함</t>
  </si>
  <si>
    <t>Q0432</t>
  </si>
  <si>
    <t>2026.09.04</t>
  </si>
  <si>
    <t>9월4일 청구함</t>
  </si>
  <si>
    <t>Q0433</t>
  </si>
  <si>
    <t>Q0434</t>
  </si>
  <si>
    <t>C0290</t>
  </si>
  <si>
    <t>김해순</t>
  </si>
  <si>
    <t>010-5634-0920</t>
  </si>
  <si>
    <t>분당</t>
  </si>
  <si>
    <t>Q0435</t>
  </si>
  <si>
    <t>서비스취소</t>
  </si>
  <si>
    <t xml:space="preserve">2026.09.15 16:50 </t>
  </si>
  <si>
    <t>2026.09.16</t>
  </si>
  <si>
    <t>응급실이라 간병인 지원 불가</t>
  </si>
  <si>
    <t>010-7736-1790</t>
  </si>
  <si>
    <t xml:space="preserve">속초시 </t>
  </si>
  <si>
    <t>보광병원 (225호)</t>
  </si>
  <si>
    <t xml:space="preserve">입금 </t>
  </si>
  <si>
    <t>Q0436</t>
  </si>
  <si>
    <t>2026.09.16 09:00</t>
  </si>
  <si>
    <t>Q0437</t>
  </si>
  <si>
    <t>9월7일 청구, 입금 금액 확인 필요</t>
  </si>
  <si>
    <t>Q0438</t>
  </si>
  <si>
    <t>010-5259-9255</t>
  </si>
  <si>
    <t xml:space="preserve">부천시 </t>
  </si>
  <si>
    <t>부천순천향대학병원</t>
  </si>
  <si>
    <t>L02552595219</t>
  </si>
  <si>
    <t>호흡기질환</t>
  </si>
  <si>
    <t>C0293</t>
  </si>
  <si>
    <t>민덕수</t>
  </si>
  <si>
    <t>010-8509-3437</t>
  </si>
  <si>
    <t xml:space="preserve">사용일수 </t>
  </si>
  <si>
    <t>Q0439</t>
  </si>
  <si>
    <t>010-8131-1588</t>
  </si>
  <si>
    <t>삼육병원</t>
  </si>
  <si>
    <t>2026.09.06</t>
  </si>
  <si>
    <t>맹장수술</t>
  </si>
  <si>
    <t>2026.09.16 20:00</t>
  </si>
  <si>
    <t>720,000 입금확인 9.18일 입금문자</t>
  </si>
  <si>
    <t>Q0440</t>
  </si>
  <si>
    <t>010-6415-7080</t>
  </si>
  <si>
    <t>평택</t>
  </si>
  <si>
    <t>서울제일병원 5306호</t>
  </si>
  <si>
    <t>어깨골절수술</t>
  </si>
  <si>
    <t>2026.09.18 08:00</t>
  </si>
  <si>
    <t>2026.09.18 15:00</t>
  </si>
  <si>
    <t>Q0441</t>
  </si>
  <si>
    <t>010-8270-7779</t>
  </si>
  <si>
    <t>제이에스병원 607호</t>
  </si>
  <si>
    <t>병원도착후 취소 당일일당지급건</t>
  </si>
  <si>
    <t>Q0442</t>
  </si>
  <si>
    <t>다리골절/인대파열</t>
  </si>
  <si>
    <t>2026.09.18 13:50</t>
  </si>
  <si>
    <t>2026.09.09</t>
  </si>
  <si>
    <t>010-7629-1155</t>
  </si>
  <si>
    <t xml:space="preserve">익산시 </t>
  </si>
  <si>
    <t xml:space="preserve">익산제일병원 </t>
  </si>
  <si>
    <t>L02108793640</t>
  </si>
  <si>
    <t>최희원</t>
  </si>
  <si>
    <t>Q0443</t>
  </si>
  <si>
    <t>053-640-4713</t>
  </si>
  <si>
    <t>다리골절</t>
  </si>
  <si>
    <t>2026.09.18 16:51</t>
  </si>
  <si>
    <t>2026.09.18 13:51</t>
  </si>
  <si>
    <t>Q0444</t>
  </si>
  <si>
    <t>010-2389-4940</t>
  </si>
  <si>
    <t>서대문</t>
  </si>
  <si>
    <t>00052624442440000</t>
  </si>
  <si>
    <t>팔골절</t>
  </si>
  <si>
    <t>2026.09.18 13:52</t>
  </si>
  <si>
    <t>010-3702-7637</t>
  </si>
  <si>
    <t>씽문동</t>
  </si>
  <si>
    <t>한일병원</t>
  </si>
  <si>
    <t>00052623263910000</t>
  </si>
  <si>
    <t>담낭염</t>
  </si>
  <si>
    <t>2026.09.19 10:51</t>
  </si>
  <si>
    <t>우울증/수술</t>
  </si>
  <si>
    <t>2026.09.19 16:51</t>
  </si>
  <si>
    <t>Q0445</t>
  </si>
  <si>
    <t>Q0446</t>
  </si>
  <si>
    <t>Q0447</t>
  </si>
  <si>
    <t>Q0448</t>
  </si>
  <si>
    <t>Q0449</t>
  </si>
  <si>
    <t xml:space="preserve">9월 14일 입금 1,290,000 확인 </t>
  </si>
  <si>
    <t>Q0450</t>
  </si>
  <si>
    <t>Q0451</t>
  </si>
  <si>
    <t>2026.09.10 13:00</t>
  </si>
  <si>
    <t>Q0452</t>
  </si>
  <si>
    <t>Q0453</t>
  </si>
  <si>
    <t>Q0454</t>
  </si>
  <si>
    <t>Q0455</t>
  </si>
  <si>
    <t>2026.09.15</t>
  </si>
  <si>
    <t>Q0456</t>
  </si>
  <si>
    <t>2026.09.11</t>
  </si>
  <si>
    <t>Q0457</t>
  </si>
  <si>
    <t xml:space="preserve">사망 </t>
  </si>
  <si>
    <t>Q0458</t>
  </si>
  <si>
    <t>Q0459</t>
  </si>
  <si>
    <t>2026.09.14</t>
  </si>
  <si>
    <t>Q0460</t>
  </si>
  <si>
    <t>2026.09.15 09:00</t>
  </si>
  <si>
    <t>Q0461</t>
  </si>
  <si>
    <t>2026.09.15 12:00</t>
  </si>
  <si>
    <t>Q0462</t>
  </si>
  <si>
    <t>추정(기본147,000)</t>
  </si>
  <si>
    <t>Q0463</t>
  </si>
  <si>
    <t>Q0464</t>
  </si>
  <si>
    <t>Q0465</t>
  </si>
  <si>
    <t>2029.09.11</t>
  </si>
  <si>
    <t>Q0466</t>
  </si>
  <si>
    <t>2026.09.15 17:00</t>
  </si>
  <si>
    <t>Q0467</t>
  </si>
  <si>
    <t>Q0468</t>
  </si>
  <si>
    <t>Q0469</t>
  </si>
  <si>
    <t>2026.09.18</t>
  </si>
  <si>
    <t>Q0470</t>
  </si>
  <si>
    <t>Q0471</t>
  </si>
  <si>
    <t>ㄹㅇ</t>
  </si>
  <si>
    <t>Q0472</t>
  </si>
  <si>
    <t>Q0473</t>
  </si>
  <si>
    <t>Q0474</t>
  </si>
  <si>
    <t>Q0475</t>
  </si>
  <si>
    <t>Q0476</t>
  </si>
  <si>
    <t>Q0477</t>
  </si>
  <si>
    <t>Q0478</t>
  </si>
  <si>
    <t>Q0479</t>
  </si>
  <si>
    <t>Q0480</t>
  </si>
  <si>
    <t>Q0481</t>
  </si>
  <si>
    <t>Q0482</t>
  </si>
  <si>
    <t>Q0483</t>
  </si>
  <si>
    <t>Q0484</t>
  </si>
  <si>
    <t>Q0485</t>
  </si>
  <si>
    <t>Q0486</t>
  </si>
  <si>
    <t>Q0487</t>
  </si>
  <si>
    <t>```````````````````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</si>
</sst>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_-;\-* #,##0_-;_-* &quot;-&quot;_-;_-@"/>
    <numFmt numFmtId="165" formatCode="yyyy\-mm\-dd"/>
    <numFmt numFmtId="166" formatCode="_-* #,##0.00_-;\-* #,##0.00_-;_-* &quot;-&quot;_-;_-@"/>
    <numFmt numFmtId="167" formatCode="yyyy-mm-dd"/>
    <numFmt numFmtId="168" formatCode="0_);[Red]\(0\)"/>
  </numFmts>
  <fonts count="23">
    <font>
      <sz val="11.0"/>
      <color theme="1"/>
      <name val="Calibri"/>
      <scheme val="minor"/>
    </font>
    <font>
      <b/>
      <sz val="16.0"/>
      <color rgb="FF1F4E79"/>
      <name val="Noto Sans"/>
    </font>
    <font>
      <b/>
      <sz val="11.0"/>
      <color rgb="FFFFFFFF"/>
      <name val="Noto Sans"/>
    </font>
    <font>
      <b/>
      <sz val="10.0"/>
      <color rgb="FFFFFFFF"/>
      <name val="Malgun Gothic"/>
    </font>
    <font>
      <b/>
      <sz val="10.0"/>
      <color theme="1"/>
      <name val="Noto Sans"/>
    </font>
    <font>
      <sz val="10.0"/>
      <color theme="1"/>
      <name val="Malgun Gothic"/>
    </font>
    <font>
      <sz val="10.0"/>
      <color rgb="FFFFFFFF"/>
      <name val="Malgun Gothic"/>
    </font>
    <font>
      <b/>
      <sz val="13.0"/>
      <color rgb="FFC00000"/>
      <name val="Malgun Gothic"/>
    </font>
    <font>
      <sz val="10.0"/>
      <color theme="1"/>
      <name val="Noto Sans"/>
    </font>
    <font>
      <sz val="10.0"/>
      <color rgb="FFFF0000"/>
      <name val="Malgun Gothic"/>
    </font>
    <font>
      <color theme="1"/>
      <name val="Calibri"/>
      <scheme val="minor"/>
    </font>
    <font>
      <sz val="8.0"/>
      <color rgb="FF2C3E50"/>
      <name val="&quot;Spoqa Han Sans Neo&quot;"/>
    </font>
    <font>
      <sz val="12.0"/>
      <color rgb="FF2C3E50"/>
      <name val="&quot;Spoqa Han Sans Neo&quot;"/>
    </font>
    <font>
      <sz val="10.0"/>
      <color rgb="FF134F5C"/>
      <name val="Malgun Gothic"/>
    </font>
    <font/>
    <font>
      <sz val="10.0"/>
      <color rgb="FF000000"/>
      <name val="Malgun Gothic"/>
    </font>
    <font>
      <color theme="1"/>
      <name val="Malgun Gothic"/>
    </font>
    <font>
      <sz val="9.0"/>
      <color rgb="FF000000"/>
      <name val="돋움"/>
    </font>
    <font>
      <sz val="10.0"/>
      <color rgb="FF000000"/>
      <name val="바탕체"/>
    </font>
    <font>
      <sz val="9.0"/>
      <color rgb="FF000000"/>
      <name val="바탕체"/>
    </font>
    <font>
      <sz val="11.0"/>
      <color theme="1"/>
      <name val="Calibri"/>
    </font>
    <font>
      <sz val="9.0"/>
      <color theme="1"/>
      <name val="바탕체"/>
    </font>
    <font>
      <sz val="9.0"/>
      <color theme="1"/>
      <name val="Batangche"/>
    </font>
  </fonts>
  <fills count="1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</fills>
  <borders count="8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vertical="center"/>
    </xf>
    <xf borderId="2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2" fillId="2" fontId="3" numFmtId="0" xfId="0" applyAlignment="1" applyBorder="1" applyFill="1" applyFont="1">
      <alignment horizontal="center" readingOrder="0" shrinkToFit="0" vertical="center" wrapText="1"/>
    </xf>
    <xf borderId="2" fillId="0" fontId="5" numFmtId="0" xfId="0" applyBorder="1" applyFont="1"/>
    <xf borderId="2" fillId="2" fontId="3" numFmtId="0" xfId="0" applyAlignment="1" applyBorder="1" applyFill="1" applyFont="1">
      <alignment horizontal="left" shrinkToFit="0" vertical="center" wrapText="1"/>
    </xf>
    <xf borderId="2" fillId="0" fontId="5" numFmtId="164" xfId="0" applyAlignment="1" applyBorder="1" applyFont="1" applyNumberFormat="1">
      <alignment horizontal="center" readingOrder="0" shrinkToFit="0" vertical="center" wrapText="1"/>
    </xf>
    <xf borderId="2" fillId="0" fontId="5" numFmtId="3" xfId="0" applyBorder="1" applyFont="1" applyNumberFormat="1"/>
    <xf borderId="2" fillId="0" fontId="5" numFmtId="0" xfId="0" applyAlignment="1" applyBorder="1" applyFont="1">
      <alignment horizontal="center" shrinkToFit="0" vertical="center" wrapText="1"/>
    </xf>
    <xf borderId="2" fillId="2" fontId="6" numFmtId="165" xfId="0" applyAlignment="1" applyBorder="1" applyFill="1" applyFont="1" applyNumberFormat="1">
      <alignment horizontal="center" readingOrder="0" shrinkToFit="0" vertical="center" wrapText="1"/>
    </xf>
    <xf borderId="2" fillId="0" fontId="5" numFmtId="166" xfId="0" applyAlignment="1" applyBorder="1" applyFont="1" applyNumberFormat="1">
      <alignment horizontal="center" shrinkToFit="0" vertical="center" wrapText="1"/>
    </xf>
    <xf borderId="2" fillId="0" fontId="5" numFmtId="0" xfId="0" applyAlignment="1" applyBorder="1" applyFont="1">
      <alignment horizontal="center" vertical="center"/>
    </xf>
    <xf borderId="2" fillId="0" fontId="5" numFmtId="49" xfId="0" applyAlignment="1" applyBorder="1" applyFont="1" applyNumberFormat="1">
      <alignment horizontal="center" shrinkToFit="0" vertical="center" wrapText="1"/>
    </xf>
    <xf borderId="2" fillId="0" fontId="5" numFmtId="0" xfId="0" applyAlignment="1" applyBorder="1" applyFont="1">
      <alignment horizontal="left" vertical="center"/>
    </xf>
    <xf borderId="2" fillId="0" fontId="7" numFmtId="3" xfId="0" applyBorder="1" applyFont="1" applyNumberFormat="1"/>
    <xf borderId="2" fillId="0" fontId="7" numFmtId="0" xfId="0" applyBorder="1" applyFont="1"/>
    <xf borderId="2" fillId="0" fontId="5" numFmtId="164" xfId="0" applyAlignment="1" applyBorder="1" applyFont="1" applyNumberFormat="1">
      <alignment horizontal="center" shrinkToFit="0" vertical="center" wrapText="1"/>
    </xf>
    <xf borderId="2" fillId="0" fontId="5" numFmtId="3" xfId="0" applyAlignment="1" applyBorder="1" applyFont="1" applyNumberFormat="1">
      <alignment horizontal="center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1" fillId="3" fontId="4" numFmtId="0" xfId="0" applyBorder="1" applyFill="1" applyFont="1"/>
    <xf borderId="2" fillId="0" fontId="8" numFmtId="0" xfId="0" applyBorder="1" applyFont="1"/>
    <xf borderId="2" fillId="4" fontId="5" numFmtId="0" xfId="0" applyAlignment="1" applyBorder="1" applyFill="1" applyFont="1">
      <alignment horizontal="center" readingOrder="0" shrinkToFit="0" vertical="center" wrapText="1"/>
    </xf>
    <xf borderId="2" fillId="5" fontId="5" numFmtId="0" xfId="0" applyAlignment="1" applyBorder="1" applyFill="1" applyFont="1">
      <alignment horizontal="left" readingOrder="0"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2" fillId="0" fontId="5" numFmtId="0" xfId="0" applyAlignment="1" applyBorder="1" applyFont="1">
      <alignment horizontal="left" readingOrder="0" shrinkToFit="0" vertical="center" wrapText="1"/>
    </xf>
    <xf borderId="2" fillId="4" fontId="5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ill="1" applyFont="1">
      <alignment horizontal="right" shrinkToFit="0" vertical="center" wrapText="1"/>
    </xf>
    <xf borderId="2" fillId="0" fontId="5" numFmtId="164" xfId="0" applyAlignment="1" applyBorder="1" applyFont="1" applyNumberFormat="1">
      <alignment horizontal="right" shrinkToFit="0" vertical="center" wrapText="1"/>
    </xf>
    <xf borderId="2" fillId="0" fontId="5" numFmtId="165" xfId="0" applyAlignment="1" applyBorder="1" applyFont="1" applyNumberFormat="1">
      <alignment horizontal="center" shrinkToFit="0" vertical="center" wrapText="1"/>
    </xf>
    <xf borderId="2" fillId="0" fontId="5" numFmtId="0" xfId="0" applyAlignment="1" applyBorder="1" applyFont="1">
      <alignment horizontal="center" readingOrder="0" vertical="center"/>
    </xf>
    <xf borderId="2" fillId="4" fontId="5" numFmtId="0" xfId="0" applyAlignment="1" applyBorder="1" applyFill="1" applyFont="1">
      <alignment horizontal="left" readingOrder="0" shrinkToFit="0" vertical="center" wrapText="1"/>
    </xf>
    <xf borderId="2" fillId="0" fontId="5" numFmtId="3" xfId="0" applyAlignment="1" applyBorder="1" applyFont="1" applyNumberFormat="1">
      <alignment horizontal="center" readingOrder="0" shrinkToFit="0" vertical="center" wrapText="1"/>
    </xf>
    <xf borderId="2" fillId="6" fontId="5" numFmtId="0" xfId="0" applyAlignment="1" applyBorder="1" applyFill="1" applyFont="1">
      <alignment horizontal="left" readingOrder="0" shrinkToFit="0" vertical="center" wrapText="1"/>
    </xf>
    <xf borderId="2" fillId="6" fontId="5" numFmtId="164" xfId="0" applyAlignment="1" applyBorder="1" applyFill="1" applyFont="1" applyNumberFormat="1">
      <alignment horizontal="center" readingOrder="0" shrinkToFit="0" vertical="center" wrapText="1"/>
    </xf>
    <xf borderId="2" fillId="6" fontId="5" numFmtId="164" xfId="0" applyAlignment="1" applyBorder="1" applyFill="1" applyFont="1" applyNumberFormat="1">
      <alignment horizontal="center" shrinkToFit="0" vertical="center" wrapText="1"/>
    </xf>
    <xf borderId="2" fillId="6" fontId="5" numFmtId="0" xfId="0" applyAlignment="1" applyBorder="1" applyFill="1" applyFont="1">
      <alignment horizontal="center" readingOrder="0" shrinkToFit="0" vertical="center" wrapText="1"/>
    </xf>
    <xf borderId="2" fillId="0" fontId="9" numFmtId="0" xfId="0" applyAlignment="1" applyBorder="1" applyFont="1">
      <alignment horizontal="left" readingOrder="0" shrinkToFit="0" vertical="center" wrapText="1"/>
    </xf>
    <xf borderId="2" fillId="0" fontId="5" numFmtId="165" xfId="0" applyAlignment="1" applyBorder="1" applyFont="1" applyNumberFormat="1">
      <alignment horizontal="center" readingOrder="0" shrinkToFit="0" vertical="center" wrapText="1"/>
    </xf>
    <xf borderId="0" fillId="0" fontId="10" numFmtId="0" xfId="0" applyAlignment="1" applyFont="1">
      <alignment readingOrder="0"/>
    </xf>
    <xf borderId="2" fillId="0" fontId="5" numFmtId="166" xfId="0" applyAlignment="1" applyBorder="1" applyFont="1" applyNumberFormat="1">
      <alignment horizontal="right" shrinkToFit="0" vertical="center" wrapText="1"/>
    </xf>
    <xf borderId="2" fillId="7" fontId="5" numFmtId="0" xfId="0" applyAlignment="1" applyBorder="1" applyFill="1" applyFont="1">
      <alignment horizontal="left" readingOrder="0" shrinkToFit="0" vertical="center" wrapText="1"/>
    </xf>
    <xf borderId="2" fillId="6" fontId="5" numFmtId="0" xfId="0" applyAlignment="1" applyBorder="1" applyFill="1" applyFont="1">
      <alignment horizontal="left" shrinkToFit="0" vertical="center" wrapText="1"/>
    </xf>
    <xf borderId="0" fillId="6" fontId="11" numFmtId="0" xfId="0" applyAlignment="1" applyFill="1" applyFont="1">
      <alignment horizontal="center" readingOrder="0"/>
    </xf>
    <xf borderId="0" fillId="6" fontId="12" numFmtId="0" xfId="0" applyAlignment="1" applyFill="1" applyFont="1">
      <alignment horizontal="center" readingOrder="0"/>
    </xf>
    <xf borderId="2" fillId="0" fontId="9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readingOrder="0" shrinkToFit="0" vertical="center" wrapText="1"/>
    </xf>
    <xf borderId="2" fillId="0" fontId="9" numFmtId="164" xfId="0" applyAlignment="1" applyBorder="1" applyFont="1" applyNumberFormat="1">
      <alignment horizontal="center" readingOrder="0" shrinkToFit="0" vertical="center" wrapText="1"/>
    </xf>
    <xf borderId="2" fillId="0" fontId="9" numFmtId="164" xfId="0" applyAlignment="1" applyBorder="1" applyFont="1" applyNumberFormat="1">
      <alignment horizontal="center" shrinkToFit="0" vertical="center" wrapText="1"/>
    </xf>
    <xf borderId="2" fillId="4" fontId="13" numFmtId="0" xfId="0" applyAlignment="1" applyBorder="1" applyFill="1" applyFont="1">
      <alignment horizontal="center" readingOrder="0" shrinkToFit="0" vertical="center" wrapText="1"/>
    </xf>
    <xf borderId="3" fillId="0" fontId="13" numFmtId="0" xfId="0" applyAlignment="1" applyBorder="1" applyFont="1">
      <alignment horizontal="left" readingOrder="0" shrinkToFit="0" vertical="center" wrapText="1"/>
    </xf>
    <xf borderId="2" fillId="4" fontId="9" numFmtId="0" xfId="0" applyAlignment="1" applyBorder="1" applyFill="1" applyFont="1">
      <alignment horizontal="center" readingOrder="0" shrinkToFit="0" vertical="center" wrapText="1"/>
    </xf>
    <xf borderId="4" fillId="0" fontId="14" numFmtId="0" xfId="0" applyBorder="1" applyFont="1"/>
    <xf borderId="5" fillId="0" fontId="14" numFmtId="0" xfId="0" applyBorder="1" applyFont="1"/>
    <xf borderId="0" fillId="0" fontId="10" numFmtId="0" xfId="0" applyAlignment="1" applyFont="1">
      <alignment horizontal="center" readingOrder="0"/>
    </xf>
    <xf borderId="2" fillId="0" fontId="15" numFmtId="0" xfId="0" applyAlignment="1" applyBorder="1" applyFont="1">
      <alignment horizontal="center" shrinkToFit="0" vertical="center" wrapText="1"/>
    </xf>
    <xf borderId="2" fillId="0" fontId="15" numFmtId="0" xfId="0" applyAlignment="1" applyBorder="1" applyFont="1">
      <alignment horizontal="center" readingOrder="0" vertical="center"/>
    </xf>
    <xf borderId="2" fillId="0" fontId="15" numFmtId="0" xfId="0" applyAlignment="1" applyBorder="1" applyFont="1">
      <alignment horizontal="center" readingOrder="0" shrinkToFit="0" vertical="center" wrapText="1"/>
    </xf>
    <xf borderId="2" fillId="0" fontId="15" numFmtId="3" xfId="0" applyAlignment="1" applyBorder="1" applyFont="1" applyNumberFormat="1">
      <alignment horizontal="center" readingOrder="0" shrinkToFit="0" vertical="center" wrapText="1"/>
    </xf>
    <xf borderId="2" fillId="0" fontId="15" numFmtId="3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/>
    </xf>
    <xf borderId="2" fillId="4" fontId="5" numFmtId="164" xfId="0" applyAlignment="1" applyBorder="1" applyFill="1" applyFont="1" applyNumberFormat="1">
      <alignment horizontal="center" shrinkToFit="0" vertical="center" wrapText="1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3" xfId="0" applyAlignment="1" applyFont="1" applyNumberFormat="1">
      <alignment horizontal="center" readingOrder="0"/>
    </xf>
    <xf borderId="6" fillId="0" fontId="5" numFmtId="0" xfId="0" applyAlignment="1" applyBorder="1" applyFont="1">
      <alignment horizontal="center" vertical="center"/>
    </xf>
    <xf borderId="2" fillId="0" fontId="16" numFmtId="0" xfId="0" applyAlignment="1" applyBorder="1" applyFont="1">
      <alignment horizontal="center" shrinkToFit="0" wrapText="1"/>
    </xf>
    <xf borderId="0" fillId="0" fontId="16" numFmtId="0" xfId="0" applyAlignment="1" applyFont="1">
      <alignment horizontal="center" vertical="bottom"/>
    </xf>
    <xf borderId="6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left" readingOrder="0"/>
    </xf>
    <xf borderId="2" fillId="0" fontId="15" numFmtId="0" xfId="0" applyAlignment="1" applyBorder="1" applyFont="1">
      <alignment horizontal="center" vertical="center"/>
    </xf>
    <xf borderId="2" fillId="0" fontId="15" numFmtId="164" xfId="0" applyAlignment="1" applyBorder="1" applyFont="1" applyNumberFormat="1">
      <alignment horizontal="center" readingOrder="0" shrinkToFit="0" vertical="center" wrapText="1"/>
    </xf>
    <xf borderId="2" fillId="0" fontId="15" numFmtId="164" xfId="0" applyAlignment="1" applyBorder="1" applyFont="1" applyNumberFormat="1">
      <alignment horizontal="center" shrinkToFit="0" vertical="center" wrapText="1"/>
    </xf>
    <xf borderId="2" fillId="4" fontId="15" numFmtId="0" xfId="0" applyAlignment="1" applyBorder="1" applyFill="1" applyFont="1">
      <alignment horizontal="center" readingOrder="0" shrinkToFit="0" vertical="center" wrapText="1"/>
    </xf>
    <xf borderId="2" fillId="4" fontId="15" numFmtId="0" xfId="0" applyAlignment="1" applyBorder="1" applyFill="1" applyFont="1">
      <alignment horizontal="left" readingOrder="0" shrinkToFit="0" vertical="center" wrapText="1"/>
    </xf>
    <xf borderId="2" fillId="6" fontId="15" numFmtId="0" xfId="0" applyAlignment="1" applyBorder="1" applyFill="1" applyFont="1">
      <alignment horizontal="left" readingOrder="0" shrinkToFit="0" vertical="center" wrapText="1"/>
    </xf>
    <xf borderId="2" fillId="0" fontId="5" numFmtId="164" xfId="0" applyAlignment="1" applyBorder="1" applyFont="1" applyNumberFormat="1">
      <alignment horizontal="right" readingOrder="0" shrinkToFit="0" vertical="center" wrapText="1"/>
    </xf>
    <xf borderId="2" fillId="8" fontId="5" numFmtId="0" xfId="0" applyAlignment="1" applyBorder="1" applyFill="1" applyFont="1">
      <alignment horizontal="center" readingOrder="0" shrinkToFit="0" vertical="center" wrapText="1"/>
    </xf>
    <xf borderId="2" fillId="4" fontId="5" numFmtId="0" xfId="0" applyAlignment="1" applyBorder="1" applyFill="1" applyFont="1">
      <alignment horizontal="center" vertical="center"/>
    </xf>
    <xf borderId="2" fillId="4" fontId="5" numFmtId="164" xfId="0" applyAlignment="1" applyBorder="1" applyFill="1" applyFont="1" applyNumberFormat="1">
      <alignment horizontal="right" shrinkToFit="0" vertical="center" wrapText="1"/>
    </xf>
    <xf borderId="3" fillId="0" fontId="9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0" fillId="0" fontId="5" numFmtId="0" xfId="0" applyFont="1"/>
    <xf borderId="2" fillId="0" fontId="5" numFmtId="0" xfId="0" applyAlignment="1" applyBorder="1" applyFont="1">
      <alignment horizontal="left" readingOrder="0" vertical="center"/>
    </xf>
    <xf borderId="0" fillId="0" fontId="17" numFmtId="0" xfId="0" applyAlignment="1" applyFont="1">
      <alignment horizontal="center" readingOrder="0"/>
    </xf>
    <xf borderId="2" fillId="9" fontId="5" numFmtId="0" xfId="0" applyAlignment="1" applyBorder="1" applyFill="1" applyFont="1">
      <alignment horizontal="left" readingOrder="0" shrinkToFit="0" vertical="center" wrapText="1"/>
    </xf>
    <xf borderId="2" fillId="0" fontId="5" numFmtId="3" xfId="0" applyAlignment="1" applyBorder="1" applyFont="1" applyNumberFormat="1">
      <alignment horizontal="right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right" readingOrder="0" vertical="center"/>
    </xf>
    <xf borderId="0" fillId="4" fontId="5" numFmtId="0" xfId="0" applyAlignment="1" applyFill="1" applyFont="1">
      <alignment horizontal="center" readingOrder="0"/>
    </xf>
    <xf borderId="0" fillId="5" fontId="5" numFmtId="0" xfId="0" applyAlignment="1" applyFill="1" applyFont="1">
      <alignment readingOrder="0"/>
    </xf>
    <xf borderId="0" fillId="6" fontId="5" numFmtId="0" xfId="0" applyAlignment="1" applyFill="1" applyFont="1">
      <alignment readingOrder="0"/>
    </xf>
    <xf borderId="0" fillId="0" fontId="5" numFmtId="167" xfId="0" applyAlignment="1" applyFont="1" applyNumberFormat="1">
      <alignment horizontal="center" readingOrder="0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horizontal="right" readingOrder="0"/>
    </xf>
    <xf borderId="0" fillId="0" fontId="15" numFmtId="0" xfId="0" applyAlignment="1" applyFont="1">
      <alignment readingOrder="0"/>
    </xf>
    <xf borderId="0" fillId="0" fontId="15" numFmtId="0" xfId="0" applyAlignment="1" applyFont="1">
      <alignment horizontal="center" readingOrder="0" vertical="center"/>
    </xf>
    <xf borderId="0" fillId="0" fontId="15" numFmtId="0" xfId="0" applyAlignment="1" applyFont="1">
      <alignment horizontal="right" readingOrder="0" vertical="center"/>
    </xf>
    <xf borderId="0" fillId="0" fontId="5" numFmtId="3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shrinkToFit="0" vertical="center" wrapText="1"/>
    </xf>
    <xf borderId="0" fillId="4" fontId="5" numFmtId="0" xfId="0" applyFill="1" applyFont="1"/>
    <xf borderId="0" fillId="0" fontId="0" numFmtId="0" xfId="0" applyAlignment="1" applyFont="1">
      <alignment horizontal="center" readingOrder="0"/>
    </xf>
    <xf borderId="0" fillId="0" fontId="10" numFmtId="0" xfId="0" applyAlignment="1" applyFont="1">
      <alignment horizontal="left" readingOrder="0"/>
    </xf>
    <xf borderId="0" fillId="4" fontId="5" numFmtId="0" xfId="0" applyAlignment="1" applyFill="1" applyFont="1">
      <alignment horizontal="center"/>
    </xf>
    <xf borderId="0" fillId="0" fontId="18" numFmtId="0" xfId="0" applyAlignment="1" applyFont="1">
      <alignment horizontal="center" readingOrder="0" shrinkToFit="0" wrapText="0"/>
    </xf>
    <xf borderId="0" fillId="0" fontId="19" numFmtId="0" xfId="0" applyAlignment="1" applyFont="1">
      <alignment horizontal="center" readingOrder="0" shrinkToFit="0" wrapText="0"/>
    </xf>
    <xf borderId="0" fillId="0" fontId="5" numFmtId="3" xfId="0" applyAlignment="1" applyFont="1" applyNumberFormat="1">
      <alignment readingOrder="0"/>
    </xf>
    <xf borderId="0" fillId="6" fontId="5" numFmtId="3" xfId="0" applyAlignment="1" applyFill="1" applyFont="1" applyNumberFormat="1">
      <alignment readingOrder="0"/>
    </xf>
    <xf borderId="0" fillId="0" fontId="20" numFmtId="0" xfId="0" applyAlignment="1" applyFont="1">
      <alignment vertical="bottom"/>
    </xf>
    <xf borderId="0" fillId="7" fontId="5" numFmtId="0" xfId="0" applyAlignment="1" applyFill="1" applyFont="1">
      <alignment horizontal="left" readingOrder="0"/>
    </xf>
    <xf borderId="2" fillId="0" fontId="5" numFmtId="167" xfId="0" applyAlignment="1" applyBorder="1" applyFont="1" applyNumberFormat="1">
      <alignment horizontal="center" readingOrder="0" shrinkToFit="0" vertical="center" wrapText="1"/>
    </xf>
    <xf borderId="0" fillId="0" fontId="10" numFmtId="3" xfId="0" applyAlignment="1" applyFont="1" applyNumberFormat="1">
      <alignment readingOrder="0"/>
    </xf>
    <xf borderId="0" fillId="0" fontId="5" numFmtId="0" xfId="0" applyAlignment="1" applyFont="1">
      <alignment horizontal="right"/>
    </xf>
    <xf borderId="0" fillId="0" fontId="21" numFmtId="0" xfId="0" applyAlignment="1" applyFont="1">
      <alignment horizontal="center" readingOrder="0" shrinkToFit="0" wrapText="0"/>
    </xf>
    <xf borderId="0" fillId="4" fontId="5" numFmtId="3" xfId="0" applyAlignment="1" applyFill="1" applyFont="1" applyNumberFormat="1">
      <alignment horizontal="center" readingOrder="0"/>
    </xf>
    <xf borderId="0" fillId="0" fontId="5" numFmtId="0" xfId="0" applyAlignment="1" applyFont="1">
      <alignment horizontal="left" readingOrder="0" shrinkToFit="0" vertical="center" wrapText="1"/>
    </xf>
    <xf borderId="7" fillId="0" fontId="22" numFmtId="168" xfId="0" applyAlignment="1" applyBorder="1" applyFont="1" applyNumberFormat="1">
      <alignment horizontal="center" vertical="center"/>
    </xf>
    <xf borderId="7" fillId="0" fontId="22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2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24.0"/>
    <col customWidth="1" min="3" max="3" width="13.0"/>
    <col customWidth="1" min="4" max="4" width="3.0"/>
    <col customWidth="1" min="5" max="5" width="32.29"/>
    <col customWidth="1" min="6" max="6" width="15.0"/>
    <col customWidth="1" min="7" max="26" width="8.71"/>
  </cols>
  <sheetData>
    <row r="1" ht="26.25" customHeight="1">
      <c r="B1" s="1" t="s">
        <v>0</v>
      </c>
    </row>
    <row r="2" ht="14.25" customHeight="1"/>
    <row r="3" ht="14.25" customHeight="1">
      <c r="B3" s="2" t="s">
        <v>1</v>
      </c>
      <c r="E3" s="2" t="s">
        <v>3</v>
      </c>
    </row>
    <row r="4" ht="14.25" customHeight="1">
      <c r="B4" s="4" t="s">
        <v>4</v>
      </c>
      <c r="C4" s="6">
        <f>COUNTA('간병신청대장'!$A$2:$A$99979)</f>
        <v>280</v>
      </c>
      <c r="E4" s="4" t="s">
        <v>36</v>
      </c>
      <c r="F4" s="9">
        <f>SUM('보험청구'!$I:$I)</f>
        <v>407300000</v>
      </c>
    </row>
    <row r="5" ht="14.25" customHeight="1">
      <c r="B5" s="4" t="s">
        <v>56</v>
      </c>
      <c r="C5" s="6">
        <f>COUNTIF('간병신청대장'!$W:$W,"완료")</f>
        <v>216</v>
      </c>
      <c r="E5" s="4" t="s">
        <v>62</v>
      </c>
      <c r="F5" s="6">
        <f>COUNTIF('보험청구'!$K:$K,"미확인")</f>
        <v>119</v>
      </c>
    </row>
    <row r="6" ht="14.25" customHeight="1">
      <c r="B6" s="4" t="s">
        <v>65</v>
      </c>
      <c r="C6" s="6">
        <f>COUNTIF('간병신청대장'!$W:$W,"진행중")</f>
        <v>34</v>
      </c>
      <c r="E6" s="4" t="s">
        <v>67</v>
      </c>
      <c r="F6" s="16">
        <f>SUM('보험청구'!$L:$L)</f>
        <v>127281000</v>
      </c>
    </row>
    <row r="7" ht="14.25" customHeight="1">
      <c r="B7" s="4" t="s">
        <v>72</v>
      </c>
      <c r="C7" s="6">
        <f>COUNTIF('간병신청대장'!$W:$W,"예정")</f>
        <v>4</v>
      </c>
      <c r="E7" s="4" t="s">
        <v>78</v>
      </c>
      <c r="F7" s="9">
        <f>SUM('간병비지급'!$I:$I)</f>
        <v>515206917</v>
      </c>
    </row>
    <row r="8" ht="14.25" customHeight="1">
      <c r="B8" s="4" t="s">
        <v>84</v>
      </c>
      <c r="C8" s="6">
        <f>COUNTIF('간병신청대장'!$W:$W,"*취소*")</f>
        <v>24</v>
      </c>
    </row>
    <row r="9" ht="14.25" customHeight="1">
      <c r="E9" s="2" t="s">
        <v>85</v>
      </c>
    </row>
    <row r="10" ht="14.25" customHeight="1">
      <c r="E10" s="4" t="s">
        <v>86</v>
      </c>
      <c r="F10" s="17">
        <f>COUNTIF('간병신청대장'!$AG:$AG,"미청구(완료*")</f>
        <v>2</v>
      </c>
    </row>
    <row r="11" ht="14.25" customHeight="1">
      <c r="B11" s="2" t="s">
        <v>87</v>
      </c>
      <c r="E11" s="4" t="s">
        <v>88</v>
      </c>
      <c r="F11" s="17">
        <f>COUNTIF('간병신청대장'!$AG:$AG,"미청구(청구지연)")</f>
        <v>1</v>
      </c>
    </row>
    <row r="12" ht="14.25" customHeight="1">
      <c r="B12" s="4" t="s">
        <v>89</v>
      </c>
      <c r="C12" s="6">
        <f>COUNTA('간병인배정'!$A$2:$A$99999)</f>
        <v>268</v>
      </c>
      <c r="E12" s="4" t="s">
        <v>90</v>
      </c>
      <c r="F12" s="6">
        <f>COUNTIF('간병신청대장'!$AG:$AG,"미청구(청구시작안됨)")</f>
        <v>0</v>
      </c>
    </row>
    <row r="13" ht="14.25" customHeight="1">
      <c r="B13" s="4" t="s">
        <v>93</v>
      </c>
      <c r="C13" s="6">
        <f>COUNTIF('간병신청대장'!$X$2:$X$225,"&gt;1")</f>
        <v>4</v>
      </c>
      <c r="E13" s="4" t="s">
        <v>94</v>
      </c>
      <c r="F13" s="17">
        <f>F10+F11+F12</f>
        <v>3</v>
      </c>
    </row>
    <row r="14" ht="14.25" customHeight="1"/>
    <row r="15" ht="14.25" customHeight="1"/>
    <row r="16" ht="14.25" customHeight="1">
      <c r="B16" s="2" t="s">
        <v>99</v>
      </c>
    </row>
    <row r="17" ht="14.25" customHeight="1">
      <c r="B17" s="21" t="s">
        <v>17</v>
      </c>
      <c r="C17" s="21" t="s">
        <v>102</v>
      </c>
    </row>
    <row r="18" ht="14.25" customHeight="1">
      <c r="B18" s="22" t="s">
        <v>106</v>
      </c>
      <c r="C18" s="6">
        <f>COUNTIF('간병신청대장'!$I:$I,"*현대해상*")</f>
        <v>255</v>
      </c>
    </row>
    <row r="19" ht="14.25" customHeight="1">
      <c r="B19" s="6" t="s">
        <v>73</v>
      </c>
      <c r="C19" s="6">
        <f>COUNTIF('간병신청대장'!$I:$I,"*현대해상(SCOR)*")</f>
        <v>34</v>
      </c>
    </row>
    <row r="20" ht="14.25" customHeight="1">
      <c r="B20" s="22" t="s">
        <v>109</v>
      </c>
      <c r="C20" s="6">
        <f>COUNTIF('간병신청대장'!$I:$I,"*삼성화재*")</f>
        <v>25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29"/>
    <col customWidth="1" min="3" max="3" width="11.14"/>
    <col customWidth="1" min="4" max="4" width="9.43"/>
    <col customWidth="1" min="5" max="5" width="23.29"/>
    <col customWidth="1" min="6" max="6" width="12.57"/>
    <col customWidth="1" min="7" max="8" width="9.43"/>
    <col customWidth="1" min="9" max="9" width="16.57"/>
    <col customWidth="1" min="10" max="10" width="21.71"/>
    <col customWidth="1" min="11" max="11" width="16.57"/>
    <col customWidth="1" min="12" max="12" width="14.71"/>
    <col customWidth="1" min="13" max="13" width="15.86"/>
    <col customWidth="1" min="14" max="14" width="128.14"/>
    <col customWidth="1" min="15" max="15" width="8.71"/>
    <col customWidth="1" min="16" max="16" width="13.57"/>
    <col customWidth="1" min="17" max="28" width="8.71"/>
  </cols>
  <sheetData>
    <row r="1" ht="30.0" customHeight="1">
      <c r="A1" s="3" t="s">
        <v>2</v>
      </c>
      <c r="B1" s="3" t="s">
        <v>5</v>
      </c>
      <c r="C1" s="3" t="s">
        <v>6</v>
      </c>
      <c r="D1" s="3" t="s">
        <v>7</v>
      </c>
      <c r="E1" s="3" t="s">
        <v>8</v>
      </c>
      <c r="F1" s="5" t="s">
        <v>10</v>
      </c>
      <c r="G1" s="3" t="s">
        <v>21</v>
      </c>
      <c r="H1" s="3" t="s">
        <v>23</v>
      </c>
      <c r="I1" s="3" t="s">
        <v>25</v>
      </c>
      <c r="J1" s="3" t="s">
        <v>26</v>
      </c>
      <c r="K1" s="3" t="s">
        <v>28</v>
      </c>
      <c r="L1" s="3" t="s">
        <v>32</v>
      </c>
      <c r="M1" s="5" t="s">
        <v>33</v>
      </c>
      <c r="N1" s="7" t="s">
        <v>35</v>
      </c>
      <c r="P1" s="8">
        <v>1584000.0</v>
      </c>
      <c r="Q1" s="12">
        <f>P1/124000</f>
        <v>12.77419355</v>
      </c>
      <c r="R1" s="12">
        <f>P1/129000</f>
        <v>12.27906977</v>
      </c>
      <c r="S1" s="12">
        <f>P1/135000</f>
        <v>11.73333333</v>
      </c>
      <c r="T1" s="12">
        <f>P1/140000</f>
        <v>11.31428571</v>
      </c>
      <c r="U1" s="12">
        <f>P1/144000</f>
        <v>11</v>
      </c>
      <c r="V1" s="12">
        <f>P1/86000</f>
        <v>18.41860465</v>
      </c>
      <c r="W1" s="12">
        <f>P1/155000</f>
        <v>10.21935484</v>
      </c>
      <c r="X1" s="12">
        <f>P1/169000</f>
        <v>9.372781065</v>
      </c>
    </row>
    <row r="2" ht="15.75" customHeight="1">
      <c r="A2" s="10" t="s">
        <v>82</v>
      </c>
      <c r="B2" s="10" t="s">
        <v>83</v>
      </c>
      <c r="C2" s="13" t="str">
        <f t="array" ref="C2">IFERROR(INDEX('간병신청대장'!$B:$B,MATCH($B2,'간병신청대장'!$A:$A,0)),"")</f>
        <v>엄정현</v>
      </c>
      <c r="D2" s="10" t="s">
        <v>95</v>
      </c>
      <c r="E2" s="10" t="s">
        <v>96</v>
      </c>
      <c r="F2" s="20" t="s">
        <v>98</v>
      </c>
      <c r="G2" s="10">
        <v>10.0</v>
      </c>
      <c r="H2" s="8">
        <v>144000.0</v>
      </c>
      <c r="I2" s="18"/>
      <c r="J2" s="20" t="s">
        <v>103</v>
      </c>
      <c r="K2" s="10" t="s">
        <v>104</v>
      </c>
      <c r="L2" s="18">
        <f t="shared" ref="L2:L76" si="1">IF($K2="미확인",IF($G2="",0,$G2*$H2),0)</f>
        <v>1440000</v>
      </c>
      <c r="M2" s="23" t="s">
        <v>108</v>
      </c>
      <c r="N2" s="24" t="s">
        <v>110</v>
      </c>
    </row>
    <row r="3" ht="15.75" customHeight="1">
      <c r="A3" s="10" t="s">
        <v>111</v>
      </c>
      <c r="B3" s="10" t="s">
        <v>83</v>
      </c>
      <c r="C3" s="13" t="str">
        <f t="array" ref="C3">IFERROR(INDEX('간병신청대장'!$B:$B,MATCH($B3,'간병신청대장'!$A:$A,0)),"")</f>
        <v>엄정현</v>
      </c>
      <c r="D3" s="10" t="s">
        <v>112</v>
      </c>
      <c r="E3" s="10" t="s">
        <v>113</v>
      </c>
      <c r="F3" s="20" t="s">
        <v>98</v>
      </c>
      <c r="G3" s="10">
        <v>38.0</v>
      </c>
      <c r="H3" s="8">
        <v>144000.0</v>
      </c>
      <c r="I3" s="18"/>
      <c r="J3" s="20" t="s">
        <v>103</v>
      </c>
      <c r="K3" s="10" t="s">
        <v>104</v>
      </c>
      <c r="L3" s="18">
        <f t="shared" si="1"/>
        <v>5472000</v>
      </c>
      <c r="M3" s="23" t="s">
        <v>108</v>
      </c>
      <c r="N3" s="24" t="s">
        <v>110</v>
      </c>
    </row>
    <row r="4" ht="15.75" customHeight="1">
      <c r="A4" s="10" t="s">
        <v>118</v>
      </c>
      <c r="B4" s="10" t="s">
        <v>61</v>
      </c>
      <c r="C4" s="13" t="str">
        <f t="array" ref="C4">IFERROR(INDEX('간병신청대장'!$B:$B,MATCH($B4,'간병신청대장'!$A:$A,0)),"")</f>
        <v>엄정현</v>
      </c>
      <c r="D4" s="10" t="s">
        <v>95</v>
      </c>
      <c r="E4" s="10" t="s">
        <v>96</v>
      </c>
      <c r="F4" s="20" t="s">
        <v>98</v>
      </c>
      <c r="G4" s="10">
        <v>10.0</v>
      </c>
      <c r="H4" s="8">
        <v>144000.0</v>
      </c>
      <c r="I4" s="18"/>
      <c r="J4" s="20" t="s">
        <v>103</v>
      </c>
      <c r="K4" s="10" t="s">
        <v>104</v>
      </c>
      <c r="L4" s="18">
        <f t="shared" si="1"/>
        <v>1440000</v>
      </c>
      <c r="M4" s="23" t="s">
        <v>108</v>
      </c>
      <c r="N4" s="24" t="s">
        <v>110</v>
      </c>
    </row>
    <row r="5" ht="15.75" customHeight="1">
      <c r="A5" s="10" t="s">
        <v>123</v>
      </c>
      <c r="B5" s="10" t="s">
        <v>124</v>
      </c>
      <c r="C5" s="13" t="str">
        <f t="array" ref="C5">IFERROR(INDEX('간병신청대장'!$B:$B,MATCH($B5,'간병신청대장'!$A:$A,0)),"")</f>
        <v>류미선</v>
      </c>
      <c r="D5" s="10" t="s">
        <v>95</v>
      </c>
      <c r="E5" s="10" t="s">
        <v>141</v>
      </c>
      <c r="F5" s="10"/>
      <c r="G5" s="10">
        <v>1.0</v>
      </c>
      <c r="H5" s="8">
        <v>86000.0</v>
      </c>
      <c r="I5" s="18">
        <f t="shared" ref="I5:I7" si="2">G5*H5</f>
        <v>86000</v>
      </c>
      <c r="J5" s="20" t="s">
        <v>103</v>
      </c>
      <c r="K5" s="20" t="s">
        <v>146</v>
      </c>
      <c r="L5" s="18">
        <f t="shared" si="1"/>
        <v>0</v>
      </c>
      <c r="M5" s="23"/>
      <c r="N5" s="26" t="s">
        <v>147</v>
      </c>
    </row>
    <row r="6" ht="15.75" customHeight="1">
      <c r="A6" s="10" t="s">
        <v>148</v>
      </c>
      <c r="B6" s="10" t="s">
        <v>107</v>
      </c>
      <c r="C6" s="13" t="str">
        <f t="array" ref="C6">IFERROR(INDEX('간병신청대장'!$B:$B,MATCH($B6,'간병신청대장'!$A:$A,0)),"")</f>
        <v>김미영</v>
      </c>
      <c r="D6" s="10" t="s">
        <v>149</v>
      </c>
      <c r="E6" s="10" t="s">
        <v>117</v>
      </c>
      <c r="F6" s="20" t="s">
        <v>150</v>
      </c>
      <c r="G6" s="10">
        <v>4.0</v>
      </c>
      <c r="H6" s="8">
        <v>86000.0</v>
      </c>
      <c r="I6" s="18">
        <f t="shared" si="2"/>
        <v>344000</v>
      </c>
      <c r="J6" s="10" t="s">
        <v>103</v>
      </c>
      <c r="K6" s="10" t="s">
        <v>146</v>
      </c>
      <c r="L6" s="18">
        <f t="shared" si="1"/>
        <v>0</v>
      </c>
      <c r="M6" s="27"/>
      <c r="N6" s="25"/>
    </row>
    <row r="7" ht="15.75" customHeight="1">
      <c r="A7" s="10" t="s">
        <v>154</v>
      </c>
      <c r="B7" s="10" t="s">
        <v>155</v>
      </c>
      <c r="C7" s="13" t="str">
        <f t="array" ref="C7">IFERROR(INDEX('간병신청대장'!$B:$B,MATCH($B7,'간병신청대장'!$A:$A,0)),"")</f>
        <v>김미영</v>
      </c>
      <c r="D7" s="10" t="s">
        <v>149</v>
      </c>
      <c r="E7" s="10" t="s">
        <v>160</v>
      </c>
      <c r="F7" s="20" t="s">
        <v>150</v>
      </c>
      <c r="G7" s="10">
        <v>4.0</v>
      </c>
      <c r="H7" s="8">
        <v>155000.0</v>
      </c>
      <c r="I7" s="18">
        <f t="shared" si="2"/>
        <v>620000</v>
      </c>
      <c r="J7" s="10" t="s">
        <v>103</v>
      </c>
      <c r="K7" s="10" t="s">
        <v>146</v>
      </c>
      <c r="L7" s="18">
        <f t="shared" si="1"/>
        <v>0</v>
      </c>
      <c r="M7" s="27"/>
      <c r="N7" s="25"/>
    </row>
    <row r="8" ht="15.75" customHeight="1">
      <c r="A8" s="10" t="s">
        <v>163</v>
      </c>
      <c r="B8" s="10" t="s">
        <v>120</v>
      </c>
      <c r="C8" s="13" t="str">
        <f t="array" ref="C8">IFERROR(INDEX('간병신청대장'!$B:$B,MATCH($B8,'간병신청대장'!$A:$A,0)),"")</f>
        <v>성정주</v>
      </c>
      <c r="D8" s="10" t="s">
        <v>95</v>
      </c>
      <c r="E8" s="10" t="s">
        <v>182</v>
      </c>
      <c r="F8" s="20" t="s">
        <v>183</v>
      </c>
      <c r="G8" s="10">
        <v>9.0</v>
      </c>
      <c r="H8" s="18">
        <v>135000.0</v>
      </c>
      <c r="I8" s="18">
        <v>1215000.0</v>
      </c>
      <c r="J8" s="10" t="s">
        <v>103</v>
      </c>
      <c r="K8" s="10" t="s">
        <v>146</v>
      </c>
      <c r="L8" s="18">
        <f t="shared" si="1"/>
        <v>0</v>
      </c>
      <c r="M8" s="27"/>
      <c r="N8" s="25"/>
    </row>
    <row r="9" ht="15.75" customHeight="1">
      <c r="A9" s="10" t="s">
        <v>189</v>
      </c>
      <c r="B9" s="10" t="s">
        <v>120</v>
      </c>
      <c r="C9" s="13" t="str">
        <f t="array" ref="C9">IFERROR(INDEX('간병신청대장'!$B:$B,MATCH($B9,'간병신청대장'!$A:$A,0)),"")</f>
        <v>성정주</v>
      </c>
      <c r="D9" s="10" t="s">
        <v>190</v>
      </c>
      <c r="E9" s="10" t="s">
        <v>191</v>
      </c>
      <c r="F9" s="20" t="s">
        <v>192</v>
      </c>
      <c r="G9" s="10">
        <v>10.0</v>
      </c>
      <c r="H9" s="18">
        <v>135000.0</v>
      </c>
      <c r="I9" s="18">
        <v>1350000.0</v>
      </c>
      <c r="J9" s="10" t="s">
        <v>103</v>
      </c>
      <c r="K9" s="10" t="s">
        <v>146</v>
      </c>
      <c r="L9" s="18">
        <f t="shared" si="1"/>
        <v>0</v>
      </c>
      <c r="M9" s="27"/>
      <c r="N9" s="25"/>
    </row>
    <row r="10" ht="15.75" customHeight="1">
      <c r="A10" s="10" t="s">
        <v>193</v>
      </c>
      <c r="B10" s="10" t="s">
        <v>120</v>
      </c>
      <c r="C10" s="13" t="str">
        <f t="array" ref="C10">IFERROR(INDEX('간병신청대장'!$B:$B,MATCH($B10,'간병신청대장'!$A:$A,0)),"")</f>
        <v>성정주</v>
      </c>
      <c r="D10" s="10" t="s">
        <v>204</v>
      </c>
      <c r="E10" s="10" t="s">
        <v>206</v>
      </c>
      <c r="F10" s="20" t="s">
        <v>207</v>
      </c>
      <c r="G10" s="10">
        <v>10.0</v>
      </c>
      <c r="H10" s="18">
        <v>135000.0</v>
      </c>
      <c r="I10" s="18">
        <v>1350000.0</v>
      </c>
      <c r="J10" s="10" t="s">
        <v>103</v>
      </c>
      <c r="K10" s="10" t="s">
        <v>146</v>
      </c>
      <c r="L10" s="18">
        <f t="shared" si="1"/>
        <v>0</v>
      </c>
      <c r="M10" s="27"/>
      <c r="N10" s="25"/>
    </row>
    <row r="11" ht="15.75" customHeight="1">
      <c r="A11" s="10" t="s">
        <v>213</v>
      </c>
      <c r="B11" s="10" t="s">
        <v>120</v>
      </c>
      <c r="C11" s="13" t="str">
        <f t="array" ref="C11">IFERROR(INDEX('간병신청대장'!$B:$B,MATCH($B11,'간병신청대장'!$A:$A,0)),"")</f>
        <v>성정주</v>
      </c>
      <c r="D11" s="10" t="s">
        <v>149</v>
      </c>
      <c r="E11" s="10" t="s">
        <v>231</v>
      </c>
      <c r="F11" s="20" t="s">
        <v>233</v>
      </c>
      <c r="G11" s="10">
        <v>10.0</v>
      </c>
      <c r="H11" s="18">
        <v>135000.0</v>
      </c>
      <c r="I11" s="18">
        <v>1350000.0</v>
      </c>
      <c r="J11" s="10" t="s">
        <v>103</v>
      </c>
      <c r="K11" s="10" t="s">
        <v>146</v>
      </c>
      <c r="L11" s="18">
        <f t="shared" si="1"/>
        <v>0</v>
      </c>
      <c r="M11" s="27"/>
      <c r="N11" s="25"/>
    </row>
    <row r="12" ht="15.75" customHeight="1">
      <c r="A12" s="10" t="s">
        <v>236</v>
      </c>
      <c r="B12" s="10" t="s">
        <v>120</v>
      </c>
      <c r="C12" s="13" t="str">
        <f t="array" ref="C12">IFERROR(INDEX('간병신청대장'!$B:$B,MATCH($B12,'간병신청대장'!$A:$A,0)),"")</f>
        <v>성정주</v>
      </c>
      <c r="D12" s="10" t="s">
        <v>238</v>
      </c>
      <c r="E12" s="10" t="s">
        <v>239</v>
      </c>
      <c r="F12" s="20" t="s">
        <v>240</v>
      </c>
      <c r="G12" s="10">
        <v>10.0</v>
      </c>
      <c r="H12" s="18">
        <v>135000.0</v>
      </c>
      <c r="I12" s="18">
        <v>1350000.0</v>
      </c>
      <c r="J12" s="10" t="s">
        <v>103</v>
      </c>
      <c r="K12" s="10" t="s">
        <v>146</v>
      </c>
      <c r="L12" s="18">
        <f t="shared" si="1"/>
        <v>0</v>
      </c>
      <c r="M12" s="27"/>
      <c r="N12" s="25"/>
    </row>
    <row r="13" ht="15.75" customHeight="1">
      <c r="A13" s="10" t="s">
        <v>241</v>
      </c>
      <c r="B13" s="10" t="s">
        <v>120</v>
      </c>
      <c r="C13" s="13" t="str">
        <f t="array" ref="C13">IFERROR(INDEX('간병신청대장'!$B:$B,MATCH($B13,'간병신청대장'!$A:$A,0)),"")</f>
        <v>성정주</v>
      </c>
      <c r="D13" s="10" t="s">
        <v>261</v>
      </c>
      <c r="E13" s="10" t="s">
        <v>263</v>
      </c>
      <c r="F13" s="20" t="s">
        <v>264</v>
      </c>
      <c r="G13" s="10">
        <v>11.0</v>
      </c>
      <c r="H13" s="18">
        <v>135000.0</v>
      </c>
      <c r="I13" s="18">
        <v>1485000.0</v>
      </c>
      <c r="J13" s="10" t="s">
        <v>103</v>
      </c>
      <c r="K13" s="10" t="s">
        <v>146</v>
      </c>
      <c r="L13" s="18">
        <f t="shared" si="1"/>
        <v>0</v>
      </c>
      <c r="M13" s="27"/>
      <c r="N13" s="25"/>
    </row>
    <row r="14" ht="15.75" customHeight="1">
      <c r="A14" s="10" t="s">
        <v>265</v>
      </c>
      <c r="B14" s="10" t="s">
        <v>120</v>
      </c>
      <c r="C14" s="13" t="str">
        <f t="array" ref="C14">IFERROR(INDEX('간병신청대장'!$B:$B,MATCH($B14,'간병신청대장'!$A:$A,0)),"")</f>
        <v>성정주</v>
      </c>
      <c r="D14" s="10" t="s">
        <v>266</v>
      </c>
      <c r="E14" s="10" t="s">
        <v>267</v>
      </c>
      <c r="F14" s="20" t="s">
        <v>269</v>
      </c>
      <c r="G14" s="10">
        <v>10.0</v>
      </c>
      <c r="H14" s="18">
        <v>135000.0</v>
      </c>
      <c r="I14" s="18">
        <v>1350000.0</v>
      </c>
      <c r="J14" s="10" t="s">
        <v>103</v>
      </c>
      <c r="K14" s="10" t="s">
        <v>146</v>
      </c>
      <c r="L14" s="18">
        <f t="shared" si="1"/>
        <v>0</v>
      </c>
      <c r="M14" s="27"/>
      <c r="N14" s="25"/>
    </row>
    <row r="15" ht="15.75" customHeight="1">
      <c r="A15" s="10" t="s">
        <v>278</v>
      </c>
      <c r="B15" s="10" t="s">
        <v>120</v>
      </c>
      <c r="C15" s="13" t="str">
        <f t="array" ref="C15">IFERROR(INDEX('간병신청대장'!$B:$B,MATCH($B15,'간병신청대장'!$A:$A,0)),"")</f>
        <v>성정주</v>
      </c>
      <c r="D15" s="10" t="s">
        <v>281</v>
      </c>
      <c r="E15" s="10" t="s">
        <v>142</v>
      </c>
      <c r="F15" s="20" t="s">
        <v>282</v>
      </c>
      <c r="G15" s="10">
        <v>3.0</v>
      </c>
      <c r="H15" s="18">
        <v>135000.0</v>
      </c>
      <c r="I15" s="18">
        <v>405000.0</v>
      </c>
      <c r="J15" s="10" t="s">
        <v>103</v>
      </c>
      <c r="K15" s="10" t="s">
        <v>146</v>
      </c>
      <c r="L15" s="18">
        <f t="shared" si="1"/>
        <v>0</v>
      </c>
      <c r="M15" s="27"/>
      <c r="N15" s="25"/>
    </row>
    <row r="16" ht="15.75" customHeight="1">
      <c r="A16" s="10" t="s">
        <v>284</v>
      </c>
      <c r="B16" s="10" t="s">
        <v>145</v>
      </c>
      <c r="C16" s="13" t="str">
        <f t="array" ref="C16">IFERROR(INDEX('간병신청대장'!$B:$B,MATCH($B16,'간병신청대장'!$A:$A,0)),"")</f>
        <v>김순년</v>
      </c>
      <c r="D16" s="10" t="s">
        <v>95</v>
      </c>
      <c r="E16" s="10" t="s">
        <v>157</v>
      </c>
      <c r="F16" s="20" t="s">
        <v>290</v>
      </c>
      <c r="G16" s="10">
        <v>3.0</v>
      </c>
      <c r="H16" s="18">
        <v>129000.0</v>
      </c>
      <c r="I16" s="18">
        <v>387000.0</v>
      </c>
      <c r="J16" s="10" t="s">
        <v>103</v>
      </c>
      <c r="K16" s="10" t="s">
        <v>146</v>
      </c>
      <c r="L16" s="18">
        <f t="shared" si="1"/>
        <v>0</v>
      </c>
      <c r="M16" s="27"/>
      <c r="N16" s="25"/>
    </row>
    <row r="17" ht="15.75" customHeight="1">
      <c r="A17" s="10" t="s">
        <v>291</v>
      </c>
      <c r="B17" s="10" t="s">
        <v>159</v>
      </c>
      <c r="C17" s="13" t="str">
        <f t="array" ref="C17">IFERROR(INDEX('간병신청대장'!$B:$B,MATCH($B17,'간병신청대장'!$A:$A,0)),"")</f>
        <v>차정옥</v>
      </c>
      <c r="D17" s="10" t="s">
        <v>95</v>
      </c>
      <c r="E17" s="10" t="s">
        <v>296</v>
      </c>
      <c r="F17" s="20" t="s">
        <v>183</v>
      </c>
      <c r="G17" s="10">
        <v>9.0</v>
      </c>
      <c r="H17" s="18">
        <v>129000.0</v>
      </c>
      <c r="I17" s="18">
        <v>1161000.0</v>
      </c>
      <c r="J17" s="10" t="s">
        <v>103</v>
      </c>
      <c r="K17" s="10" t="s">
        <v>146</v>
      </c>
      <c r="L17" s="18">
        <f t="shared" si="1"/>
        <v>0</v>
      </c>
      <c r="M17" s="27"/>
      <c r="N17" s="25"/>
    </row>
    <row r="18" ht="15.75" customHeight="1">
      <c r="A18" s="10" t="s">
        <v>297</v>
      </c>
      <c r="B18" s="10" t="s">
        <v>159</v>
      </c>
      <c r="C18" s="13" t="str">
        <f t="array" ref="C18">IFERROR(INDEX('간병신청대장'!$B:$B,MATCH($B18,'간병신청대장'!$A:$A,0)),"")</f>
        <v>차정옥</v>
      </c>
      <c r="D18" s="10" t="s">
        <v>190</v>
      </c>
      <c r="E18" s="10" t="s">
        <v>299</v>
      </c>
      <c r="F18" s="20" t="s">
        <v>192</v>
      </c>
      <c r="G18" s="10">
        <v>10.0</v>
      </c>
      <c r="H18" s="18">
        <v>129000.0</v>
      </c>
      <c r="I18" s="18">
        <v>1290000.0</v>
      </c>
      <c r="J18" s="10" t="s">
        <v>103</v>
      </c>
      <c r="K18" s="10" t="s">
        <v>146</v>
      </c>
      <c r="L18" s="18">
        <f t="shared" si="1"/>
        <v>0</v>
      </c>
      <c r="M18" s="27"/>
      <c r="N18" s="25"/>
    </row>
    <row r="19" ht="15.75" customHeight="1">
      <c r="A19" s="10" t="s">
        <v>304</v>
      </c>
      <c r="B19" s="10" t="s">
        <v>159</v>
      </c>
      <c r="C19" s="13" t="str">
        <f t="array" ref="C19">IFERROR(INDEX('간병신청대장'!$B:$B,MATCH($B19,'간병신청대장'!$A:$A,0)),"")</f>
        <v>차정옥</v>
      </c>
      <c r="D19" s="10" t="s">
        <v>204</v>
      </c>
      <c r="E19" s="10" t="s">
        <v>312</v>
      </c>
      <c r="F19" s="20" t="s">
        <v>207</v>
      </c>
      <c r="G19" s="10">
        <v>10.0</v>
      </c>
      <c r="H19" s="18">
        <v>129000.0</v>
      </c>
      <c r="I19" s="18">
        <v>1290000.0</v>
      </c>
      <c r="J19" s="10" t="s">
        <v>103</v>
      </c>
      <c r="K19" s="10" t="s">
        <v>146</v>
      </c>
      <c r="L19" s="18">
        <f t="shared" si="1"/>
        <v>0</v>
      </c>
      <c r="M19" s="27"/>
      <c r="N19" s="25"/>
    </row>
    <row r="20" ht="15.75" customHeight="1">
      <c r="A20" s="10" t="s">
        <v>320</v>
      </c>
      <c r="B20" s="10" t="s">
        <v>159</v>
      </c>
      <c r="C20" s="13" t="str">
        <f t="array" ref="C20">IFERROR(INDEX('간병신청대장'!$B:$B,MATCH($B20,'간병신청대장'!$A:$A,0)),"")</f>
        <v>차정옥</v>
      </c>
      <c r="D20" s="10" t="s">
        <v>149</v>
      </c>
      <c r="E20" s="10" t="s">
        <v>327</v>
      </c>
      <c r="F20" s="20" t="s">
        <v>233</v>
      </c>
      <c r="G20" s="10">
        <v>10.0</v>
      </c>
      <c r="H20" s="18">
        <v>129000.0</v>
      </c>
      <c r="I20" s="18">
        <v>1290000.0</v>
      </c>
      <c r="J20" s="10" t="s">
        <v>103</v>
      </c>
      <c r="K20" s="10" t="s">
        <v>146</v>
      </c>
      <c r="L20" s="18">
        <f t="shared" si="1"/>
        <v>0</v>
      </c>
      <c r="M20" s="27"/>
      <c r="N20" s="25"/>
    </row>
    <row r="21" ht="15.75" customHeight="1">
      <c r="A21" s="10" t="s">
        <v>328</v>
      </c>
      <c r="B21" s="10" t="s">
        <v>159</v>
      </c>
      <c r="C21" s="13" t="str">
        <f t="array" ref="C21">IFERROR(INDEX('간병신청대장'!$B:$B,MATCH($B21,'간병신청대장'!$A:$A,0)),"")</f>
        <v>차정옥</v>
      </c>
      <c r="D21" s="10" t="s">
        <v>238</v>
      </c>
      <c r="E21" s="10" t="s">
        <v>342</v>
      </c>
      <c r="F21" s="20" t="s">
        <v>240</v>
      </c>
      <c r="G21" s="10">
        <v>10.0</v>
      </c>
      <c r="H21" s="18">
        <v>129000.0</v>
      </c>
      <c r="I21" s="18">
        <v>1290000.0</v>
      </c>
      <c r="J21" s="10" t="s">
        <v>103</v>
      </c>
      <c r="K21" s="10" t="s">
        <v>146</v>
      </c>
      <c r="L21" s="18">
        <f t="shared" si="1"/>
        <v>0</v>
      </c>
      <c r="M21" s="27"/>
      <c r="N21" s="25"/>
    </row>
    <row r="22" ht="15.75" customHeight="1">
      <c r="A22" s="10" t="s">
        <v>350</v>
      </c>
      <c r="B22" s="10" t="s">
        <v>159</v>
      </c>
      <c r="C22" s="13" t="str">
        <f t="array" ref="C22">IFERROR(INDEX('간병신청대장'!$B:$B,MATCH($B22,'간병신청대장'!$A:$A,0)),"")</f>
        <v>차정옥</v>
      </c>
      <c r="D22" s="10" t="s">
        <v>261</v>
      </c>
      <c r="E22" s="10" t="s">
        <v>358</v>
      </c>
      <c r="F22" s="20" t="s">
        <v>264</v>
      </c>
      <c r="G22" s="10">
        <v>11.0</v>
      </c>
      <c r="H22" s="18">
        <v>129000.0</v>
      </c>
      <c r="I22" s="18">
        <v>1419000.0</v>
      </c>
      <c r="J22" s="10" t="s">
        <v>103</v>
      </c>
      <c r="K22" s="10" t="s">
        <v>146</v>
      </c>
      <c r="L22" s="18">
        <f t="shared" si="1"/>
        <v>0</v>
      </c>
      <c r="M22" s="27"/>
      <c r="N22" s="25"/>
    </row>
    <row r="23" ht="15.75" customHeight="1">
      <c r="A23" s="10" t="s">
        <v>372</v>
      </c>
      <c r="B23" s="10" t="s">
        <v>188</v>
      </c>
      <c r="C23" s="13" t="str">
        <f t="array" ref="C23">IFERROR(INDEX('간병신청대장'!$B:$B,MATCH($B23,'간병신청대장'!$A:$A,0)),"")</f>
        <v>이춘자</v>
      </c>
      <c r="D23" s="10" t="s">
        <v>95</v>
      </c>
      <c r="E23" s="10" t="s">
        <v>376</v>
      </c>
      <c r="F23" s="20" t="s">
        <v>290</v>
      </c>
      <c r="G23" s="10">
        <v>9.0</v>
      </c>
      <c r="H23" s="18">
        <v>142000.0</v>
      </c>
      <c r="I23" s="18"/>
      <c r="J23" s="10" t="s">
        <v>377</v>
      </c>
      <c r="K23" s="10" t="s">
        <v>104</v>
      </c>
      <c r="L23" s="18">
        <f t="shared" si="1"/>
        <v>1278000</v>
      </c>
      <c r="M23" s="23" t="s">
        <v>108</v>
      </c>
      <c r="N23" s="24" t="s">
        <v>381</v>
      </c>
    </row>
    <row r="24" ht="15.75" customHeight="1">
      <c r="A24" s="10" t="s">
        <v>387</v>
      </c>
      <c r="B24" s="10" t="s">
        <v>188</v>
      </c>
      <c r="C24" s="13" t="str">
        <f t="array" ref="C24">IFERROR(INDEX('간병신청대장'!$B:$B,MATCH($B24,'간병신청대장'!$A:$A,0)),"")</f>
        <v>이춘자</v>
      </c>
      <c r="D24" s="10" t="s">
        <v>190</v>
      </c>
      <c r="E24" s="10" t="s">
        <v>402</v>
      </c>
      <c r="F24" s="20" t="s">
        <v>192</v>
      </c>
      <c r="G24" s="10">
        <v>10.0</v>
      </c>
      <c r="H24" s="18">
        <v>142000.0</v>
      </c>
      <c r="I24" s="18"/>
      <c r="J24" s="10" t="s">
        <v>377</v>
      </c>
      <c r="K24" s="10" t="s">
        <v>104</v>
      </c>
      <c r="L24" s="18">
        <f t="shared" si="1"/>
        <v>1420000</v>
      </c>
      <c r="M24" s="23" t="s">
        <v>108</v>
      </c>
      <c r="N24" s="24" t="s">
        <v>381</v>
      </c>
    </row>
    <row r="25" ht="15.75" customHeight="1">
      <c r="A25" s="10" t="s">
        <v>405</v>
      </c>
      <c r="B25" s="10" t="s">
        <v>188</v>
      </c>
      <c r="C25" s="13" t="str">
        <f t="array" ref="C25">IFERROR(INDEX('간병신청대장'!$B:$B,MATCH($B25,'간병신청대장'!$A:$A,0)),"")</f>
        <v>이춘자</v>
      </c>
      <c r="D25" s="10" t="s">
        <v>204</v>
      </c>
      <c r="E25" s="10" t="s">
        <v>407</v>
      </c>
      <c r="F25" s="20" t="s">
        <v>207</v>
      </c>
      <c r="G25" s="10">
        <v>10.0</v>
      </c>
      <c r="H25" s="18">
        <v>142000.0</v>
      </c>
      <c r="I25" s="18"/>
      <c r="J25" s="10" t="s">
        <v>377</v>
      </c>
      <c r="K25" s="10" t="s">
        <v>104</v>
      </c>
      <c r="L25" s="18">
        <f t="shared" si="1"/>
        <v>1420000</v>
      </c>
      <c r="M25" s="23" t="s">
        <v>108</v>
      </c>
      <c r="N25" s="24" t="s">
        <v>381</v>
      </c>
    </row>
    <row r="26" ht="15.75" customHeight="1">
      <c r="A26" s="10" t="s">
        <v>408</v>
      </c>
      <c r="B26" s="10" t="s">
        <v>188</v>
      </c>
      <c r="C26" s="13" t="str">
        <f t="array" ref="C26">IFERROR(INDEX('간병신청대장'!$B:$B,MATCH($B26,'간병신청대장'!$A:$A,0)),"")</f>
        <v>이춘자</v>
      </c>
      <c r="D26" s="10" t="s">
        <v>149</v>
      </c>
      <c r="E26" s="10" t="s">
        <v>413</v>
      </c>
      <c r="F26" s="20" t="s">
        <v>233</v>
      </c>
      <c r="G26" s="10">
        <v>10.0</v>
      </c>
      <c r="H26" s="18">
        <v>142000.0</v>
      </c>
      <c r="I26" s="18"/>
      <c r="J26" s="10" t="s">
        <v>377</v>
      </c>
      <c r="K26" s="10" t="s">
        <v>104</v>
      </c>
      <c r="L26" s="18">
        <f t="shared" si="1"/>
        <v>1420000</v>
      </c>
      <c r="M26" s="23" t="s">
        <v>108</v>
      </c>
      <c r="N26" s="24" t="s">
        <v>381</v>
      </c>
    </row>
    <row r="27" ht="15.75" customHeight="1">
      <c r="A27" s="10" t="s">
        <v>418</v>
      </c>
      <c r="B27" s="10" t="s">
        <v>188</v>
      </c>
      <c r="C27" s="13" t="str">
        <f t="array" ref="C27">IFERROR(INDEX('간병신청대장'!$B:$B,MATCH($B27,'간병신청대장'!$A:$A,0)),"")</f>
        <v>이춘자</v>
      </c>
      <c r="D27" s="10" t="s">
        <v>238</v>
      </c>
      <c r="E27" s="10" t="s">
        <v>420</v>
      </c>
      <c r="F27" s="20" t="s">
        <v>240</v>
      </c>
      <c r="G27" s="10">
        <v>10.0</v>
      </c>
      <c r="H27" s="18">
        <v>142000.0</v>
      </c>
      <c r="I27" s="18"/>
      <c r="J27" s="10" t="s">
        <v>377</v>
      </c>
      <c r="K27" s="10" t="s">
        <v>104</v>
      </c>
      <c r="L27" s="18">
        <f t="shared" si="1"/>
        <v>1420000</v>
      </c>
      <c r="M27" s="23" t="s">
        <v>108</v>
      </c>
      <c r="N27" s="24" t="s">
        <v>381</v>
      </c>
    </row>
    <row r="28" ht="15.75" customHeight="1">
      <c r="A28" s="10" t="s">
        <v>425</v>
      </c>
      <c r="B28" s="10" t="s">
        <v>188</v>
      </c>
      <c r="C28" s="13" t="str">
        <f t="array" ref="C28">IFERROR(INDEX('간병신청대장'!$B:$B,MATCH($B28,'간병신청대장'!$A:$A,0)),"")</f>
        <v>이춘자</v>
      </c>
      <c r="D28" s="10" t="s">
        <v>261</v>
      </c>
      <c r="E28" s="10" t="s">
        <v>437</v>
      </c>
      <c r="F28" s="20" t="s">
        <v>264</v>
      </c>
      <c r="G28" s="10">
        <v>11.0</v>
      </c>
      <c r="H28" s="18">
        <v>142000.0</v>
      </c>
      <c r="I28" s="18"/>
      <c r="J28" s="10" t="s">
        <v>377</v>
      </c>
      <c r="K28" s="10" t="s">
        <v>104</v>
      </c>
      <c r="L28" s="18">
        <f t="shared" si="1"/>
        <v>1562000</v>
      </c>
      <c r="M28" s="23" t="s">
        <v>108</v>
      </c>
      <c r="N28" s="24" t="s">
        <v>381</v>
      </c>
    </row>
    <row r="29" ht="31.5" customHeight="1">
      <c r="A29" s="10" t="s">
        <v>438</v>
      </c>
      <c r="B29" s="10" t="s">
        <v>188</v>
      </c>
      <c r="C29" s="13" t="str">
        <f t="array" ref="C29">IFERROR(INDEX('간병신청대장'!$B:$B,MATCH($B29,'간병신청대장'!$A:$A,0)),"")</f>
        <v>이춘자</v>
      </c>
      <c r="D29" s="10" t="s">
        <v>266</v>
      </c>
      <c r="E29" s="10" t="s">
        <v>200</v>
      </c>
      <c r="F29" s="20" t="s">
        <v>452</v>
      </c>
      <c r="G29" s="10">
        <v>9.0</v>
      </c>
      <c r="H29" s="18">
        <v>142000.0</v>
      </c>
      <c r="I29" s="18"/>
      <c r="J29" s="10" t="s">
        <v>377</v>
      </c>
      <c r="K29" s="10" t="s">
        <v>104</v>
      </c>
      <c r="L29" s="18">
        <f t="shared" si="1"/>
        <v>1278000</v>
      </c>
      <c r="M29" s="23" t="s">
        <v>108</v>
      </c>
      <c r="N29" s="24" t="s">
        <v>453</v>
      </c>
    </row>
    <row r="30" ht="15.75" customHeight="1">
      <c r="A30" s="10" t="s">
        <v>454</v>
      </c>
      <c r="B30" s="10" t="s">
        <v>203</v>
      </c>
      <c r="C30" s="13" t="str">
        <f t="array" ref="C30">IFERROR(INDEX('간병신청대장'!$B:$B,MATCH($B30,'간병신청대장'!$A:$A,0)),"")</f>
        <v>심윤주 </v>
      </c>
      <c r="D30" s="10" t="s">
        <v>95</v>
      </c>
      <c r="E30" s="10" t="s">
        <v>459</v>
      </c>
      <c r="F30" s="20" t="s">
        <v>183</v>
      </c>
      <c r="G30" s="10">
        <v>9.0</v>
      </c>
      <c r="H30" s="18">
        <v>124000.0</v>
      </c>
      <c r="I30" s="18">
        <v>1116000.0</v>
      </c>
      <c r="J30" s="10" t="s">
        <v>103</v>
      </c>
      <c r="K30" s="10" t="s">
        <v>146</v>
      </c>
      <c r="L30" s="18">
        <f t="shared" si="1"/>
        <v>0</v>
      </c>
      <c r="M30" s="27"/>
      <c r="N30" s="25"/>
    </row>
    <row r="31" ht="15.75" customHeight="1">
      <c r="A31" s="10" t="s">
        <v>462</v>
      </c>
      <c r="B31" s="10" t="s">
        <v>203</v>
      </c>
      <c r="C31" s="13" t="str">
        <f t="array" ref="C31">IFERROR(INDEX('간병신청대장'!$B:$B,MATCH($B31,'간병신청대장'!$A:$A,0)),"")</f>
        <v>심윤주 </v>
      </c>
      <c r="D31" s="10" t="s">
        <v>190</v>
      </c>
      <c r="E31" s="10" t="s">
        <v>474</v>
      </c>
      <c r="F31" s="20" t="s">
        <v>192</v>
      </c>
      <c r="G31" s="10">
        <v>10.0</v>
      </c>
      <c r="H31" s="18">
        <v>124000.0</v>
      </c>
      <c r="I31" s="18">
        <v>1240000.0</v>
      </c>
      <c r="J31" s="10" t="s">
        <v>103</v>
      </c>
      <c r="K31" s="10" t="s">
        <v>146</v>
      </c>
      <c r="L31" s="18">
        <f t="shared" si="1"/>
        <v>0</v>
      </c>
      <c r="M31" s="27"/>
      <c r="N31" s="25"/>
    </row>
    <row r="32" ht="15.75" customHeight="1">
      <c r="A32" s="10" t="s">
        <v>479</v>
      </c>
      <c r="B32" s="10" t="s">
        <v>203</v>
      </c>
      <c r="C32" s="13" t="str">
        <f t="array" ref="C32">IFERROR(INDEX('간병신청대장'!$B:$B,MATCH($B32,'간병신청대장'!$A:$A,0)),"")</f>
        <v>심윤주 </v>
      </c>
      <c r="D32" s="10" t="s">
        <v>204</v>
      </c>
      <c r="E32" s="10" t="s">
        <v>482</v>
      </c>
      <c r="F32" s="20" t="s">
        <v>207</v>
      </c>
      <c r="G32" s="10">
        <v>10.0</v>
      </c>
      <c r="H32" s="18">
        <v>124000.0</v>
      </c>
      <c r="I32" s="18">
        <v>1240000.0</v>
      </c>
      <c r="J32" s="10" t="s">
        <v>103</v>
      </c>
      <c r="K32" s="10" t="s">
        <v>146</v>
      </c>
      <c r="L32" s="18">
        <f t="shared" si="1"/>
        <v>0</v>
      </c>
      <c r="M32" s="27"/>
      <c r="N32" s="25"/>
    </row>
    <row r="33" ht="15.75" customHeight="1">
      <c r="A33" s="10" t="s">
        <v>483</v>
      </c>
      <c r="B33" s="10" t="s">
        <v>203</v>
      </c>
      <c r="C33" s="13" t="str">
        <f t="array" ref="C33">IFERROR(INDEX('간병신청대장'!$B:$B,MATCH($B33,'간병신청대장'!$A:$A,0)),"")</f>
        <v>심윤주 </v>
      </c>
      <c r="D33" s="10" t="s">
        <v>149</v>
      </c>
      <c r="E33" s="10" t="s">
        <v>495</v>
      </c>
      <c r="F33" s="20" t="s">
        <v>233</v>
      </c>
      <c r="G33" s="10">
        <v>10.0</v>
      </c>
      <c r="H33" s="18">
        <v>124000.0</v>
      </c>
      <c r="I33" s="18">
        <v>1240000.0</v>
      </c>
      <c r="J33" s="10" t="s">
        <v>103</v>
      </c>
      <c r="K33" s="10" t="s">
        <v>146</v>
      </c>
      <c r="L33" s="18">
        <f t="shared" si="1"/>
        <v>0</v>
      </c>
      <c r="M33" s="27"/>
      <c r="N33" s="25"/>
    </row>
    <row r="34" ht="15.75" customHeight="1">
      <c r="A34" s="10" t="s">
        <v>498</v>
      </c>
      <c r="B34" s="10" t="s">
        <v>203</v>
      </c>
      <c r="C34" s="13" t="str">
        <f t="array" ref="C34">IFERROR(INDEX('간병신청대장'!$B:$B,MATCH($B34,'간병신청대장'!$A:$A,0)),"")</f>
        <v>심윤주 </v>
      </c>
      <c r="D34" s="10" t="s">
        <v>238</v>
      </c>
      <c r="E34" s="10" t="s">
        <v>503</v>
      </c>
      <c r="F34" s="20" t="s">
        <v>240</v>
      </c>
      <c r="G34" s="10">
        <v>10.0</v>
      </c>
      <c r="H34" s="18">
        <v>124000.0</v>
      </c>
      <c r="I34" s="18">
        <v>1240000.0</v>
      </c>
      <c r="J34" s="10" t="s">
        <v>103</v>
      </c>
      <c r="K34" s="10" t="s">
        <v>146</v>
      </c>
      <c r="L34" s="18">
        <f t="shared" si="1"/>
        <v>0</v>
      </c>
      <c r="M34" s="27"/>
      <c r="N34" s="25"/>
    </row>
    <row r="35" ht="15.75" customHeight="1">
      <c r="A35" s="10" t="s">
        <v>509</v>
      </c>
      <c r="B35" s="10" t="s">
        <v>203</v>
      </c>
      <c r="C35" s="13" t="str">
        <f t="array" ref="C35">IFERROR(INDEX('간병신청대장'!$B:$B,MATCH($B35,'간병신청대장'!$A:$A,0)),"")</f>
        <v>심윤주 </v>
      </c>
      <c r="D35" s="10" t="s">
        <v>261</v>
      </c>
      <c r="E35" s="10" t="s">
        <v>525</v>
      </c>
      <c r="F35" s="20" t="s">
        <v>264</v>
      </c>
      <c r="G35" s="10">
        <v>11.0</v>
      </c>
      <c r="H35" s="18">
        <v>124000.0</v>
      </c>
      <c r="I35" s="18">
        <v>1364000.0</v>
      </c>
      <c r="J35" s="10" t="s">
        <v>103</v>
      </c>
      <c r="K35" s="10" t="s">
        <v>146</v>
      </c>
      <c r="L35" s="18">
        <f t="shared" si="1"/>
        <v>0</v>
      </c>
      <c r="M35" s="27"/>
      <c r="N35" s="25"/>
    </row>
    <row r="36" ht="15.75" customHeight="1">
      <c r="A36" s="10" t="s">
        <v>531</v>
      </c>
      <c r="B36" s="10" t="s">
        <v>203</v>
      </c>
      <c r="C36" s="13" t="str">
        <f t="array" ref="C36">IFERROR(INDEX('간병신청대장'!$B:$B,MATCH($B36,'간병신청대장'!$A:$A,0)),"")</f>
        <v>심윤주 </v>
      </c>
      <c r="D36" s="10" t="s">
        <v>266</v>
      </c>
      <c r="E36" s="10" t="s">
        <v>533</v>
      </c>
      <c r="F36" s="20" t="s">
        <v>269</v>
      </c>
      <c r="G36" s="10">
        <v>10.0</v>
      </c>
      <c r="H36" s="18">
        <v>124000.0</v>
      </c>
      <c r="I36" s="18">
        <v>1240000.0</v>
      </c>
      <c r="J36" s="10" t="s">
        <v>103</v>
      </c>
      <c r="K36" s="10" t="s">
        <v>146</v>
      </c>
      <c r="L36" s="18">
        <f t="shared" si="1"/>
        <v>0</v>
      </c>
      <c r="M36" s="27"/>
      <c r="N36" s="25"/>
    </row>
    <row r="37" ht="15.75" customHeight="1">
      <c r="A37" s="10" t="s">
        <v>534</v>
      </c>
      <c r="B37" s="10" t="s">
        <v>203</v>
      </c>
      <c r="C37" s="13" t="str">
        <f t="array" ref="C37">IFERROR(INDEX('간병신청대장'!$B:$B,MATCH($B37,'간병신청대장'!$A:$A,0)),"")</f>
        <v>심윤주 </v>
      </c>
      <c r="D37" s="10" t="s">
        <v>281</v>
      </c>
      <c r="E37" s="10" t="s">
        <v>555</v>
      </c>
      <c r="F37" s="20" t="s">
        <v>557</v>
      </c>
      <c r="G37" s="10">
        <v>10.0</v>
      </c>
      <c r="H37" s="18">
        <v>124000.0</v>
      </c>
      <c r="I37" s="18">
        <v>1240000.0</v>
      </c>
      <c r="J37" s="10" t="s">
        <v>103</v>
      </c>
      <c r="K37" s="10" t="s">
        <v>146</v>
      </c>
      <c r="L37" s="18">
        <f t="shared" si="1"/>
        <v>0</v>
      </c>
      <c r="M37" s="27"/>
      <c r="N37" s="25"/>
    </row>
    <row r="38" ht="15.75" customHeight="1">
      <c r="A38" s="10" t="s">
        <v>565</v>
      </c>
      <c r="B38" s="10" t="s">
        <v>203</v>
      </c>
      <c r="C38" s="13" t="str">
        <f t="array" ref="C38">IFERROR(INDEX('간병신청대장'!$B:$B,MATCH($B38,'간병신청대장'!$A:$A,0)),"")</f>
        <v>심윤주 </v>
      </c>
      <c r="D38" s="10" t="s">
        <v>567</v>
      </c>
      <c r="E38" s="10" t="s">
        <v>568</v>
      </c>
      <c r="F38" s="20" t="s">
        <v>569</v>
      </c>
      <c r="G38" s="10">
        <v>10.0</v>
      </c>
      <c r="H38" s="18">
        <v>124000.0</v>
      </c>
      <c r="I38" s="18">
        <v>1240000.0</v>
      </c>
      <c r="J38" s="10" t="s">
        <v>103</v>
      </c>
      <c r="K38" s="10" t="s">
        <v>146</v>
      </c>
      <c r="L38" s="18">
        <f t="shared" si="1"/>
        <v>0</v>
      </c>
      <c r="M38" s="27"/>
      <c r="N38" s="25"/>
    </row>
    <row r="39" ht="40.5" customHeight="1">
      <c r="A39" s="10" t="s">
        <v>571</v>
      </c>
      <c r="B39" s="10" t="s">
        <v>203</v>
      </c>
      <c r="C39" s="13" t="str">
        <f t="array" ref="C39">IFERROR(INDEX('간병신청대장'!$B:$B,MATCH($B39,'간병신청대장'!$A:$A,0)),"")</f>
        <v>심윤주 </v>
      </c>
      <c r="D39" s="10" t="s">
        <v>592</v>
      </c>
      <c r="E39" s="10" t="s">
        <v>593</v>
      </c>
      <c r="F39" s="20" t="s">
        <v>595</v>
      </c>
      <c r="G39" s="10">
        <v>10.0</v>
      </c>
      <c r="H39" s="18">
        <v>124000.0</v>
      </c>
      <c r="I39" s="18"/>
      <c r="J39" s="10" t="s">
        <v>103</v>
      </c>
      <c r="K39" s="10" t="s">
        <v>104</v>
      </c>
      <c r="L39" s="18">
        <f t="shared" si="1"/>
        <v>1240000</v>
      </c>
      <c r="M39" s="23" t="s">
        <v>596</v>
      </c>
      <c r="N39" s="24" t="s">
        <v>597</v>
      </c>
    </row>
    <row r="40" ht="15.75" customHeight="1">
      <c r="A40" s="10" t="s">
        <v>598</v>
      </c>
      <c r="B40" s="10" t="s">
        <v>203</v>
      </c>
      <c r="C40" s="13" t="str">
        <f t="array" ref="C40">IFERROR(INDEX('간병신청대장'!$B:$B,MATCH($B40,'간병신청대장'!$A:$A,0)),"")</f>
        <v>심윤주 </v>
      </c>
      <c r="D40" s="10" t="s">
        <v>112</v>
      </c>
      <c r="E40" s="10" t="s">
        <v>603</v>
      </c>
      <c r="F40" s="20" t="s">
        <v>113</v>
      </c>
      <c r="G40" s="10">
        <v>10.0</v>
      </c>
      <c r="H40" s="18">
        <v>124000.0</v>
      </c>
      <c r="I40" s="18">
        <f t="shared" ref="I40:I42" si="3">G40*H40</f>
        <v>1240000</v>
      </c>
      <c r="J40" s="10" t="s">
        <v>103</v>
      </c>
      <c r="K40" s="20" t="s">
        <v>614</v>
      </c>
      <c r="L40" s="18">
        <f t="shared" si="1"/>
        <v>0</v>
      </c>
      <c r="M40" s="23"/>
      <c r="N40" s="24" t="s">
        <v>615</v>
      </c>
    </row>
    <row r="41" ht="15.75" customHeight="1">
      <c r="A41" s="10" t="s">
        <v>616</v>
      </c>
      <c r="B41" s="10" t="s">
        <v>203</v>
      </c>
      <c r="C41" s="13" t="str">
        <f t="array" ref="C41">IFERROR(INDEX('간병신청대장'!$B:$B,MATCH($B41,'간병신청대장'!$A:$A,0)),"")</f>
        <v>심윤주 </v>
      </c>
      <c r="D41" s="10" t="s">
        <v>194</v>
      </c>
      <c r="E41" s="10" t="s">
        <v>612</v>
      </c>
      <c r="F41" s="20" t="s">
        <v>629</v>
      </c>
      <c r="G41" s="10">
        <v>11.0</v>
      </c>
      <c r="H41" s="18">
        <v>124000.0</v>
      </c>
      <c r="I41" s="18">
        <f t="shared" si="3"/>
        <v>1364000</v>
      </c>
      <c r="J41" s="10" t="s">
        <v>103</v>
      </c>
      <c r="K41" s="20" t="s">
        <v>614</v>
      </c>
      <c r="L41" s="18">
        <f t="shared" si="1"/>
        <v>0</v>
      </c>
      <c r="M41" s="23"/>
      <c r="N41" s="34" t="s">
        <v>630</v>
      </c>
    </row>
    <row r="42" ht="15.75" customHeight="1">
      <c r="A42" s="10" t="s">
        <v>631</v>
      </c>
      <c r="B42" s="10" t="s">
        <v>203</v>
      </c>
      <c r="C42" s="13" t="str">
        <f t="array" ref="C42">IFERROR(INDEX('간병신청대장'!$B:$B,MATCH($B42,'간병신청대장'!$A:$A,0)),"")</f>
        <v>심윤주 </v>
      </c>
      <c r="D42" s="10" t="s">
        <v>622</v>
      </c>
      <c r="E42" s="10" t="s">
        <v>623</v>
      </c>
      <c r="F42" s="20" t="s">
        <v>645</v>
      </c>
      <c r="G42" s="10">
        <v>10.0</v>
      </c>
      <c r="H42" s="18">
        <v>124000.0</v>
      </c>
      <c r="I42" s="18">
        <f t="shared" si="3"/>
        <v>1240000</v>
      </c>
      <c r="J42" s="10" t="s">
        <v>103</v>
      </c>
      <c r="K42" s="20" t="s">
        <v>614</v>
      </c>
      <c r="L42" s="18">
        <f t="shared" si="1"/>
        <v>0</v>
      </c>
      <c r="M42" s="23"/>
      <c r="N42" s="24" t="s">
        <v>615</v>
      </c>
    </row>
    <row r="43" ht="15.75" customHeight="1">
      <c r="A43" s="10" t="s">
        <v>649</v>
      </c>
      <c r="B43" s="10" t="s">
        <v>235</v>
      </c>
      <c r="C43" s="13" t="str">
        <f t="array" ref="C43">IFERROR(INDEX('간병신청대장'!$B:$B,MATCH($B43,'간병신청대장'!$A:$A,0)),"")</f>
        <v>김진선</v>
      </c>
      <c r="D43" s="10" t="s">
        <v>95</v>
      </c>
      <c r="E43" s="10" t="s">
        <v>255</v>
      </c>
      <c r="F43" s="20" t="s">
        <v>660</v>
      </c>
      <c r="G43" s="10">
        <v>6.0</v>
      </c>
      <c r="H43" s="18">
        <v>144000.0</v>
      </c>
      <c r="I43" s="18">
        <v>864000.0</v>
      </c>
      <c r="J43" s="10" t="s">
        <v>103</v>
      </c>
      <c r="K43" s="10" t="s">
        <v>146</v>
      </c>
      <c r="L43" s="18">
        <f t="shared" si="1"/>
        <v>0</v>
      </c>
      <c r="M43" s="27"/>
      <c r="N43" s="25"/>
    </row>
    <row r="44" ht="15.75" customHeight="1">
      <c r="A44" s="10" t="s">
        <v>663</v>
      </c>
      <c r="B44" s="10" t="s">
        <v>259</v>
      </c>
      <c r="C44" s="13" t="str">
        <f t="array" ref="C44">IFERROR(INDEX('간병신청대장'!$B:$B,MATCH($B44,'간병신청대장'!$A:$A,0)),"")</f>
        <v>김진선</v>
      </c>
      <c r="D44" s="10" t="s">
        <v>95</v>
      </c>
      <c r="E44" s="10" t="s">
        <v>642</v>
      </c>
      <c r="F44" s="20" t="s">
        <v>660</v>
      </c>
      <c r="G44" s="10">
        <v>6.0</v>
      </c>
      <c r="H44" s="18">
        <v>144000.0</v>
      </c>
      <c r="I44" s="18">
        <v>864000.0</v>
      </c>
      <c r="J44" s="10" t="s">
        <v>103</v>
      </c>
      <c r="K44" s="10" t="s">
        <v>146</v>
      </c>
      <c r="L44" s="18">
        <f t="shared" si="1"/>
        <v>0</v>
      </c>
      <c r="M44" s="27"/>
      <c r="N44" s="25"/>
    </row>
    <row r="45" ht="15.75" customHeight="1">
      <c r="A45" s="10" t="s">
        <v>674</v>
      </c>
      <c r="B45" s="10" t="s">
        <v>295</v>
      </c>
      <c r="C45" s="13" t="str">
        <f t="array" ref="C45">IFERROR(INDEX('간병신청대장'!$B:$B,MATCH($B45,'간병신청대장'!$A:$A,0)),"")</f>
        <v>김진선</v>
      </c>
      <c r="D45" s="10" t="s">
        <v>190</v>
      </c>
      <c r="E45" s="10" t="s">
        <v>686</v>
      </c>
      <c r="F45" s="20" t="s">
        <v>192</v>
      </c>
      <c r="G45" s="10">
        <v>7.0</v>
      </c>
      <c r="H45" s="18">
        <v>144000.0</v>
      </c>
      <c r="I45" s="18">
        <v>1008000.0</v>
      </c>
      <c r="J45" s="10" t="s">
        <v>103</v>
      </c>
      <c r="K45" s="10" t="s">
        <v>146</v>
      </c>
      <c r="L45" s="18">
        <f t="shared" si="1"/>
        <v>0</v>
      </c>
      <c r="M45" s="27"/>
      <c r="N45" s="25"/>
    </row>
    <row r="46" ht="15.75" customHeight="1">
      <c r="A46" s="10" t="s">
        <v>687</v>
      </c>
      <c r="B46" s="10" t="s">
        <v>295</v>
      </c>
      <c r="C46" s="13" t="str">
        <f t="array" ref="C46">IFERROR(INDEX('간병신청대장'!$B:$B,MATCH($B46,'간병신청대장'!$A:$A,0)),"")</f>
        <v>김진선</v>
      </c>
      <c r="D46" s="10" t="s">
        <v>204</v>
      </c>
      <c r="E46" s="10" t="s">
        <v>693</v>
      </c>
      <c r="F46" s="20" t="s">
        <v>694</v>
      </c>
      <c r="G46" s="10">
        <v>1.0</v>
      </c>
      <c r="H46" s="18">
        <v>144000.0</v>
      </c>
      <c r="I46" s="18">
        <v>144000.0</v>
      </c>
      <c r="J46" s="10" t="s">
        <v>103</v>
      </c>
      <c r="K46" s="10" t="s">
        <v>146</v>
      </c>
      <c r="L46" s="18">
        <f t="shared" si="1"/>
        <v>0</v>
      </c>
      <c r="M46" s="27"/>
      <c r="N46" s="25"/>
    </row>
    <row r="47" ht="15.75" customHeight="1">
      <c r="A47" s="10" t="s">
        <v>695</v>
      </c>
      <c r="B47" s="10" t="s">
        <v>307</v>
      </c>
      <c r="C47" s="13" t="str">
        <f t="array" ref="C47">IFERROR(INDEX('간병신청대장'!$B:$B,MATCH($B47,'간병신청대장'!$A:$A,0)),"")</f>
        <v>김진선</v>
      </c>
      <c r="D47" s="10" t="s">
        <v>204</v>
      </c>
      <c r="E47" s="10" t="s">
        <v>705</v>
      </c>
      <c r="F47" s="20" t="s">
        <v>207</v>
      </c>
      <c r="G47" s="10">
        <v>4.0</v>
      </c>
      <c r="H47" s="18">
        <v>144000.0</v>
      </c>
      <c r="I47" s="18">
        <v>576000.0</v>
      </c>
      <c r="J47" s="10" t="s">
        <v>103</v>
      </c>
      <c r="K47" s="10" t="s">
        <v>146</v>
      </c>
      <c r="L47" s="18">
        <f t="shared" si="1"/>
        <v>0</v>
      </c>
      <c r="M47" s="27"/>
      <c r="N47" s="25"/>
    </row>
    <row r="48" ht="15.75" customHeight="1">
      <c r="A48" s="10" t="s">
        <v>708</v>
      </c>
      <c r="B48" s="10" t="s">
        <v>326</v>
      </c>
      <c r="C48" s="13" t="str">
        <f t="array" ref="C48">IFERROR(INDEX('간병신청대장'!$B:$B,MATCH($B48,'간병신청대장'!$A:$A,0)),"")</f>
        <v>김진선</v>
      </c>
      <c r="D48" s="10" t="s">
        <v>204</v>
      </c>
      <c r="E48" s="10" t="s">
        <v>710</v>
      </c>
      <c r="F48" s="20" t="s">
        <v>207</v>
      </c>
      <c r="G48" s="10">
        <v>6.0</v>
      </c>
      <c r="H48" s="18">
        <v>144000.0</v>
      </c>
      <c r="I48" s="18">
        <v>864000.0</v>
      </c>
      <c r="J48" s="10" t="s">
        <v>103</v>
      </c>
      <c r="K48" s="10" t="s">
        <v>146</v>
      </c>
      <c r="L48" s="18">
        <f t="shared" si="1"/>
        <v>0</v>
      </c>
      <c r="M48" s="27"/>
      <c r="N48" s="25"/>
    </row>
    <row r="49" ht="15.75" customHeight="1">
      <c r="A49" s="10" t="s">
        <v>711</v>
      </c>
      <c r="B49" s="10" t="s">
        <v>326</v>
      </c>
      <c r="C49" s="13" t="str">
        <f t="array" ref="C49">IFERROR(INDEX('간병신청대장'!$B:$B,MATCH($B49,'간병신청대장'!$A:$A,0)),"")</f>
        <v>김진선</v>
      </c>
      <c r="D49" s="10" t="s">
        <v>149</v>
      </c>
      <c r="E49" s="10" t="s">
        <v>330</v>
      </c>
      <c r="F49" s="20" t="s">
        <v>233</v>
      </c>
      <c r="G49" s="10">
        <v>6.0</v>
      </c>
      <c r="H49" s="18">
        <v>144000.0</v>
      </c>
      <c r="I49" s="18">
        <v>864000.0</v>
      </c>
      <c r="J49" s="10" t="s">
        <v>103</v>
      </c>
      <c r="K49" s="10" t="s">
        <v>146</v>
      </c>
      <c r="L49" s="18">
        <f t="shared" si="1"/>
        <v>0</v>
      </c>
      <c r="M49" s="27"/>
      <c r="N49" s="25"/>
    </row>
    <row r="50" ht="15.75" customHeight="1">
      <c r="A50" s="10" t="s">
        <v>719</v>
      </c>
      <c r="B50" s="10" t="s">
        <v>375</v>
      </c>
      <c r="C50" s="13" t="str">
        <f t="array" ref="C50">IFERROR(INDEX('간병신청대장'!$B:$B,MATCH($B50,'간병신청대장'!$A:$A,0)),"")</f>
        <v>권영술</v>
      </c>
      <c r="D50" s="10" t="s">
        <v>95</v>
      </c>
      <c r="E50" s="10" t="s">
        <v>728</v>
      </c>
      <c r="F50" s="20" t="s">
        <v>290</v>
      </c>
      <c r="G50" s="10">
        <v>9.0</v>
      </c>
      <c r="H50" s="18">
        <v>180666.666666667</v>
      </c>
      <c r="I50" s="18">
        <v>1626000.0</v>
      </c>
      <c r="J50" s="10" t="s">
        <v>103</v>
      </c>
      <c r="K50" s="10" t="s">
        <v>146</v>
      </c>
      <c r="L50" s="18">
        <f t="shared" si="1"/>
        <v>0</v>
      </c>
      <c r="M50" s="27"/>
      <c r="N50" s="25"/>
    </row>
    <row r="51" ht="15.75" customHeight="1">
      <c r="A51" s="10" t="s">
        <v>729</v>
      </c>
      <c r="B51" s="10" t="s">
        <v>404</v>
      </c>
      <c r="C51" s="13" t="str">
        <f t="array" ref="C51">IFERROR(INDEX('간병신청대장'!$B:$B,MATCH($B51,'간병신청대장'!$A:$A,0)),"")</f>
        <v>김진선</v>
      </c>
      <c r="D51" s="10" t="s">
        <v>238</v>
      </c>
      <c r="E51" s="10" t="s">
        <v>738</v>
      </c>
      <c r="F51" s="20" t="s">
        <v>739</v>
      </c>
      <c r="G51" s="10">
        <v>14.0</v>
      </c>
      <c r="H51" s="18">
        <v>144000.0</v>
      </c>
      <c r="I51" s="18">
        <v>2016000.0</v>
      </c>
      <c r="J51" s="10" t="s">
        <v>103</v>
      </c>
      <c r="K51" s="10" t="s">
        <v>146</v>
      </c>
      <c r="L51" s="18">
        <f t="shared" si="1"/>
        <v>0</v>
      </c>
      <c r="M51" s="27"/>
      <c r="N51" s="25"/>
    </row>
    <row r="52" ht="15.75" customHeight="1">
      <c r="A52" s="10" t="s">
        <v>742</v>
      </c>
      <c r="B52" s="10" t="s">
        <v>404</v>
      </c>
      <c r="C52" s="13" t="str">
        <f t="array" ref="C52">IFERROR(INDEX('간병신청대장'!$B:$B,MATCH($B52,'간병신청대장'!$A:$A,0)),"")</f>
        <v>김진선</v>
      </c>
      <c r="D52" s="10" t="s">
        <v>266</v>
      </c>
      <c r="E52" s="10" t="s">
        <v>415</v>
      </c>
      <c r="F52" s="20" t="s">
        <v>739</v>
      </c>
      <c r="G52" s="10">
        <v>6.0</v>
      </c>
      <c r="H52" s="18">
        <v>144000.0</v>
      </c>
      <c r="I52" s="18">
        <v>864000.0</v>
      </c>
      <c r="J52" s="10" t="s">
        <v>103</v>
      </c>
      <c r="K52" s="10" t="s">
        <v>146</v>
      </c>
      <c r="L52" s="18">
        <f t="shared" si="1"/>
        <v>0</v>
      </c>
      <c r="M52" s="27"/>
      <c r="N52" s="25"/>
    </row>
    <row r="53" ht="15.75" customHeight="1">
      <c r="A53" s="10" t="s">
        <v>755</v>
      </c>
      <c r="B53" s="10" t="s">
        <v>417</v>
      </c>
      <c r="C53" s="13" t="str">
        <f t="array" ref="C53">IFERROR(INDEX('간병신청대장'!$B:$B,MATCH($B53,'간병신청대장'!$A:$A,0)),"")</f>
        <v>김진선</v>
      </c>
      <c r="D53" s="10" t="s">
        <v>95</v>
      </c>
      <c r="E53" s="10"/>
      <c r="F53" s="20" t="s">
        <v>694</v>
      </c>
      <c r="G53" s="20">
        <v>5.0</v>
      </c>
      <c r="H53" s="8">
        <v>144000.0</v>
      </c>
      <c r="I53" s="18"/>
      <c r="J53" s="20" t="s">
        <v>103</v>
      </c>
      <c r="K53" s="20" t="s">
        <v>146</v>
      </c>
      <c r="L53" s="18">
        <f t="shared" si="1"/>
        <v>0</v>
      </c>
      <c r="M53" s="23"/>
      <c r="N53" s="26" t="s">
        <v>761</v>
      </c>
    </row>
    <row r="54" ht="15.75" customHeight="1">
      <c r="A54" s="10" t="s">
        <v>762</v>
      </c>
      <c r="B54" s="10" t="s">
        <v>417</v>
      </c>
      <c r="C54" s="13" t="str">
        <f t="array" ref="C54">IFERROR(INDEX('간병신청대장'!$B:$B,MATCH($B54,'간병신청대장'!$A:$A,0)),"")</f>
        <v>김진선</v>
      </c>
      <c r="D54" s="10" t="s">
        <v>266</v>
      </c>
      <c r="E54" s="10" t="s">
        <v>433</v>
      </c>
      <c r="F54" s="20" t="s">
        <v>694</v>
      </c>
      <c r="G54" s="10">
        <v>7.0</v>
      </c>
      <c r="H54" s="18">
        <v>144000.0</v>
      </c>
      <c r="I54" s="18">
        <v>1008000.0</v>
      </c>
      <c r="J54" s="10" t="s">
        <v>103</v>
      </c>
      <c r="K54" s="10" t="s">
        <v>146</v>
      </c>
      <c r="L54" s="18">
        <f t="shared" si="1"/>
        <v>0</v>
      </c>
      <c r="M54" s="27"/>
      <c r="N54" s="25"/>
    </row>
    <row r="55" ht="15.75" customHeight="1">
      <c r="A55" s="10" t="s">
        <v>771</v>
      </c>
      <c r="B55" s="10" t="s">
        <v>435</v>
      </c>
      <c r="C55" s="13" t="str">
        <f t="array" ref="C55">IFERROR(INDEX('간병신청대장'!$B:$B,MATCH($B55,'간병신청대장'!$A:$A,0)),"")</f>
        <v>김진선</v>
      </c>
      <c r="D55" s="10" t="s">
        <v>266</v>
      </c>
      <c r="E55" s="10" t="s">
        <v>773</v>
      </c>
      <c r="F55" s="20" t="s">
        <v>269</v>
      </c>
      <c r="G55" s="10">
        <v>8.0</v>
      </c>
      <c r="H55" s="18">
        <v>144000.0</v>
      </c>
      <c r="I55" s="18">
        <v>1152000.0</v>
      </c>
      <c r="J55" s="10" t="s">
        <v>103</v>
      </c>
      <c r="K55" s="10" t="s">
        <v>146</v>
      </c>
      <c r="L55" s="18">
        <f t="shared" si="1"/>
        <v>0</v>
      </c>
      <c r="M55" s="27"/>
      <c r="N55" s="25"/>
    </row>
    <row r="56" ht="15.75" customHeight="1">
      <c r="A56" s="10" t="s">
        <v>777</v>
      </c>
      <c r="B56" s="10" t="s">
        <v>435</v>
      </c>
      <c r="C56" s="13" t="str">
        <f t="array" ref="C56">IFERROR(INDEX('간병신청대장'!$B:$B,MATCH($B56,'간병신청대장'!$A:$A,0)),"")</f>
        <v>김진선</v>
      </c>
      <c r="D56" s="10" t="s">
        <v>281</v>
      </c>
      <c r="E56" s="10" t="s">
        <v>779</v>
      </c>
      <c r="F56" s="20" t="s">
        <v>780</v>
      </c>
      <c r="G56" s="10">
        <v>6.0</v>
      </c>
      <c r="H56" s="18">
        <v>144000.0</v>
      </c>
      <c r="I56" s="18">
        <v>864000.0</v>
      </c>
      <c r="J56" s="10" t="s">
        <v>103</v>
      </c>
      <c r="K56" s="10" t="s">
        <v>146</v>
      </c>
      <c r="L56" s="18">
        <f t="shared" si="1"/>
        <v>0</v>
      </c>
      <c r="M56" s="27"/>
      <c r="N56" s="25"/>
    </row>
    <row r="57" ht="15.75" customHeight="1">
      <c r="A57" s="10" t="s">
        <v>785</v>
      </c>
      <c r="B57" s="10" t="s">
        <v>450</v>
      </c>
      <c r="C57" s="13" t="str">
        <f t="array" ref="C57">IFERROR(INDEX('간병신청대장'!$B:$B,MATCH($B57,'간병신청대장'!$A:$A,0)),"")</f>
        <v>김진선</v>
      </c>
      <c r="D57" s="10" t="s">
        <v>281</v>
      </c>
      <c r="E57" s="10" t="s">
        <v>790</v>
      </c>
      <c r="F57" s="20" t="s">
        <v>791</v>
      </c>
      <c r="G57" s="10">
        <v>4.0</v>
      </c>
      <c r="H57" s="18">
        <v>144000.0</v>
      </c>
      <c r="I57" s="18">
        <v>576000.0</v>
      </c>
      <c r="J57" s="10" t="s">
        <v>103</v>
      </c>
      <c r="K57" s="10" t="s">
        <v>146</v>
      </c>
      <c r="L57" s="18">
        <f t="shared" si="1"/>
        <v>0</v>
      </c>
      <c r="M57" s="27"/>
      <c r="N57" s="25"/>
    </row>
    <row r="58" ht="15.75" customHeight="1">
      <c r="A58" s="10" t="s">
        <v>798</v>
      </c>
      <c r="B58" s="10" t="s">
        <v>461</v>
      </c>
      <c r="C58" s="13" t="str">
        <f t="array" ref="C58">IFERROR(INDEX('간병신청대장'!$B:$B,MATCH($B58,'간병신청대장'!$A:$A,0)),"")</f>
        <v>김진선</v>
      </c>
      <c r="D58" s="10" t="s">
        <v>567</v>
      </c>
      <c r="E58" s="10" t="s">
        <v>804</v>
      </c>
      <c r="F58" s="20" t="s">
        <v>569</v>
      </c>
      <c r="G58" s="10">
        <v>10.0</v>
      </c>
      <c r="H58" s="18">
        <v>144000.0</v>
      </c>
      <c r="I58" s="18">
        <v>1440000.0</v>
      </c>
      <c r="J58" s="10" t="s">
        <v>103</v>
      </c>
      <c r="K58" s="10" t="s">
        <v>146</v>
      </c>
      <c r="L58" s="18">
        <f t="shared" si="1"/>
        <v>0</v>
      </c>
      <c r="M58" s="27"/>
      <c r="N58" s="25"/>
    </row>
    <row r="59" ht="15.75" customHeight="1">
      <c r="A59" s="10" t="s">
        <v>805</v>
      </c>
      <c r="B59" s="10" t="s">
        <v>461</v>
      </c>
      <c r="C59" s="13" t="str">
        <f t="array" ref="C59">IFERROR(INDEX('간병신청대장'!$B:$B,MATCH($B59,'간병신청대장'!$A:$A,0)),"")</f>
        <v>김진선</v>
      </c>
      <c r="D59" s="10" t="s">
        <v>592</v>
      </c>
      <c r="E59" s="10" t="s">
        <v>816</v>
      </c>
      <c r="F59" s="20" t="s">
        <v>595</v>
      </c>
      <c r="G59" s="10">
        <v>10.0</v>
      </c>
      <c r="H59" s="8">
        <v>144000.0</v>
      </c>
      <c r="I59" s="18">
        <f t="shared" ref="I59:I64" si="4">G59*H59</f>
        <v>1440000</v>
      </c>
      <c r="J59" s="20" t="s">
        <v>103</v>
      </c>
      <c r="K59" s="10" t="s">
        <v>146</v>
      </c>
      <c r="L59" s="18">
        <f t="shared" si="1"/>
        <v>0</v>
      </c>
      <c r="M59" s="23"/>
      <c r="N59" s="34" t="s">
        <v>821</v>
      </c>
    </row>
    <row r="60" ht="15.75" customHeight="1">
      <c r="A60" s="10" t="s">
        <v>823</v>
      </c>
      <c r="B60" s="10" t="s">
        <v>461</v>
      </c>
      <c r="C60" s="13" t="str">
        <f t="array" ref="C60">IFERROR(INDEX('간병신청대장'!$B:$B,MATCH($B60,'간병신청대장'!$A:$A,0)),"")</f>
        <v>김진선</v>
      </c>
      <c r="D60" s="10" t="s">
        <v>112</v>
      </c>
      <c r="E60" s="10" t="s">
        <v>832</v>
      </c>
      <c r="F60" s="20" t="s">
        <v>834</v>
      </c>
      <c r="G60" s="10">
        <v>4.0</v>
      </c>
      <c r="H60" s="8">
        <v>144000.0</v>
      </c>
      <c r="I60" s="18">
        <f t="shared" si="4"/>
        <v>576000</v>
      </c>
      <c r="J60" s="20" t="s">
        <v>103</v>
      </c>
      <c r="K60" s="10" t="s">
        <v>146</v>
      </c>
      <c r="L60" s="18">
        <f t="shared" si="1"/>
        <v>0</v>
      </c>
      <c r="M60" s="23"/>
      <c r="N60" s="34" t="s">
        <v>821</v>
      </c>
    </row>
    <row r="61" ht="15.75" customHeight="1">
      <c r="A61" s="10" t="s">
        <v>835</v>
      </c>
      <c r="B61" s="10" t="s">
        <v>480</v>
      </c>
      <c r="C61" s="13" t="str">
        <f t="array" ref="C61">IFERROR(INDEX('간병신청대장'!$B:$B,MATCH($B61,'간병신청대장'!$A:$A,0)),"")</f>
        <v>김진선</v>
      </c>
      <c r="D61" s="10" t="s">
        <v>112</v>
      </c>
      <c r="E61" s="10" t="s">
        <v>836</v>
      </c>
      <c r="F61" s="20" t="s">
        <v>113</v>
      </c>
      <c r="G61" s="10">
        <v>6.0</v>
      </c>
      <c r="H61" s="8">
        <v>144000.0</v>
      </c>
      <c r="I61" s="18">
        <f t="shared" si="4"/>
        <v>864000</v>
      </c>
      <c r="J61" s="20" t="s">
        <v>103</v>
      </c>
      <c r="K61" s="10" t="s">
        <v>146</v>
      </c>
      <c r="L61" s="18">
        <f t="shared" si="1"/>
        <v>0</v>
      </c>
      <c r="M61" s="23"/>
      <c r="N61" s="34" t="s">
        <v>821</v>
      </c>
    </row>
    <row r="62" ht="15.75" customHeight="1">
      <c r="A62" s="10" t="s">
        <v>847</v>
      </c>
      <c r="B62" s="10" t="s">
        <v>480</v>
      </c>
      <c r="C62" s="13" t="str">
        <f t="array" ref="C62">IFERROR(INDEX('간병신청대장'!$B:$B,MATCH($B62,'간병신청대장'!$A:$A,0)),"")</f>
        <v>김진선</v>
      </c>
      <c r="D62" s="10" t="s">
        <v>194</v>
      </c>
      <c r="E62" s="10" t="s">
        <v>854</v>
      </c>
      <c r="F62" s="20" t="s">
        <v>855</v>
      </c>
      <c r="G62" s="10">
        <v>8.0</v>
      </c>
      <c r="H62" s="8">
        <v>144000.0</v>
      </c>
      <c r="I62" s="18">
        <f t="shared" si="4"/>
        <v>1152000</v>
      </c>
      <c r="J62" s="20" t="s">
        <v>103</v>
      </c>
      <c r="K62" s="10" t="s">
        <v>146</v>
      </c>
      <c r="L62" s="18">
        <f t="shared" si="1"/>
        <v>0</v>
      </c>
      <c r="M62" s="23"/>
      <c r="N62" s="34" t="s">
        <v>821</v>
      </c>
    </row>
    <row r="63" ht="15.75" customHeight="1">
      <c r="A63" s="10" t="s">
        <v>856</v>
      </c>
      <c r="B63" s="10" t="s">
        <v>486</v>
      </c>
      <c r="C63" s="13" t="str">
        <f t="array" ref="C63">IFERROR(INDEX('간병신청대장'!$B:$B,MATCH($B63,'간병신청대장'!$A:$A,0)),"")</f>
        <v>김진선</v>
      </c>
      <c r="D63" s="10" t="s">
        <v>194</v>
      </c>
      <c r="E63" s="10" t="s">
        <v>862</v>
      </c>
      <c r="F63" s="20" t="s">
        <v>863</v>
      </c>
      <c r="G63" s="10">
        <v>6.0</v>
      </c>
      <c r="H63" s="8">
        <v>144000.0</v>
      </c>
      <c r="I63" s="18">
        <f t="shared" si="4"/>
        <v>864000</v>
      </c>
      <c r="J63" s="20" t="s">
        <v>103</v>
      </c>
      <c r="K63" s="10" t="s">
        <v>146</v>
      </c>
      <c r="L63" s="18">
        <f t="shared" si="1"/>
        <v>0</v>
      </c>
      <c r="M63" s="23"/>
      <c r="N63" s="34" t="s">
        <v>821</v>
      </c>
    </row>
    <row r="64" ht="15.75" customHeight="1">
      <c r="A64" s="10" t="s">
        <v>864</v>
      </c>
      <c r="B64" s="10" t="s">
        <v>501</v>
      </c>
      <c r="C64" s="13" t="str">
        <f t="array" ref="C64">IFERROR(INDEX('간병신청대장'!$B:$B,MATCH($B64,'간병신청대장'!$A:$A,0)),"")</f>
        <v>김진선</v>
      </c>
      <c r="D64" s="10" t="s">
        <v>622</v>
      </c>
      <c r="E64" s="10" t="s">
        <v>506</v>
      </c>
      <c r="F64" s="20" t="s">
        <v>868</v>
      </c>
      <c r="G64" s="10">
        <v>4.0</v>
      </c>
      <c r="H64" s="8">
        <v>144000.0</v>
      </c>
      <c r="I64" s="18">
        <f t="shared" si="4"/>
        <v>576000</v>
      </c>
      <c r="J64" s="20" t="s">
        <v>103</v>
      </c>
      <c r="K64" s="10" t="s">
        <v>146</v>
      </c>
      <c r="L64" s="18">
        <f t="shared" si="1"/>
        <v>0</v>
      </c>
      <c r="M64" s="23"/>
      <c r="N64" s="34" t="s">
        <v>869</v>
      </c>
    </row>
    <row r="65" ht="15.75" customHeight="1">
      <c r="A65" s="10" t="s">
        <v>870</v>
      </c>
      <c r="B65" s="10" t="s">
        <v>510</v>
      </c>
      <c r="C65" s="13" t="str">
        <f t="array" ref="C65">IFERROR(INDEX('간병신청대장'!$B:$B,MATCH($B65,'간병신청대장'!$A:$A,0)),"")</f>
        <v>권영술</v>
      </c>
      <c r="D65" s="10" t="s">
        <v>190</v>
      </c>
      <c r="E65" s="10" t="s">
        <v>875</v>
      </c>
      <c r="F65" s="20" t="s">
        <v>192</v>
      </c>
      <c r="G65" s="10">
        <v>11.0</v>
      </c>
      <c r="H65" s="18">
        <v>144000.0</v>
      </c>
      <c r="I65" s="18">
        <v>1584000.0</v>
      </c>
      <c r="J65" s="10" t="s">
        <v>103</v>
      </c>
      <c r="K65" s="10" t="s">
        <v>146</v>
      </c>
      <c r="L65" s="18">
        <f t="shared" si="1"/>
        <v>0</v>
      </c>
      <c r="M65" s="27"/>
      <c r="N65" s="25"/>
    </row>
    <row r="66" ht="15.75" customHeight="1">
      <c r="A66" s="10" t="s">
        <v>876</v>
      </c>
      <c r="B66" s="10" t="s">
        <v>510</v>
      </c>
      <c r="C66" s="13" t="str">
        <f t="array" ref="C66">IFERROR(INDEX('간병신청대장'!$B:$B,MATCH($B66,'간병신청대장'!$A:$A,0)),"")</f>
        <v>권영술</v>
      </c>
      <c r="D66" s="10" t="s">
        <v>204</v>
      </c>
      <c r="E66" s="10" t="s">
        <v>885</v>
      </c>
      <c r="F66" s="20" t="s">
        <v>207</v>
      </c>
      <c r="G66" s="10">
        <v>10.0</v>
      </c>
      <c r="H66" s="18">
        <v>111000.0</v>
      </c>
      <c r="I66" s="18">
        <v>1110000.0</v>
      </c>
      <c r="J66" s="10" t="s">
        <v>103</v>
      </c>
      <c r="K66" s="10" t="s">
        <v>146</v>
      </c>
      <c r="L66" s="18">
        <f t="shared" si="1"/>
        <v>0</v>
      </c>
      <c r="M66" s="27"/>
      <c r="N66" s="25"/>
    </row>
    <row r="67" ht="15.75" customHeight="1">
      <c r="A67" s="10" t="s">
        <v>886</v>
      </c>
      <c r="B67" s="10" t="s">
        <v>510</v>
      </c>
      <c r="C67" s="13" t="str">
        <f t="array" ref="C67">IFERROR(INDEX('간병신청대장'!$B:$B,MATCH($B67,'간병신청대장'!$A:$A,0)),"")</f>
        <v>권영술</v>
      </c>
      <c r="D67" s="10" t="s">
        <v>149</v>
      </c>
      <c r="E67" s="10" t="s">
        <v>527</v>
      </c>
      <c r="F67" s="20" t="s">
        <v>233</v>
      </c>
      <c r="G67" s="10">
        <v>11.0</v>
      </c>
      <c r="H67" s="18">
        <v>144000.0</v>
      </c>
      <c r="I67" s="18">
        <v>1584000.0</v>
      </c>
      <c r="J67" s="10" t="s">
        <v>103</v>
      </c>
      <c r="K67" s="10" t="s">
        <v>146</v>
      </c>
      <c r="L67" s="18">
        <f t="shared" si="1"/>
        <v>0</v>
      </c>
      <c r="M67" s="27"/>
      <c r="N67" s="25"/>
    </row>
    <row r="68" ht="15.75" customHeight="1">
      <c r="A68" s="10" t="s">
        <v>897</v>
      </c>
      <c r="B68" s="10" t="s">
        <v>530</v>
      </c>
      <c r="C68" s="13" t="str">
        <f t="array" ref="C68">IFERROR(INDEX('간병신청대장'!$B:$B,MATCH($B68,'간병신청대장'!$A:$A,0)),"")</f>
        <v>전남영</v>
      </c>
      <c r="D68" s="10" t="s">
        <v>95</v>
      </c>
      <c r="E68" s="10" t="s">
        <v>383</v>
      </c>
      <c r="F68" s="20" t="s">
        <v>660</v>
      </c>
      <c r="G68" s="10">
        <v>9.0</v>
      </c>
      <c r="H68" s="35">
        <v>135000.0</v>
      </c>
      <c r="I68" s="18">
        <f>G68*H68</f>
        <v>1215000</v>
      </c>
      <c r="J68" s="10" t="s">
        <v>103</v>
      </c>
      <c r="K68" s="10" t="s">
        <v>146</v>
      </c>
      <c r="L68" s="18">
        <f t="shared" si="1"/>
        <v>0</v>
      </c>
      <c r="M68" s="27"/>
      <c r="N68" s="25"/>
    </row>
    <row r="69" ht="15.75" customHeight="1">
      <c r="A69" s="10" t="s">
        <v>906</v>
      </c>
      <c r="B69" s="10" t="s">
        <v>530</v>
      </c>
      <c r="C69" s="13" t="str">
        <f t="array" ref="C69">IFERROR(INDEX('간병신청대장'!$B:$B,MATCH($B69,'간병신청대장'!$A:$A,0)),"")</f>
        <v>전남영</v>
      </c>
      <c r="D69" s="10" t="s">
        <v>190</v>
      </c>
      <c r="E69" s="10" t="s">
        <v>914</v>
      </c>
      <c r="F69" s="20" t="s">
        <v>192</v>
      </c>
      <c r="G69" s="10">
        <v>10.0</v>
      </c>
      <c r="H69" s="36">
        <v>135000.0</v>
      </c>
      <c r="I69" s="18">
        <v>1350000.0</v>
      </c>
      <c r="J69" s="10" t="s">
        <v>103</v>
      </c>
      <c r="K69" s="10" t="s">
        <v>146</v>
      </c>
      <c r="L69" s="18">
        <f t="shared" si="1"/>
        <v>0</v>
      </c>
      <c r="M69" s="27"/>
      <c r="N69" s="25"/>
    </row>
    <row r="70" ht="15.75" customHeight="1">
      <c r="A70" s="10" t="s">
        <v>916</v>
      </c>
      <c r="B70" s="10" t="s">
        <v>530</v>
      </c>
      <c r="C70" s="13" t="str">
        <f t="array" ref="C70">IFERROR(INDEX('간병신청대장'!$B:$B,MATCH($B70,'간병신청대장'!$A:$A,0)),"")</f>
        <v>전남영</v>
      </c>
      <c r="D70" s="10" t="s">
        <v>204</v>
      </c>
      <c r="E70" s="10" t="s">
        <v>924</v>
      </c>
      <c r="F70" s="20" t="s">
        <v>207</v>
      </c>
      <c r="G70" s="10">
        <v>10.0</v>
      </c>
      <c r="H70" s="36">
        <v>135000.0</v>
      </c>
      <c r="I70" s="18">
        <v>1350000.0</v>
      </c>
      <c r="J70" s="10" t="s">
        <v>103</v>
      </c>
      <c r="K70" s="10" t="s">
        <v>146</v>
      </c>
      <c r="L70" s="18">
        <f t="shared" si="1"/>
        <v>0</v>
      </c>
      <c r="M70" s="27"/>
      <c r="N70" s="25"/>
    </row>
    <row r="71" ht="15.75" customHeight="1">
      <c r="A71" s="10" t="s">
        <v>925</v>
      </c>
      <c r="B71" s="10" t="s">
        <v>530</v>
      </c>
      <c r="C71" s="13" t="str">
        <f t="array" ref="C71">IFERROR(INDEX('간병신청대장'!$B:$B,MATCH($B71,'간병신청대장'!$A:$A,0)),"")</f>
        <v>전남영</v>
      </c>
      <c r="D71" s="10" t="s">
        <v>149</v>
      </c>
      <c r="E71" s="10" t="s">
        <v>929</v>
      </c>
      <c r="F71" s="20" t="s">
        <v>233</v>
      </c>
      <c r="G71" s="10">
        <v>10.0</v>
      </c>
      <c r="H71" s="36">
        <v>135000.0</v>
      </c>
      <c r="I71" s="18">
        <v>1350000.0</v>
      </c>
      <c r="J71" s="10" t="s">
        <v>103</v>
      </c>
      <c r="K71" s="10" t="s">
        <v>146</v>
      </c>
      <c r="L71" s="18">
        <f t="shared" si="1"/>
        <v>0</v>
      </c>
      <c r="M71" s="27"/>
      <c r="N71" s="25"/>
    </row>
    <row r="72" ht="15.75" customHeight="1">
      <c r="A72" s="10" t="s">
        <v>934</v>
      </c>
      <c r="B72" s="10" t="s">
        <v>530</v>
      </c>
      <c r="C72" s="13" t="str">
        <f t="array" ref="C72">IFERROR(INDEX('간병신청대장'!$B:$B,MATCH($B72,'간병신청대장'!$A:$A,0)),"")</f>
        <v>전남영</v>
      </c>
      <c r="D72" s="10" t="s">
        <v>238</v>
      </c>
      <c r="E72" s="10" t="s">
        <v>938</v>
      </c>
      <c r="F72" s="20" t="s">
        <v>939</v>
      </c>
      <c r="G72" s="10">
        <v>3.0</v>
      </c>
      <c r="H72" s="36">
        <v>135000.0</v>
      </c>
      <c r="I72" s="18">
        <v>405000.0</v>
      </c>
      <c r="J72" s="37" t="s">
        <v>103</v>
      </c>
      <c r="K72" s="10" t="s">
        <v>146</v>
      </c>
      <c r="L72" s="18">
        <f t="shared" si="1"/>
        <v>0</v>
      </c>
      <c r="M72" s="23"/>
      <c r="N72" s="26"/>
    </row>
    <row r="73" ht="15.75" customHeight="1">
      <c r="A73" s="10" t="s">
        <v>940</v>
      </c>
      <c r="B73" s="10" t="s">
        <v>544</v>
      </c>
      <c r="C73" s="13" t="str">
        <f t="array" ref="C73">IFERROR(INDEX('간병신청대장'!$B:$B,MATCH($B73,'간병신청대장'!$A:$A,0)),"")</f>
        <v>전남영</v>
      </c>
      <c r="D73" s="10" t="s">
        <v>238</v>
      </c>
      <c r="E73" s="10" t="s">
        <v>950</v>
      </c>
      <c r="F73" s="20" t="s">
        <v>939</v>
      </c>
      <c r="G73" s="10">
        <v>7.0</v>
      </c>
      <c r="H73" s="36">
        <v>135000.0</v>
      </c>
      <c r="I73" s="18">
        <v>405000.0</v>
      </c>
      <c r="J73" s="23" t="s">
        <v>103</v>
      </c>
      <c r="K73" s="20" t="s">
        <v>146</v>
      </c>
      <c r="L73" s="18">
        <f t="shared" si="1"/>
        <v>0</v>
      </c>
      <c r="M73" s="23"/>
      <c r="N73" s="24" t="s">
        <v>951</v>
      </c>
    </row>
    <row r="74" ht="15.75" customHeight="1">
      <c r="A74" s="10" t="s">
        <v>952</v>
      </c>
      <c r="B74" s="10" t="s">
        <v>544</v>
      </c>
      <c r="C74" s="13" t="str">
        <f t="array" ref="C74">IFERROR(INDEX('간병신청대장'!$B:$B,MATCH($B74,'간병신청대장'!$A:$A,0)),"")</f>
        <v>전남영</v>
      </c>
      <c r="D74" s="10" t="s">
        <v>261</v>
      </c>
      <c r="E74" s="10" t="s">
        <v>961</v>
      </c>
      <c r="F74" s="20" t="s">
        <v>264</v>
      </c>
      <c r="G74" s="10">
        <v>11.0</v>
      </c>
      <c r="H74" s="36">
        <v>135000.0</v>
      </c>
      <c r="I74" s="18">
        <v>405000.0</v>
      </c>
      <c r="J74" s="23" t="s">
        <v>103</v>
      </c>
      <c r="K74" s="20" t="s">
        <v>146</v>
      </c>
      <c r="L74" s="18">
        <f t="shared" si="1"/>
        <v>0</v>
      </c>
      <c r="M74" s="23"/>
      <c r="N74" s="24" t="s">
        <v>962</v>
      </c>
    </row>
    <row r="75" ht="15.75" customHeight="1">
      <c r="A75" s="10" t="s">
        <v>963</v>
      </c>
      <c r="B75" s="10" t="s">
        <v>544</v>
      </c>
      <c r="C75" s="13" t="str">
        <f t="array" ref="C75">IFERROR(INDEX('간병신청대장'!$B:$B,MATCH($B75,'간병신청대장'!$A:$A,0)),"")</f>
        <v>전남영</v>
      </c>
      <c r="D75" s="10" t="s">
        <v>266</v>
      </c>
      <c r="E75" s="10" t="s">
        <v>769</v>
      </c>
      <c r="F75" s="20" t="s">
        <v>269</v>
      </c>
      <c r="G75" s="10">
        <v>10.0</v>
      </c>
      <c r="H75" s="36">
        <v>135000.0</v>
      </c>
      <c r="I75" s="18">
        <v>405000.0</v>
      </c>
      <c r="J75" s="23" t="s">
        <v>103</v>
      </c>
      <c r="K75" s="20" t="s">
        <v>146</v>
      </c>
      <c r="L75" s="18">
        <f t="shared" si="1"/>
        <v>0</v>
      </c>
      <c r="M75" s="23"/>
      <c r="N75" s="24" t="s">
        <v>981</v>
      </c>
    </row>
    <row r="76" ht="15.75" customHeight="1">
      <c r="A76" s="10" t="s">
        <v>982</v>
      </c>
      <c r="B76" s="10" t="s">
        <v>544</v>
      </c>
      <c r="C76" s="13" t="str">
        <f t="array" ref="C76">IFERROR(INDEX('간병신청대장'!$B:$B,MATCH($B76,'간병신청대장'!$A:$A,0)),"")</f>
        <v>전남영</v>
      </c>
      <c r="D76" s="10" t="s">
        <v>281</v>
      </c>
      <c r="E76" s="10" t="s">
        <v>774</v>
      </c>
      <c r="F76" s="20" t="s">
        <v>791</v>
      </c>
      <c r="G76" s="10">
        <v>9.0</v>
      </c>
      <c r="H76" s="35">
        <v>135000.0</v>
      </c>
      <c r="I76" s="18">
        <f t="shared" ref="I76:I80" si="5">G76*H76</f>
        <v>1215000</v>
      </c>
      <c r="J76" s="10" t="s">
        <v>103</v>
      </c>
      <c r="K76" s="20" t="s">
        <v>146</v>
      </c>
      <c r="L76" s="18">
        <f t="shared" si="1"/>
        <v>0</v>
      </c>
      <c r="M76" s="23"/>
      <c r="N76" s="24" t="s">
        <v>1012</v>
      </c>
    </row>
    <row r="77" ht="15.75" customHeight="1">
      <c r="A77" s="10" t="s">
        <v>1013</v>
      </c>
      <c r="B77" s="10" t="s">
        <v>564</v>
      </c>
      <c r="C77" s="13" t="str">
        <f t="array" ref="C77">IFERROR(INDEX('간병신청대장'!$B:$B,MATCH($B77,'간병신청대장'!$A:$A,0)),"")</f>
        <v>전남영</v>
      </c>
      <c r="D77" s="10" t="s">
        <v>592</v>
      </c>
      <c r="E77" s="10" t="s">
        <v>983</v>
      </c>
      <c r="F77" s="20" t="s">
        <v>595</v>
      </c>
      <c r="G77" s="10">
        <v>21.0</v>
      </c>
      <c r="H77" s="35">
        <v>135000.0</v>
      </c>
      <c r="I77" s="18">
        <f t="shared" si="5"/>
        <v>2835000</v>
      </c>
      <c r="J77" s="10" t="s">
        <v>103</v>
      </c>
      <c r="K77" s="20" t="s">
        <v>146</v>
      </c>
      <c r="L77" s="8"/>
      <c r="M77" s="23"/>
      <c r="N77" s="24" t="s">
        <v>1024</v>
      </c>
    </row>
    <row r="78" ht="15.75" customHeight="1">
      <c r="A78" s="10" t="s">
        <v>1025</v>
      </c>
      <c r="B78" s="10" t="s">
        <v>564</v>
      </c>
      <c r="C78" s="13" t="str">
        <f t="array" ref="C78">IFERROR(INDEX('간병신청대장'!$B:$B,MATCH($B78,'간병신청대장'!$A:$A,0)),"")</f>
        <v>전남영</v>
      </c>
      <c r="D78" s="10" t="s">
        <v>112</v>
      </c>
      <c r="E78" s="10" t="s">
        <v>1002</v>
      </c>
      <c r="F78" s="20" t="s">
        <v>113</v>
      </c>
      <c r="G78" s="10">
        <v>10.0</v>
      </c>
      <c r="H78" s="35">
        <v>135000.0</v>
      </c>
      <c r="I78" s="18">
        <f t="shared" si="5"/>
        <v>1350000</v>
      </c>
      <c r="J78" s="10" t="s">
        <v>103</v>
      </c>
      <c r="K78" s="20" t="s">
        <v>146</v>
      </c>
      <c r="L78" s="18">
        <f t="shared" ref="L78:L113" si="6">IF($K78="미확인",IF($G78="",0,$G78*$H78),0)</f>
        <v>0</v>
      </c>
      <c r="M78" s="23"/>
      <c r="N78" s="24" t="s">
        <v>1038</v>
      </c>
    </row>
    <row r="79" ht="15.75" customHeight="1">
      <c r="A79" s="10" t="s">
        <v>1039</v>
      </c>
      <c r="B79" s="10" t="s">
        <v>564</v>
      </c>
      <c r="C79" s="13" t="str">
        <f t="array" ref="C79">IFERROR(INDEX('간병신청대장'!$B:$B,MATCH($B79,'간병신청대장'!$A:$A,0)),"")</f>
        <v>전남영</v>
      </c>
      <c r="D79" s="10" t="s">
        <v>194</v>
      </c>
      <c r="E79" s="10" t="s">
        <v>849</v>
      </c>
      <c r="F79" s="20" t="s">
        <v>629</v>
      </c>
      <c r="G79" s="10">
        <v>11.0</v>
      </c>
      <c r="H79" s="35">
        <v>135000.0</v>
      </c>
      <c r="I79" s="18">
        <f t="shared" si="5"/>
        <v>1485000</v>
      </c>
      <c r="J79" s="10" t="s">
        <v>103</v>
      </c>
      <c r="K79" s="20" t="s">
        <v>146</v>
      </c>
      <c r="L79" s="18">
        <f t="shared" si="6"/>
        <v>0</v>
      </c>
      <c r="M79" s="23"/>
      <c r="N79" s="24" t="s">
        <v>1046</v>
      </c>
    </row>
    <row r="80" ht="15.75" customHeight="1">
      <c r="A80" s="10" t="s">
        <v>1047</v>
      </c>
      <c r="B80" s="10" t="s">
        <v>564</v>
      </c>
      <c r="C80" s="13" t="str">
        <f t="array" ref="C80">IFERROR(INDEX('간병신청대장'!$B:$B,MATCH($B80,'간병신청대장'!$A:$A,0)),"")</f>
        <v>전남영</v>
      </c>
      <c r="D80" s="10" t="s">
        <v>622</v>
      </c>
      <c r="E80" s="10" t="s">
        <v>1052</v>
      </c>
      <c r="F80" s="20" t="s">
        <v>1053</v>
      </c>
      <c r="G80" s="10">
        <v>10.0</v>
      </c>
      <c r="H80" s="35">
        <v>135000.0</v>
      </c>
      <c r="I80" s="18">
        <f t="shared" si="5"/>
        <v>1350000</v>
      </c>
      <c r="J80" s="10" t="s">
        <v>103</v>
      </c>
      <c r="K80" s="20" t="s">
        <v>146</v>
      </c>
      <c r="L80" s="18">
        <f t="shared" si="6"/>
        <v>0</v>
      </c>
      <c r="M80" s="23"/>
      <c r="N80" s="24" t="s">
        <v>1058</v>
      </c>
    </row>
    <row r="81" ht="15.75" customHeight="1">
      <c r="A81" s="10" t="s">
        <v>1062</v>
      </c>
      <c r="B81" s="10" t="s">
        <v>591</v>
      </c>
      <c r="C81" s="13" t="str">
        <f t="array" ref="C81">IFERROR(INDEX('간병신청대장'!$B:$B,MATCH($B81,'간병신청대장'!$A:$A,0)),"")</f>
        <v>이성자</v>
      </c>
      <c r="D81" s="10" t="s">
        <v>95</v>
      </c>
      <c r="E81" s="10" t="s">
        <v>383</v>
      </c>
      <c r="F81" s="20" t="s">
        <v>660</v>
      </c>
      <c r="G81" s="10">
        <v>10.0</v>
      </c>
      <c r="H81" s="36">
        <v>135000.0</v>
      </c>
      <c r="I81" s="18">
        <v>1350000.0</v>
      </c>
      <c r="J81" s="10" t="s">
        <v>103</v>
      </c>
      <c r="K81" s="10" t="s">
        <v>146</v>
      </c>
      <c r="L81" s="18">
        <f t="shared" si="6"/>
        <v>0</v>
      </c>
      <c r="M81" s="27"/>
      <c r="N81" s="25"/>
    </row>
    <row r="82" ht="15.75" customHeight="1">
      <c r="A82" s="10" t="s">
        <v>1068</v>
      </c>
      <c r="B82" s="10" t="s">
        <v>591</v>
      </c>
      <c r="C82" s="13" t="str">
        <f t="array" ref="C82">IFERROR(INDEX('간병신청대장'!$B:$B,MATCH($B82,'간병신청대장'!$A:$A,0)),"")</f>
        <v>이성자</v>
      </c>
      <c r="D82" s="10" t="s">
        <v>190</v>
      </c>
      <c r="E82" s="10" t="s">
        <v>914</v>
      </c>
      <c r="F82" s="20" t="s">
        <v>192</v>
      </c>
      <c r="G82" s="10">
        <v>10.0</v>
      </c>
      <c r="H82" s="36">
        <v>135000.0</v>
      </c>
      <c r="I82" s="18">
        <v>1350000.0</v>
      </c>
      <c r="J82" s="10" t="s">
        <v>103</v>
      </c>
      <c r="K82" s="10" t="s">
        <v>146</v>
      </c>
      <c r="L82" s="18">
        <f t="shared" si="6"/>
        <v>0</v>
      </c>
      <c r="M82" s="27"/>
      <c r="N82" s="25"/>
    </row>
    <row r="83" ht="15.75" customHeight="1">
      <c r="A83" s="10" t="s">
        <v>1080</v>
      </c>
      <c r="B83" s="10" t="s">
        <v>591</v>
      </c>
      <c r="C83" s="13" t="str">
        <f t="array" ref="C83">IFERROR(INDEX('간병신청대장'!$B:$B,MATCH($B83,'간병신청대장'!$A:$A,0)),"")</f>
        <v>이성자</v>
      </c>
      <c r="D83" s="10" t="s">
        <v>204</v>
      </c>
      <c r="E83" s="10" t="s">
        <v>1091</v>
      </c>
      <c r="F83" s="20" t="s">
        <v>1092</v>
      </c>
      <c r="G83" s="10">
        <v>11.0</v>
      </c>
      <c r="H83" s="36">
        <v>135000.0</v>
      </c>
      <c r="I83" s="18">
        <v>1485000.0</v>
      </c>
      <c r="J83" s="10" t="s">
        <v>103</v>
      </c>
      <c r="K83" s="10" t="s">
        <v>146</v>
      </c>
      <c r="L83" s="18">
        <f t="shared" si="6"/>
        <v>0</v>
      </c>
      <c r="M83" s="27"/>
      <c r="N83" s="25"/>
    </row>
    <row r="84" ht="15.75" customHeight="1">
      <c r="A84" s="10" t="s">
        <v>1093</v>
      </c>
      <c r="B84" s="10" t="s">
        <v>611</v>
      </c>
      <c r="C84" s="13" t="str">
        <f t="array" ref="C84">IFERROR(INDEX('간병신청대장'!$B:$B,MATCH($B84,'간병신청대장'!$A:$A,0)),"")</f>
        <v>이성자</v>
      </c>
      <c r="D84" s="10" t="s">
        <v>149</v>
      </c>
      <c r="E84" s="10" t="s">
        <v>929</v>
      </c>
      <c r="F84" s="20" t="s">
        <v>233</v>
      </c>
      <c r="G84" s="10">
        <v>4.0</v>
      </c>
      <c r="H84" s="36">
        <v>135000.0</v>
      </c>
      <c r="I84" s="18">
        <v>540000.0</v>
      </c>
      <c r="J84" s="10" t="s">
        <v>103</v>
      </c>
      <c r="K84" s="10" t="s">
        <v>146</v>
      </c>
      <c r="L84" s="18">
        <f t="shared" si="6"/>
        <v>0</v>
      </c>
      <c r="M84" s="27"/>
      <c r="N84" s="25"/>
    </row>
    <row r="85" ht="15.75" customHeight="1">
      <c r="A85" s="10" t="s">
        <v>1101</v>
      </c>
      <c r="B85" s="10" t="s">
        <v>611</v>
      </c>
      <c r="C85" s="13" t="str">
        <f t="array" ref="C85">IFERROR(INDEX('간병신청대장'!$B:$B,MATCH($B85,'간병신청대장'!$A:$A,0)),"")</f>
        <v>이성자</v>
      </c>
      <c r="D85" s="10" t="s">
        <v>238</v>
      </c>
      <c r="E85" s="10" t="s">
        <v>624</v>
      </c>
      <c r="F85" s="20" t="s">
        <v>240</v>
      </c>
      <c r="G85" s="10">
        <v>8.0</v>
      </c>
      <c r="H85" s="36">
        <v>135000.0</v>
      </c>
      <c r="I85" s="18">
        <v>1080000.0</v>
      </c>
      <c r="J85" s="10" t="s">
        <v>103</v>
      </c>
      <c r="K85" s="10" t="s">
        <v>146</v>
      </c>
      <c r="L85" s="18">
        <f t="shared" si="6"/>
        <v>0</v>
      </c>
      <c r="M85" s="27"/>
      <c r="N85" s="25"/>
    </row>
    <row r="86" ht="15.75" customHeight="1">
      <c r="A86" s="10" t="s">
        <v>1111</v>
      </c>
      <c r="B86" s="10" t="s">
        <v>628</v>
      </c>
      <c r="C86" s="13" t="str">
        <f t="array" ref="C86">IFERROR(INDEX('간병신청대장'!$B:$B,MATCH($B86,'간병신청대장'!$A:$A,0)),"")</f>
        <v>신용찬</v>
      </c>
      <c r="D86" s="10" t="s">
        <v>190</v>
      </c>
      <c r="E86" s="10" t="s">
        <v>1121</v>
      </c>
      <c r="F86" s="20" t="s">
        <v>1122</v>
      </c>
      <c r="G86" s="10">
        <v>9.0</v>
      </c>
      <c r="H86" s="18">
        <v>169000.0</v>
      </c>
      <c r="I86" s="18">
        <v>1521000.0</v>
      </c>
      <c r="J86" s="10" t="s">
        <v>103</v>
      </c>
      <c r="K86" s="10" t="s">
        <v>146</v>
      </c>
      <c r="L86" s="18">
        <f t="shared" si="6"/>
        <v>0</v>
      </c>
      <c r="M86" s="27"/>
      <c r="N86" s="25"/>
    </row>
    <row r="87" ht="15.75" customHeight="1">
      <c r="A87" s="10" t="s">
        <v>1123</v>
      </c>
      <c r="B87" s="10" t="s">
        <v>628</v>
      </c>
      <c r="C87" s="13" t="str">
        <f t="array" ref="C87">IFERROR(INDEX('간병신청대장'!$B:$B,MATCH($B87,'간병신청대장'!$A:$A,0)),"")</f>
        <v>신용찬</v>
      </c>
      <c r="D87" s="10" t="s">
        <v>204</v>
      </c>
      <c r="E87" s="10" t="s">
        <v>1069</v>
      </c>
      <c r="F87" s="20" t="s">
        <v>1122</v>
      </c>
      <c r="G87" s="10">
        <v>10.0</v>
      </c>
      <c r="H87" s="18">
        <v>169000.0</v>
      </c>
      <c r="I87" s="18">
        <v>1690000.0</v>
      </c>
      <c r="J87" s="10" t="s">
        <v>103</v>
      </c>
      <c r="K87" s="10" t="s">
        <v>146</v>
      </c>
      <c r="L87" s="18">
        <f t="shared" si="6"/>
        <v>0</v>
      </c>
      <c r="M87" s="27"/>
      <c r="N87" s="25"/>
    </row>
    <row r="88" ht="15.75" customHeight="1">
      <c r="A88" s="10" t="s">
        <v>1142</v>
      </c>
      <c r="B88" s="10" t="s">
        <v>628</v>
      </c>
      <c r="C88" s="13" t="str">
        <f t="array" ref="C88">IFERROR(INDEX('간병신청대장'!$B:$B,MATCH($B88,'간병신청대장'!$A:$A,0)),"")</f>
        <v>신용찬</v>
      </c>
      <c r="D88" s="10" t="s">
        <v>149</v>
      </c>
      <c r="E88" s="10" t="s">
        <v>638</v>
      </c>
      <c r="F88" s="20" t="s">
        <v>1152</v>
      </c>
      <c r="G88" s="10">
        <v>10.0</v>
      </c>
      <c r="H88" s="18">
        <v>169000.0</v>
      </c>
      <c r="I88" s="18">
        <v>1690000.0</v>
      </c>
      <c r="J88" s="10" t="s">
        <v>103</v>
      </c>
      <c r="K88" s="10" t="s">
        <v>146</v>
      </c>
      <c r="L88" s="18">
        <f t="shared" si="6"/>
        <v>0</v>
      </c>
      <c r="M88" s="27"/>
      <c r="N88" s="25"/>
    </row>
    <row r="89" ht="15.75" customHeight="1">
      <c r="A89" s="10" t="s">
        <v>1154</v>
      </c>
      <c r="B89" s="10" t="s">
        <v>652</v>
      </c>
      <c r="C89" s="13" t="str">
        <f t="array" ref="C89">IFERROR(INDEX('간병신청대장'!$B:$B,MATCH($B89,'간병신청대장'!$A:$A,0)),"")</f>
        <v>오죽삼</v>
      </c>
      <c r="D89" s="10" t="s">
        <v>95</v>
      </c>
      <c r="E89" s="10" t="s">
        <v>1107</v>
      </c>
      <c r="F89" s="20" t="s">
        <v>660</v>
      </c>
      <c r="G89" s="10">
        <v>10.0</v>
      </c>
      <c r="H89" s="18">
        <v>144000.0</v>
      </c>
      <c r="I89" s="18">
        <v>1440000.0</v>
      </c>
      <c r="J89" s="10" t="s">
        <v>103</v>
      </c>
      <c r="K89" s="10" t="s">
        <v>146</v>
      </c>
      <c r="L89" s="18">
        <f t="shared" si="6"/>
        <v>0</v>
      </c>
      <c r="M89" s="27"/>
      <c r="N89" s="25"/>
    </row>
    <row r="90" ht="15.75" customHeight="1">
      <c r="A90" s="10" t="s">
        <v>1161</v>
      </c>
      <c r="B90" s="10" t="s">
        <v>662</v>
      </c>
      <c r="C90" s="13" t="str">
        <f t="array" ref="C90">IFERROR(INDEX('간병신청대장'!$B:$B,MATCH($B90,'간병신청대장'!$A:$A,0)),"")</f>
        <v>박영희</v>
      </c>
      <c r="D90" s="10" t="s">
        <v>95</v>
      </c>
      <c r="E90" s="10" t="s">
        <v>670</v>
      </c>
      <c r="F90" s="20" t="s">
        <v>660</v>
      </c>
      <c r="G90" s="10">
        <v>6.0</v>
      </c>
      <c r="H90" s="18">
        <v>144000.0</v>
      </c>
      <c r="I90" s="18">
        <v>864000.0</v>
      </c>
      <c r="J90" s="10" t="s">
        <v>103</v>
      </c>
      <c r="K90" s="10" t="s">
        <v>146</v>
      </c>
      <c r="L90" s="18">
        <f t="shared" si="6"/>
        <v>0</v>
      </c>
      <c r="M90" s="27"/>
      <c r="N90" s="25"/>
    </row>
    <row r="91" ht="15.75" customHeight="1">
      <c r="A91" s="10" t="s">
        <v>1169</v>
      </c>
      <c r="B91" s="10" t="s">
        <v>673</v>
      </c>
      <c r="C91" s="13" t="str">
        <f t="array" ref="C91">IFERROR(INDEX('간병신청대장'!$B:$B,MATCH($B91,'간병신청대장'!$A:$A,0)),"")</f>
        <v>조하랑</v>
      </c>
      <c r="D91" s="10" t="s">
        <v>95</v>
      </c>
      <c r="E91" s="10" t="s">
        <v>681</v>
      </c>
      <c r="F91" s="20" t="s">
        <v>660</v>
      </c>
      <c r="G91" s="10">
        <v>2.0</v>
      </c>
      <c r="H91" s="18">
        <v>135000.0</v>
      </c>
      <c r="I91" s="18">
        <v>270000.0</v>
      </c>
      <c r="J91" s="10" t="s">
        <v>103</v>
      </c>
      <c r="K91" s="10" t="s">
        <v>146</v>
      </c>
      <c r="L91" s="18">
        <f t="shared" si="6"/>
        <v>0</v>
      </c>
      <c r="M91" s="27"/>
      <c r="N91" s="25" t="s">
        <v>1187</v>
      </c>
    </row>
    <row r="92" ht="15.75" customHeight="1">
      <c r="A92" s="10" t="s">
        <v>1188</v>
      </c>
      <c r="B92" s="10" t="s">
        <v>683</v>
      </c>
      <c r="C92" s="13" t="str">
        <f t="array" ref="C92">IFERROR(INDEX('간병신청대장'!$B:$B,MATCH($B92,'간병신청대장'!$A:$A,0)),"")</f>
        <v>조하륜</v>
      </c>
      <c r="D92" s="10" t="s">
        <v>95</v>
      </c>
      <c r="E92" s="10" t="s">
        <v>681</v>
      </c>
      <c r="F92" s="20" t="s">
        <v>660</v>
      </c>
      <c r="G92" s="10">
        <v>2.0</v>
      </c>
      <c r="H92" s="18">
        <v>135000.0</v>
      </c>
      <c r="I92" s="18">
        <v>270000.0</v>
      </c>
      <c r="J92" s="10" t="s">
        <v>103</v>
      </c>
      <c r="K92" s="10" t="s">
        <v>146</v>
      </c>
      <c r="L92" s="18">
        <f t="shared" si="6"/>
        <v>0</v>
      </c>
      <c r="M92" s="27"/>
      <c r="N92" s="25"/>
    </row>
    <row r="93" ht="15.75" customHeight="1">
      <c r="A93" s="10" t="s">
        <v>1203</v>
      </c>
      <c r="B93" s="10" t="s">
        <v>692</v>
      </c>
      <c r="C93" s="13" t="str">
        <f t="array" ref="C93">IFERROR(INDEX('간병신청대장'!$B:$B,MATCH($B93,'간병신청대장'!$A:$A,0)),"")</f>
        <v>전영수</v>
      </c>
      <c r="D93" s="10" t="s">
        <v>190</v>
      </c>
      <c r="E93" s="10" t="s">
        <v>703</v>
      </c>
      <c r="F93" s="20" t="s">
        <v>1211</v>
      </c>
      <c r="G93" s="10">
        <v>16.0</v>
      </c>
      <c r="H93" s="18">
        <v>144000.0</v>
      </c>
      <c r="I93" s="18">
        <v>2304000.0</v>
      </c>
      <c r="J93" s="10" t="s">
        <v>103</v>
      </c>
      <c r="K93" s="10" t="s">
        <v>146</v>
      </c>
      <c r="L93" s="18">
        <f t="shared" si="6"/>
        <v>0</v>
      </c>
      <c r="M93" s="27"/>
      <c r="N93" s="25"/>
    </row>
    <row r="94" ht="15.75" customHeight="1">
      <c r="A94" s="10" t="s">
        <v>1212</v>
      </c>
      <c r="B94" s="10" t="s">
        <v>707</v>
      </c>
      <c r="C94" s="13" t="str">
        <f t="array" ref="C94">IFERROR(INDEX('간병신청대장'!$B:$B,MATCH($B94,'간병신청대장'!$A:$A,0)),"")</f>
        <v>고봉석</v>
      </c>
      <c r="D94" s="10" t="s">
        <v>95</v>
      </c>
      <c r="E94" s="10" t="s">
        <v>681</v>
      </c>
      <c r="F94" s="20" t="s">
        <v>1174</v>
      </c>
      <c r="G94" s="10">
        <v>2.0</v>
      </c>
      <c r="H94" s="18">
        <v>144000.0</v>
      </c>
      <c r="I94" s="18">
        <v>288000.0</v>
      </c>
      <c r="J94" s="10" t="s">
        <v>103</v>
      </c>
      <c r="K94" s="10" t="s">
        <v>146</v>
      </c>
      <c r="L94" s="18">
        <f t="shared" si="6"/>
        <v>0</v>
      </c>
      <c r="M94" s="27"/>
      <c r="N94" s="25"/>
    </row>
    <row r="95" ht="15.75" customHeight="1">
      <c r="A95" s="10" t="s">
        <v>1232</v>
      </c>
      <c r="B95" s="10" t="s">
        <v>718</v>
      </c>
      <c r="C95" s="13" t="str">
        <f t="array" ref="C95">IFERROR(INDEX('간병신청대장'!$B:$B,MATCH($B95,'간병신청대장'!$A:$A,0)),"")</f>
        <v>김명수</v>
      </c>
      <c r="D95" s="10" t="s">
        <v>190</v>
      </c>
      <c r="E95" s="10" t="s">
        <v>1233</v>
      </c>
      <c r="F95" s="20" t="s">
        <v>290</v>
      </c>
      <c r="G95" s="10">
        <v>7.0</v>
      </c>
      <c r="H95" s="18">
        <v>144000.0</v>
      </c>
      <c r="I95" s="18">
        <v>1008000.0</v>
      </c>
      <c r="J95" s="10" t="s">
        <v>103</v>
      </c>
      <c r="K95" s="10" t="s">
        <v>146</v>
      </c>
      <c r="L95" s="18">
        <f t="shared" si="6"/>
        <v>0</v>
      </c>
      <c r="M95" s="27"/>
      <c r="N95" s="25"/>
    </row>
    <row r="96" ht="15.75" customHeight="1">
      <c r="A96" s="10" t="s">
        <v>1238</v>
      </c>
      <c r="B96" s="10" t="s">
        <v>727</v>
      </c>
      <c r="C96" s="13" t="str">
        <f t="array" ref="C96">IFERROR(INDEX('간병신청대장'!$B:$B,MATCH($B96,'간병신청대장'!$A:$A,0)),"")</f>
        <v>김명수</v>
      </c>
      <c r="D96" s="10" t="s">
        <v>190</v>
      </c>
      <c r="E96" s="10" t="s">
        <v>732</v>
      </c>
      <c r="F96" s="20" t="s">
        <v>660</v>
      </c>
      <c r="G96" s="10">
        <v>6.0</v>
      </c>
      <c r="H96" s="18">
        <v>144000.0</v>
      </c>
      <c r="I96" s="18">
        <v>864000.0</v>
      </c>
      <c r="J96" s="10" t="s">
        <v>103</v>
      </c>
      <c r="K96" s="10" t="s">
        <v>146</v>
      </c>
      <c r="L96" s="18">
        <f t="shared" si="6"/>
        <v>0</v>
      </c>
      <c r="M96" s="27"/>
      <c r="N96" s="25"/>
    </row>
    <row r="97" ht="15.75" customHeight="1">
      <c r="A97" s="10" t="s">
        <v>1245</v>
      </c>
      <c r="B97" s="10" t="s">
        <v>735</v>
      </c>
      <c r="C97" s="13" t="str">
        <f t="array" ref="C97">IFERROR(INDEX('간병신청대장'!$B:$B,MATCH($B97,'간병신청대장'!$A:$A,0)),"")</f>
        <v>김명수</v>
      </c>
      <c r="D97" s="10" t="s">
        <v>190</v>
      </c>
      <c r="E97" s="10" t="s">
        <v>303</v>
      </c>
      <c r="F97" s="20" t="s">
        <v>192</v>
      </c>
      <c r="G97" s="10">
        <v>6.0</v>
      </c>
      <c r="H97" s="18">
        <v>144000.0</v>
      </c>
      <c r="I97" s="18">
        <v>864000.0</v>
      </c>
      <c r="J97" s="10" t="s">
        <v>103</v>
      </c>
      <c r="K97" s="10" t="s">
        <v>146</v>
      </c>
      <c r="L97" s="18">
        <f t="shared" si="6"/>
        <v>0</v>
      </c>
      <c r="M97" s="27"/>
      <c r="N97" s="25"/>
    </row>
    <row r="98" ht="15.75" customHeight="1">
      <c r="A98" s="10" t="s">
        <v>1261</v>
      </c>
      <c r="B98" s="10" t="s">
        <v>735</v>
      </c>
      <c r="C98" s="13" t="str">
        <f t="array" ref="C98">IFERROR(INDEX('간병신청대장'!$B:$B,MATCH($B98,'간병신청대장'!$A:$A,0)),"")</f>
        <v>김명수</v>
      </c>
      <c r="D98" s="10" t="s">
        <v>204</v>
      </c>
      <c r="E98" s="10" t="s">
        <v>710</v>
      </c>
      <c r="F98" s="20" t="s">
        <v>207</v>
      </c>
      <c r="G98" s="10">
        <v>10.0</v>
      </c>
      <c r="H98" s="18">
        <v>144000.0</v>
      </c>
      <c r="I98" s="18">
        <v>1440000.0</v>
      </c>
      <c r="J98" s="10" t="s">
        <v>103</v>
      </c>
      <c r="K98" s="10" t="s">
        <v>146</v>
      </c>
      <c r="L98" s="18">
        <f t="shared" si="6"/>
        <v>0</v>
      </c>
      <c r="M98" s="27"/>
      <c r="N98" s="25"/>
    </row>
    <row r="99" ht="15.75" customHeight="1">
      <c r="A99" s="10" t="s">
        <v>1265</v>
      </c>
      <c r="B99" s="10" t="s">
        <v>754</v>
      </c>
      <c r="C99" s="13" t="str">
        <f t="array" ref="C99">IFERROR(INDEX('간병신청대장'!$B:$B,MATCH($B99,'간병신청대장'!$A:$A,0)),"")</f>
        <v>김명수</v>
      </c>
      <c r="D99" s="10" t="s">
        <v>149</v>
      </c>
      <c r="E99" s="10" t="s">
        <v>1284</v>
      </c>
      <c r="F99" s="20" t="s">
        <v>233</v>
      </c>
      <c r="G99" s="10">
        <v>9.0</v>
      </c>
      <c r="H99" s="18">
        <v>144000.0</v>
      </c>
      <c r="I99" s="18">
        <v>1296000.0</v>
      </c>
      <c r="J99" s="10" t="s">
        <v>103</v>
      </c>
      <c r="K99" s="10" t="s">
        <v>146</v>
      </c>
      <c r="L99" s="18">
        <f t="shared" si="6"/>
        <v>0</v>
      </c>
      <c r="M99" s="27"/>
      <c r="N99" s="25"/>
    </row>
    <row r="100" ht="15.75" customHeight="1">
      <c r="A100" s="10" t="s">
        <v>1287</v>
      </c>
      <c r="B100" s="10" t="s">
        <v>754</v>
      </c>
      <c r="C100" s="13" t="str">
        <f t="array" ref="C100">IFERROR(INDEX('간병신청대장'!$B:$B,MATCH($B100,'간병신청대장'!$A:$A,0)),"")</f>
        <v>김명수</v>
      </c>
      <c r="D100" s="10" t="s">
        <v>238</v>
      </c>
      <c r="E100" s="10" t="s">
        <v>758</v>
      </c>
      <c r="F100" s="20" t="s">
        <v>240</v>
      </c>
      <c r="G100" s="10">
        <v>7.0</v>
      </c>
      <c r="H100" s="18">
        <v>144000.0</v>
      </c>
      <c r="I100" s="18">
        <v>1008000.0</v>
      </c>
      <c r="J100" s="10" t="s">
        <v>103</v>
      </c>
      <c r="K100" s="10" t="s">
        <v>146</v>
      </c>
      <c r="L100" s="18">
        <f t="shared" si="6"/>
        <v>0</v>
      </c>
      <c r="M100" s="27"/>
      <c r="N100" s="25"/>
    </row>
    <row r="101" ht="15.75" customHeight="1">
      <c r="A101" s="10" t="s">
        <v>1292</v>
      </c>
      <c r="B101" s="10" t="s">
        <v>760</v>
      </c>
      <c r="C101" s="13" t="str">
        <f t="array" ref="C101">IFERROR(INDEX('간병신청대장'!$B:$B,MATCH($B101,'간병신청대장'!$A:$A,0)),"")</f>
        <v>김명수</v>
      </c>
      <c r="D101" s="10" t="s">
        <v>261</v>
      </c>
      <c r="E101" s="10" t="s">
        <v>1302</v>
      </c>
      <c r="F101" s="20" t="s">
        <v>264</v>
      </c>
      <c r="G101" s="10">
        <v>13.0</v>
      </c>
      <c r="H101" s="18">
        <v>144000.0</v>
      </c>
      <c r="I101" s="18">
        <v>1872000.0</v>
      </c>
      <c r="J101" s="10" t="s">
        <v>103</v>
      </c>
      <c r="K101" s="10" t="s">
        <v>146</v>
      </c>
      <c r="L101" s="18">
        <f t="shared" si="6"/>
        <v>0</v>
      </c>
      <c r="M101" s="27"/>
      <c r="N101" s="25"/>
    </row>
    <row r="102" ht="15.75" customHeight="1">
      <c r="A102" s="10" t="s">
        <v>1307</v>
      </c>
      <c r="B102" s="10" t="s">
        <v>760</v>
      </c>
      <c r="C102" s="13" t="str">
        <f t="array" ref="C102">IFERROR(INDEX('간병신청대장'!$B:$B,MATCH($B102,'간병신청대장'!$A:$A,0)),"")</f>
        <v>김명수</v>
      </c>
      <c r="D102" s="10" t="s">
        <v>266</v>
      </c>
      <c r="E102" s="10" t="s">
        <v>766</v>
      </c>
      <c r="F102" s="20" t="s">
        <v>1319</v>
      </c>
      <c r="G102" s="10">
        <v>3.0</v>
      </c>
      <c r="H102" s="18">
        <v>144000.0</v>
      </c>
      <c r="I102" s="18">
        <v>432000.0</v>
      </c>
      <c r="J102" s="10" t="s">
        <v>103</v>
      </c>
      <c r="K102" s="10" t="s">
        <v>146</v>
      </c>
      <c r="L102" s="18">
        <f t="shared" si="6"/>
        <v>0</v>
      </c>
      <c r="M102" s="27"/>
      <c r="N102" s="25"/>
    </row>
    <row r="103" ht="15.75" customHeight="1">
      <c r="A103" s="10" t="s">
        <v>1320</v>
      </c>
      <c r="B103" s="10" t="s">
        <v>768</v>
      </c>
      <c r="C103" s="13" t="str">
        <f t="array" ref="C103">IFERROR(INDEX('간병신청대장'!$B:$B,MATCH($B103,'간병신청대장'!$A:$A,0)),"")</f>
        <v>김명수</v>
      </c>
      <c r="D103" s="10" t="s">
        <v>266</v>
      </c>
      <c r="E103" s="20" t="s">
        <v>1339</v>
      </c>
      <c r="F103" s="20" t="s">
        <v>269</v>
      </c>
      <c r="G103" s="10">
        <v>6.0</v>
      </c>
      <c r="H103" s="18">
        <v>144000.0</v>
      </c>
      <c r="I103" s="18">
        <v>864000.0</v>
      </c>
      <c r="J103" s="10" t="s">
        <v>103</v>
      </c>
      <c r="K103" s="10" t="s">
        <v>146</v>
      </c>
      <c r="L103" s="18">
        <f t="shared" si="6"/>
        <v>0</v>
      </c>
      <c r="M103" s="27"/>
      <c r="N103" s="25"/>
    </row>
    <row r="104" ht="15.75" customHeight="1">
      <c r="A104" s="10" t="s">
        <v>1340</v>
      </c>
      <c r="B104" s="10" t="s">
        <v>768</v>
      </c>
      <c r="C104" s="13" t="str">
        <f t="array" ref="C104">IFERROR(INDEX('간병신청대장'!$B:$B,MATCH($B104,'간병신청대장'!$A:$A,0)),"")</f>
        <v>김명수</v>
      </c>
      <c r="D104" s="10" t="s">
        <v>281</v>
      </c>
      <c r="E104" s="10" t="s">
        <v>774</v>
      </c>
      <c r="F104" s="20" t="s">
        <v>791</v>
      </c>
      <c r="G104" s="10">
        <v>9.0</v>
      </c>
      <c r="H104" s="8">
        <v>144000.0</v>
      </c>
      <c r="I104" s="8">
        <v>1296000.0</v>
      </c>
      <c r="J104" s="20" t="s">
        <v>103</v>
      </c>
      <c r="K104" s="20" t="s">
        <v>146</v>
      </c>
      <c r="L104" s="18">
        <f t="shared" si="6"/>
        <v>0</v>
      </c>
      <c r="M104" s="23"/>
      <c r="N104" s="34" t="s">
        <v>1345</v>
      </c>
    </row>
    <row r="105" ht="15.75" customHeight="1">
      <c r="A105" s="10" t="s">
        <v>1346</v>
      </c>
      <c r="B105" s="10" t="s">
        <v>776</v>
      </c>
      <c r="C105" s="13" t="str">
        <f t="array" ref="C105">IFERROR(INDEX('간병신청대장'!$B:$B,MATCH($B105,'간병신청대장'!$A:$A,0)),"")</f>
        <v>마율하</v>
      </c>
      <c r="D105" s="10" t="s">
        <v>95</v>
      </c>
      <c r="E105" s="10" t="s">
        <v>784</v>
      </c>
      <c r="F105" s="20" t="s">
        <v>290</v>
      </c>
      <c r="G105" s="10">
        <v>9.0</v>
      </c>
      <c r="H105" s="18">
        <v>144000.0</v>
      </c>
      <c r="I105" s="18">
        <v>1296000.0</v>
      </c>
      <c r="J105" s="10" t="s">
        <v>103</v>
      </c>
      <c r="K105" s="10" t="s">
        <v>146</v>
      </c>
      <c r="L105" s="18">
        <f t="shared" si="6"/>
        <v>0</v>
      </c>
      <c r="M105" s="27"/>
      <c r="N105" s="25"/>
    </row>
    <row r="106" ht="15.75" customHeight="1">
      <c r="A106" s="10" t="s">
        <v>1358</v>
      </c>
      <c r="B106" s="10" t="s">
        <v>788</v>
      </c>
      <c r="C106" s="13" t="str">
        <f t="array" ref="C106">IFERROR(INDEX('간병신청대장'!$B:$B,MATCH($B106,'간병신청대장'!$A:$A,0)),"")</f>
        <v>문굉순</v>
      </c>
      <c r="D106" s="10" t="s">
        <v>95</v>
      </c>
      <c r="E106" s="10" t="s">
        <v>376</v>
      </c>
      <c r="F106" s="20" t="s">
        <v>1361</v>
      </c>
      <c r="G106" s="10">
        <v>10.0</v>
      </c>
      <c r="H106" s="18">
        <v>144000.0</v>
      </c>
      <c r="I106" s="18">
        <v>1440000.0</v>
      </c>
      <c r="J106" s="10" t="s">
        <v>103</v>
      </c>
      <c r="K106" s="10" t="s">
        <v>146</v>
      </c>
      <c r="L106" s="18">
        <f t="shared" si="6"/>
        <v>0</v>
      </c>
      <c r="M106" s="27"/>
      <c r="N106" s="25"/>
    </row>
    <row r="107" ht="15.75" customHeight="1">
      <c r="A107" s="10" t="s">
        <v>1362</v>
      </c>
      <c r="B107" s="10" t="s">
        <v>788</v>
      </c>
      <c r="C107" s="13" t="str">
        <f t="array" ref="C107">IFERROR(INDEX('간병신청대장'!$B:$B,MATCH($B107,'간병신청대장'!$A:$A,0)),"")</f>
        <v>문굉순</v>
      </c>
      <c r="D107" s="10" t="s">
        <v>204</v>
      </c>
      <c r="E107" s="10" t="s">
        <v>1373</v>
      </c>
      <c r="F107" s="20" t="s">
        <v>141</v>
      </c>
      <c r="G107" s="10">
        <v>19.0</v>
      </c>
      <c r="H107" s="18">
        <v>144000.0</v>
      </c>
      <c r="I107" s="18">
        <v>2736000.0</v>
      </c>
      <c r="J107" s="10" t="s">
        <v>103</v>
      </c>
      <c r="K107" s="10" t="s">
        <v>146</v>
      </c>
      <c r="L107" s="18">
        <f t="shared" si="6"/>
        <v>0</v>
      </c>
      <c r="M107" s="27"/>
      <c r="N107" s="25"/>
    </row>
    <row r="108" ht="15.75" customHeight="1">
      <c r="A108" s="10" t="s">
        <v>1374</v>
      </c>
      <c r="B108" s="10" t="s">
        <v>788</v>
      </c>
      <c r="C108" s="13" t="str">
        <f t="array" ref="C108">IFERROR(INDEX('간병신청대장'!$B:$B,MATCH($B108,'간병신청대장'!$A:$A,0)),"")</f>
        <v>문굉순</v>
      </c>
      <c r="D108" s="10" t="s">
        <v>149</v>
      </c>
      <c r="E108" s="10" t="s">
        <v>413</v>
      </c>
      <c r="F108" s="20" t="s">
        <v>233</v>
      </c>
      <c r="G108" s="10">
        <v>11.0</v>
      </c>
      <c r="H108" s="18">
        <v>144000.0</v>
      </c>
      <c r="I108" s="18">
        <v>1584000.0</v>
      </c>
      <c r="J108" s="10" t="s">
        <v>103</v>
      </c>
      <c r="K108" s="10" t="s">
        <v>146</v>
      </c>
      <c r="L108" s="18">
        <f t="shared" si="6"/>
        <v>0</v>
      </c>
      <c r="M108" s="27"/>
      <c r="N108" s="25"/>
    </row>
    <row r="109" ht="15.75" customHeight="1">
      <c r="A109" s="10" t="s">
        <v>1382</v>
      </c>
      <c r="B109" s="10" t="s">
        <v>788</v>
      </c>
      <c r="C109" s="13" t="str">
        <f t="array" ref="C109">IFERROR(INDEX('간병신청대장'!$B:$B,MATCH($B109,'간병신청대장'!$A:$A,0)),"")</f>
        <v>문굉순</v>
      </c>
      <c r="D109" s="10" t="s">
        <v>238</v>
      </c>
      <c r="E109" s="10" t="s">
        <v>420</v>
      </c>
      <c r="F109" s="20" t="s">
        <v>240</v>
      </c>
      <c r="G109" s="10">
        <v>10.0</v>
      </c>
      <c r="H109" s="18">
        <v>144000.0</v>
      </c>
      <c r="I109" s="18">
        <v>1440000.0</v>
      </c>
      <c r="J109" s="10" t="s">
        <v>103</v>
      </c>
      <c r="K109" s="10" t="s">
        <v>146</v>
      </c>
      <c r="L109" s="18">
        <f t="shared" si="6"/>
        <v>0</v>
      </c>
      <c r="M109" s="27"/>
      <c r="N109" s="25"/>
    </row>
    <row r="110" ht="15.75" customHeight="1">
      <c r="A110" s="10" t="s">
        <v>1394</v>
      </c>
      <c r="B110" s="10" t="s">
        <v>788</v>
      </c>
      <c r="C110" s="13" t="str">
        <f t="array" ref="C110">IFERROR(INDEX('간병신청대장'!$B:$B,MATCH($B110,'간병신청대장'!$A:$A,0)),"")</f>
        <v>문굉순</v>
      </c>
      <c r="D110" s="10" t="s">
        <v>261</v>
      </c>
      <c r="E110" s="10" t="s">
        <v>437</v>
      </c>
      <c r="F110" s="20" t="s">
        <v>264</v>
      </c>
      <c r="G110" s="10">
        <v>11.0</v>
      </c>
      <c r="H110" s="18">
        <v>144000.0</v>
      </c>
      <c r="I110" s="18">
        <v>1584000.0</v>
      </c>
      <c r="J110" s="10" t="s">
        <v>103</v>
      </c>
      <c r="K110" s="10" t="s">
        <v>146</v>
      </c>
      <c r="L110" s="18">
        <f t="shared" si="6"/>
        <v>0</v>
      </c>
      <c r="M110" s="27"/>
      <c r="N110" s="25"/>
    </row>
    <row r="111" ht="15.75" customHeight="1">
      <c r="A111" s="10" t="s">
        <v>1402</v>
      </c>
      <c r="B111" s="10" t="s">
        <v>788</v>
      </c>
      <c r="C111" s="13" t="str">
        <f t="array" ref="C111">IFERROR(INDEX('간병신청대장'!$B:$B,MATCH($B111,'간병신청대장'!$A:$A,0)),"")</f>
        <v>문굉순</v>
      </c>
      <c r="D111" s="10" t="s">
        <v>266</v>
      </c>
      <c r="E111" s="10" t="s">
        <v>1405</v>
      </c>
      <c r="F111" s="20" t="s">
        <v>269</v>
      </c>
      <c r="G111" s="10">
        <v>10.0</v>
      </c>
      <c r="H111" s="18">
        <v>144000.0</v>
      </c>
      <c r="I111" s="18">
        <v>1440000.0</v>
      </c>
      <c r="J111" s="10" t="s">
        <v>103</v>
      </c>
      <c r="K111" s="10" t="s">
        <v>146</v>
      </c>
      <c r="L111" s="18">
        <f t="shared" si="6"/>
        <v>0</v>
      </c>
      <c r="M111" s="27"/>
      <c r="N111" s="25"/>
    </row>
    <row r="112" ht="15.75" customHeight="1">
      <c r="A112" s="10" t="s">
        <v>1406</v>
      </c>
      <c r="B112" s="10" t="s">
        <v>788</v>
      </c>
      <c r="C112" s="13" t="str">
        <f t="array" ref="C112">IFERROR(INDEX('간병신청대장'!$B:$B,MATCH($B112,'간병신청대장'!$A:$A,0)),"")</f>
        <v>문굉순</v>
      </c>
      <c r="D112" s="10" t="s">
        <v>281</v>
      </c>
      <c r="E112" s="10" t="s">
        <v>1417</v>
      </c>
      <c r="F112" s="20" t="s">
        <v>557</v>
      </c>
      <c r="G112" s="10">
        <v>10.0</v>
      </c>
      <c r="H112" s="18">
        <v>144000.0</v>
      </c>
      <c r="I112" s="18">
        <v>1440000.0</v>
      </c>
      <c r="J112" s="10" t="s">
        <v>103</v>
      </c>
      <c r="K112" s="10" t="s">
        <v>146</v>
      </c>
      <c r="L112" s="18">
        <f t="shared" si="6"/>
        <v>0</v>
      </c>
      <c r="M112" s="27"/>
      <c r="N112" s="25"/>
    </row>
    <row r="113" ht="15.75" customHeight="1">
      <c r="A113" s="10" t="s">
        <v>1418</v>
      </c>
      <c r="B113" s="10" t="s">
        <v>788</v>
      </c>
      <c r="C113" s="13" t="str">
        <f t="array" ref="C113">IFERROR(INDEX('간병신청대장'!$B:$B,MATCH($B113,'간병신청대장'!$A:$A,0)),"")</f>
        <v>문굉순</v>
      </c>
      <c r="D113" s="10" t="s">
        <v>567</v>
      </c>
      <c r="E113" s="10" t="s">
        <v>1427</v>
      </c>
      <c r="F113" s="20" t="s">
        <v>569</v>
      </c>
      <c r="G113" s="10">
        <v>10.0</v>
      </c>
      <c r="H113" s="18">
        <v>144000.0</v>
      </c>
      <c r="I113" s="18">
        <v>1440000.0</v>
      </c>
      <c r="J113" s="10" t="s">
        <v>103</v>
      </c>
      <c r="K113" s="10" t="s">
        <v>146</v>
      </c>
      <c r="L113" s="18">
        <f t="shared" si="6"/>
        <v>0</v>
      </c>
      <c r="M113" s="27"/>
      <c r="N113" s="25"/>
    </row>
    <row r="114" ht="15.75" customHeight="1">
      <c r="A114" s="10" t="s">
        <v>1428</v>
      </c>
      <c r="B114" s="10" t="s">
        <v>788</v>
      </c>
      <c r="C114" s="13" t="str">
        <f t="array" ref="C114">IFERROR(INDEX('간병신청대장'!$B:$B,MATCH($B114,'간병신청대장'!$A:$A,0)),"")</f>
        <v>문굉순</v>
      </c>
      <c r="D114" s="10" t="s">
        <v>592</v>
      </c>
      <c r="E114" s="10" t="s">
        <v>1435</v>
      </c>
      <c r="F114" s="20" t="s">
        <v>595</v>
      </c>
      <c r="G114" s="10">
        <v>10.0</v>
      </c>
      <c r="H114" s="8">
        <v>144000.0</v>
      </c>
      <c r="I114" s="8">
        <v>1440000.0</v>
      </c>
      <c r="J114" s="20" t="s">
        <v>103</v>
      </c>
      <c r="K114" s="20" t="s">
        <v>146</v>
      </c>
      <c r="L114" s="18"/>
      <c r="M114" s="27"/>
      <c r="N114" s="25"/>
    </row>
    <row r="115" ht="15.75" customHeight="1">
      <c r="A115" s="10" t="s">
        <v>1437</v>
      </c>
      <c r="B115" s="10" t="s">
        <v>788</v>
      </c>
      <c r="C115" s="13" t="str">
        <f t="array" ref="C115">IFERROR(INDEX('간병신청대장'!$B:$B,MATCH($B115,'간병신청대장'!$A:$A,0)),"")</f>
        <v>문굉순</v>
      </c>
      <c r="D115" s="10" t="s">
        <v>112</v>
      </c>
      <c r="E115" s="10" t="s">
        <v>1457</v>
      </c>
      <c r="F115" s="20" t="s">
        <v>113</v>
      </c>
      <c r="G115" s="20">
        <v>6.0</v>
      </c>
      <c r="H115" s="8">
        <v>144000.0</v>
      </c>
      <c r="I115" s="8">
        <v>864000.0</v>
      </c>
      <c r="J115" s="20" t="s">
        <v>103</v>
      </c>
      <c r="K115" s="20" t="s">
        <v>146</v>
      </c>
      <c r="L115" s="18"/>
      <c r="M115" s="23"/>
      <c r="N115" s="26" t="s">
        <v>1458</v>
      </c>
    </row>
    <row r="116" ht="15.75" customHeight="1">
      <c r="A116" s="10" t="s">
        <v>1459</v>
      </c>
      <c r="B116" s="10" t="s">
        <v>802</v>
      </c>
      <c r="C116" s="13" t="str">
        <f t="array" ref="C116">IFERROR(INDEX('간병신청대장'!$B:$B,MATCH($B116,'간병신청대장'!$A:$A,0)),"")</f>
        <v>이지연</v>
      </c>
      <c r="D116" s="10" t="s">
        <v>95</v>
      </c>
      <c r="E116" s="10" t="s">
        <v>811</v>
      </c>
      <c r="F116" s="20" t="s">
        <v>1174</v>
      </c>
      <c r="G116" s="10">
        <v>15.0</v>
      </c>
      <c r="H116" s="18">
        <v>169000.0</v>
      </c>
      <c r="I116" s="18">
        <v>2535000.0</v>
      </c>
      <c r="J116" s="10" t="s">
        <v>103</v>
      </c>
      <c r="K116" s="10" t="s">
        <v>146</v>
      </c>
      <c r="L116" s="18">
        <f t="shared" ref="L116:L487" si="7">IF($K116="미확인",IF($G116="",0,$G116*$H116),0)</f>
        <v>0</v>
      </c>
      <c r="M116" s="27"/>
      <c r="N116" s="25"/>
    </row>
    <row r="117" ht="15.75" customHeight="1">
      <c r="A117" s="10" t="s">
        <v>1471</v>
      </c>
      <c r="B117" s="10" t="s">
        <v>814</v>
      </c>
      <c r="C117" s="13" t="str">
        <f t="array" ref="C117">IFERROR(INDEX('간병신청대장'!$B:$B,MATCH($B117,'간병신청대장'!$A:$A,0)),"")</f>
        <v>고원석</v>
      </c>
      <c r="D117" s="10" t="s">
        <v>95</v>
      </c>
      <c r="E117" s="10" t="s">
        <v>658</v>
      </c>
      <c r="F117" s="20" t="s">
        <v>290</v>
      </c>
      <c r="G117" s="10">
        <v>7.0</v>
      </c>
      <c r="H117" s="18">
        <v>144000.0</v>
      </c>
      <c r="I117" s="18">
        <v>1008000.0</v>
      </c>
      <c r="J117" s="10" t="s">
        <v>103</v>
      </c>
      <c r="K117" s="10" t="s">
        <v>146</v>
      </c>
      <c r="L117" s="18">
        <f t="shared" si="7"/>
        <v>0</v>
      </c>
      <c r="M117" s="27"/>
      <c r="N117" s="25"/>
    </row>
    <row r="118" ht="15.75" customHeight="1">
      <c r="A118" s="10" t="s">
        <v>1485</v>
      </c>
      <c r="B118" s="10" t="s">
        <v>846</v>
      </c>
      <c r="C118" s="13" t="str">
        <f t="array" ref="C118">IFERROR(INDEX('간병신청대장'!$B:$B,MATCH($B118,'간병신청대장'!$A:$A,0)),"")</f>
        <v>조용운</v>
      </c>
      <c r="D118" s="10" t="s">
        <v>95</v>
      </c>
      <c r="E118" s="10" t="s">
        <v>1497</v>
      </c>
      <c r="F118" s="20" t="s">
        <v>290</v>
      </c>
      <c r="G118" s="10">
        <v>5.0</v>
      </c>
      <c r="H118" s="18">
        <v>144000.0</v>
      </c>
      <c r="I118" s="18">
        <v>720000.0</v>
      </c>
      <c r="J118" s="10" t="s">
        <v>103</v>
      </c>
      <c r="K118" s="10" t="s">
        <v>146</v>
      </c>
      <c r="L118" s="18">
        <f t="shared" si="7"/>
        <v>0</v>
      </c>
      <c r="M118" s="27"/>
      <c r="N118" s="25"/>
    </row>
    <row r="119" ht="15.75" customHeight="1">
      <c r="A119" s="10" t="s">
        <v>1498</v>
      </c>
      <c r="B119" s="10" t="s">
        <v>852</v>
      </c>
      <c r="C119" s="13" t="str">
        <f t="array" ref="C119">IFERROR(INDEX('간병신청대장'!$B:$B,MATCH($B119,'간병신청대장'!$A:$A,0)),"")</f>
        <v>조용운</v>
      </c>
      <c r="D119" s="10" t="s">
        <v>204</v>
      </c>
      <c r="E119" s="10" t="s">
        <v>1508</v>
      </c>
      <c r="F119" s="20" t="s">
        <v>192</v>
      </c>
      <c r="G119" s="10">
        <v>12.0</v>
      </c>
      <c r="H119" s="18">
        <v>144000.0</v>
      </c>
      <c r="I119" s="18">
        <v>1728000.0</v>
      </c>
      <c r="J119" s="10" t="s">
        <v>103</v>
      </c>
      <c r="K119" s="10" t="s">
        <v>146</v>
      </c>
      <c r="L119" s="18">
        <f t="shared" si="7"/>
        <v>0</v>
      </c>
      <c r="M119" s="27"/>
      <c r="N119" s="25"/>
    </row>
    <row r="120" ht="15.75" customHeight="1">
      <c r="A120" s="10" t="s">
        <v>1513</v>
      </c>
      <c r="B120" s="10" t="s">
        <v>861</v>
      </c>
      <c r="C120" s="13" t="str">
        <f t="array" ref="C120">IFERROR(INDEX('간병신청대장'!$B:$B,MATCH($B120,'간병신청대장'!$A:$A,0)),"")</f>
        <v>조용운</v>
      </c>
      <c r="D120" s="10" t="s">
        <v>149</v>
      </c>
      <c r="E120" s="10" t="s">
        <v>705</v>
      </c>
      <c r="F120" s="20" t="s">
        <v>141</v>
      </c>
      <c r="G120" s="10">
        <v>2.0</v>
      </c>
      <c r="H120" s="18">
        <v>144000.0</v>
      </c>
      <c r="I120" s="18">
        <v>288000.0</v>
      </c>
      <c r="J120" s="10" t="s">
        <v>103</v>
      </c>
      <c r="K120" s="10" t="s">
        <v>146</v>
      </c>
      <c r="L120" s="18">
        <f t="shared" si="7"/>
        <v>0</v>
      </c>
      <c r="M120" s="27"/>
      <c r="N120" s="25"/>
    </row>
    <row r="121" ht="15.75" customHeight="1">
      <c r="A121" s="10" t="s">
        <v>1518</v>
      </c>
      <c r="B121" s="10" t="s">
        <v>874</v>
      </c>
      <c r="C121" s="13" t="str">
        <f t="array" ref="C121">IFERROR(INDEX('간병신청대장'!$B:$B,MATCH($B121,'간병신청대장'!$A:$A,0)),"")</f>
        <v>조용운</v>
      </c>
      <c r="D121" s="10" t="s">
        <v>149</v>
      </c>
      <c r="E121" s="10" t="s">
        <v>879</v>
      </c>
      <c r="F121" s="20" t="s">
        <v>233</v>
      </c>
      <c r="G121" s="10">
        <v>15.0</v>
      </c>
      <c r="H121" s="18">
        <v>144000.0</v>
      </c>
      <c r="I121" s="18">
        <v>2160000.0</v>
      </c>
      <c r="J121" s="10" t="s">
        <v>103</v>
      </c>
      <c r="K121" s="10" t="s">
        <v>146</v>
      </c>
      <c r="L121" s="18">
        <f t="shared" si="7"/>
        <v>0</v>
      </c>
      <c r="M121" s="27"/>
      <c r="N121" s="25"/>
    </row>
    <row r="122" ht="15.75" customHeight="1">
      <c r="A122" s="10" t="s">
        <v>1520</v>
      </c>
      <c r="B122" s="10" t="s">
        <v>882</v>
      </c>
      <c r="C122" s="13" t="str">
        <f t="array" ref="C122">IFERROR(INDEX('간병신청대장'!$B:$B,MATCH($B122,'간병신청대장'!$A:$A,0)),"")</f>
        <v>이윤정</v>
      </c>
      <c r="D122" s="10" t="s">
        <v>149</v>
      </c>
      <c r="E122" s="10" t="s">
        <v>890</v>
      </c>
      <c r="F122" s="10"/>
      <c r="G122" s="10">
        <v>5.0</v>
      </c>
      <c r="H122" s="8">
        <v>86000.0</v>
      </c>
      <c r="I122" s="18">
        <f>G122*H122</f>
        <v>430000</v>
      </c>
      <c r="J122" s="10" t="s">
        <v>103</v>
      </c>
      <c r="K122" s="10" t="s">
        <v>146</v>
      </c>
      <c r="L122" s="18">
        <f t="shared" si="7"/>
        <v>0</v>
      </c>
      <c r="M122" s="23"/>
      <c r="N122" s="26" t="s">
        <v>1540</v>
      </c>
    </row>
    <row r="123" ht="15.75" customHeight="1">
      <c r="A123" s="10" t="s">
        <v>1541</v>
      </c>
      <c r="B123" s="10" t="s">
        <v>892</v>
      </c>
      <c r="C123" s="13" t="str">
        <f t="array" ref="C123">IFERROR(INDEX('간병신청대장'!$B:$B,MATCH($B123,'간병신청대장'!$A:$A,0)),"")</f>
        <v>김용신</v>
      </c>
      <c r="D123" s="10" t="s">
        <v>95</v>
      </c>
      <c r="E123" s="10" t="s">
        <v>1552</v>
      </c>
      <c r="F123" s="20" t="s">
        <v>290</v>
      </c>
      <c r="G123" s="10">
        <v>7.0</v>
      </c>
      <c r="H123" s="18">
        <v>140000.0</v>
      </c>
      <c r="I123" s="18">
        <v>980000.0</v>
      </c>
      <c r="J123" s="10" t="s">
        <v>103</v>
      </c>
      <c r="K123" s="10" t="s">
        <v>146</v>
      </c>
      <c r="L123" s="18">
        <f t="shared" si="7"/>
        <v>0</v>
      </c>
      <c r="M123" s="27"/>
      <c r="N123" s="25"/>
    </row>
    <row r="124" ht="15.75" customHeight="1">
      <c r="A124" s="10" t="s">
        <v>1554</v>
      </c>
      <c r="B124" s="10" t="s">
        <v>904</v>
      </c>
      <c r="C124" s="13" t="str">
        <f t="array" ref="C124">IFERROR(INDEX('간병신청대장'!$B:$B,MATCH($B124,'간병신청대장'!$A:$A,0)),"")</f>
        <v>김용신</v>
      </c>
      <c r="D124" s="10" t="s">
        <v>190</v>
      </c>
      <c r="E124" s="10" t="s">
        <v>910</v>
      </c>
      <c r="F124" s="20" t="s">
        <v>1361</v>
      </c>
      <c r="G124" s="10">
        <v>7.0</v>
      </c>
      <c r="H124" s="18">
        <v>140000.0</v>
      </c>
      <c r="I124" s="18">
        <v>980000.0</v>
      </c>
      <c r="J124" s="10" t="s">
        <v>103</v>
      </c>
      <c r="K124" s="10" t="s">
        <v>146</v>
      </c>
      <c r="L124" s="18">
        <f t="shared" si="7"/>
        <v>0</v>
      </c>
      <c r="M124" s="27"/>
      <c r="N124" s="25"/>
    </row>
    <row r="125" ht="15.75" customHeight="1">
      <c r="A125" s="10" t="s">
        <v>1574</v>
      </c>
      <c r="B125" s="10" t="s">
        <v>913</v>
      </c>
      <c r="C125" s="13" t="str">
        <f t="array" ref="C125">IFERROR(INDEX('간병신청대장'!$B:$B,MATCH($B125,'간병신청대장'!$A:$A,0)),"")</f>
        <v>김용신</v>
      </c>
      <c r="D125" s="10" t="s">
        <v>149</v>
      </c>
      <c r="E125" s="10" t="s">
        <v>527</v>
      </c>
      <c r="F125" s="20" t="s">
        <v>233</v>
      </c>
      <c r="G125" s="10">
        <v>7.0</v>
      </c>
      <c r="H125" s="18">
        <v>140000.0</v>
      </c>
      <c r="I125" s="18">
        <v>980000.0</v>
      </c>
      <c r="J125" s="10" t="s">
        <v>103</v>
      </c>
      <c r="K125" s="10" t="s">
        <v>146</v>
      </c>
      <c r="L125" s="18">
        <f t="shared" si="7"/>
        <v>0</v>
      </c>
      <c r="M125" s="27"/>
      <c r="N125" s="25"/>
    </row>
    <row r="126" ht="15.75" customHeight="1">
      <c r="A126" s="10" t="s">
        <v>1584</v>
      </c>
      <c r="B126" s="10" t="s">
        <v>923</v>
      </c>
      <c r="C126" s="13" t="str">
        <f t="array" ref="C126">IFERROR(INDEX('간병신청대장'!$B:$B,MATCH($B126,'간병신청대장'!$A:$A,0)),"")</f>
        <v>김용신</v>
      </c>
      <c r="D126" s="10" t="s">
        <v>238</v>
      </c>
      <c r="E126" s="10" t="s">
        <v>933</v>
      </c>
      <c r="F126" s="20" t="s">
        <v>1602</v>
      </c>
      <c r="G126" s="10">
        <v>12.0</v>
      </c>
      <c r="H126" s="18">
        <v>140000.0</v>
      </c>
      <c r="I126" s="18">
        <v>1680000.0</v>
      </c>
      <c r="J126" s="10" t="s">
        <v>103</v>
      </c>
      <c r="K126" s="10" t="s">
        <v>146</v>
      </c>
      <c r="L126" s="18">
        <f t="shared" si="7"/>
        <v>0</v>
      </c>
      <c r="M126" s="27"/>
      <c r="N126" s="25"/>
    </row>
    <row r="127" ht="15.75" customHeight="1">
      <c r="A127" s="10" t="s">
        <v>1603</v>
      </c>
      <c r="B127" s="10" t="s">
        <v>936</v>
      </c>
      <c r="C127" s="13" t="str">
        <f t="array" ref="C127">IFERROR(INDEX('간병신청대장'!$B:$B,MATCH($B127,'간병신청대장'!$A:$A,0)),"")</f>
        <v>김리아</v>
      </c>
      <c r="D127" s="10" t="s">
        <v>95</v>
      </c>
      <c r="E127" s="10" t="s">
        <v>946</v>
      </c>
      <c r="F127" s="20" t="s">
        <v>290</v>
      </c>
      <c r="G127" s="10">
        <v>3.0</v>
      </c>
      <c r="H127" s="18">
        <v>144000.0</v>
      </c>
      <c r="I127" s="18">
        <v>432000.0</v>
      </c>
      <c r="J127" s="10" t="s">
        <v>103</v>
      </c>
      <c r="K127" s="10" t="s">
        <v>146</v>
      </c>
      <c r="L127" s="18">
        <f t="shared" si="7"/>
        <v>0</v>
      </c>
      <c r="M127" s="27"/>
      <c r="N127" s="25"/>
    </row>
    <row r="128" ht="15.75" customHeight="1">
      <c r="A128" s="10" t="s">
        <v>1616</v>
      </c>
      <c r="B128" s="10" t="s">
        <v>949</v>
      </c>
      <c r="C128" s="13" t="str">
        <f t="array" ref="C128">IFERROR(INDEX('간병신청대장'!$B:$B,MATCH($B128,'간병신청대장'!$A:$A,0)),"")</f>
        <v>나재균</v>
      </c>
      <c r="D128" s="10" t="s">
        <v>95</v>
      </c>
      <c r="E128" s="10" t="s">
        <v>956</v>
      </c>
      <c r="F128" s="20" t="s">
        <v>1361</v>
      </c>
      <c r="G128" s="10">
        <v>10.0</v>
      </c>
      <c r="H128" s="18">
        <v>144000.0</v>
      </c>
      <c r="I128" s="18">
        <v>1440000.0</v>
      </c>
      <c r="J128" s="10" t="s">
        <v>103</v>
      </c>
      <c r="K128" s="10" t="s">
        <v>146</v>
      </c>
      <c r="L128" s="18">
        <f t="shared" si="7"/>
        <v>0</v>
      </c>
      <c r="M128" s="27"/>
      <c r="N128" s="25"/>
    </row>
    <row r="129" ht="15.75" customHeight="1">
      <c r="A129" s="10" t="s">
        <v>1630</v>
      </c>
      <c r="B129" s="10" t="s">
        <v>968</v>
      </c>
      <c r="C129" s="13" t="str">
        <f t="array" ref="C129">IFERROR(INDEX('간병신청대장'!$B:$B,MATCH($B129,'간병신청대장'!$A:$A,0)),"")</f>
        <v>최경희</v>
      </c>
      <c r="D129" s="10" t="s">
        <v>95</v>
      </c>
      <c r="E129" s="10" t="s">
        <v>977</v>
      </c>
      <c r="F129" s="20" t="s">
        <v>1361</v>
      </c>
      <c r="G129" s="20">
        <v>5.0</v>
      </c>
      <c r="H129" s="18">
        <v>144000.0</v>
      </c>
      <c r="I129" s="18">
        <f t="shared" ref="I129:I139" si="8">G129*H129</f>
        <v>720000</v>
      </c>
      <c r="J129" s="10" t="s">
        <v>103</v>
      </c>
      <c r="K129" s="10" t="s">
        <v>146</v>
      </c>
      <c r="L129" s="18">
        <f t="shared" si="7"/>
        <v>0</v>
      </c>
      <c r="M129" s="27"/>
      <c r="N129" s="25"/>
    </row>
    <row r="130" ht="15.75" customHeight="1">
      <c r="A130" s="10" t="s">
        <v>1642</v>
      </c>
      <c r="B130" s="10" t="s">
        <v>1011</v>
      </c>
      <c r="C130" s="13" t="str">
        <f t="array" ref="C130">IFERROR(INDEX('간병신청대장'!$B:$B,MATCH($B130,'간병신청대장'!$A:$A,0)),"")</f>
        <v>최경희</v>
      </c>
      <c r="D130" s="10" t="s">
        <v>238</v>
      </c>
      <c r="E130" s="10" t="s">
        <v>1650</v>
      </c>
      <c r="F130" s="20" t="s">
        <v>240</v>
      </c>
      <c r="G130" s="10">
        <v>11.0</v>
      </c>
      <c r="H130" s="18">
        <v>144000.0</v>
      </c>
      <c r="I130" s="18">
        <f t="shared" si="8"/>
        <v>1584000</v>
      </c>
      <c r="J130" s="10" t="s">
        <v>103</v>
      </c>
      <c r="K130" s="10" t="s">
        <v>146</v>
      </c>
      <c r="L130" s="18">
        <f t="shared" si="7"/>
        <v>0</v>
      </c>
      <c r="M130" s="27"/>
      <c r="N130" s="25"/>
    </row>
    <row r="131" ht="15.75" customHeight="1">
      <c r="A131" s="10" t="s">
        <v>1652</v>
      </c>
      <c r="B131" s="10" t="s">
        <v>1011</v>
      </c>
      <c r="C131" s="13" t="str">
        <f t="array" ref="C131">IFERROR(INDEX('간병신청대장'!$B:$B,MATCH($B131,'간병신청대장'!$A:$A,0)),"")</f>
        <v>최경희</v>
      </c>
      <c r="D131" s="10" t="s">
        <v>261</v>
      </c>
      <c r="E131" s="10" t="s">
        <v>1659</v>
      </c>
      <c r="F131" s="20" t="s">
        <v>264</v>
      </c>
      <c r="G131" s="10">
        <v>11.0</v>
      </c>
      <c r="H131" s="18">
        <v>144000.0</v>
      </c>
      <c r="I131" s="18">
        <f t="shared" si="8"/>
        <v>1584000</v>
      </c>
      <c r="J131" s="10" t="s">
        <v>103</v>
      </c>
      <c r="K131" s="10" t="s">
        <v>146</v>
      </c>
      <c r="L131" s="18">
        <f t="shared" si="7"/>
        <v>0</v>
      </c>
      <c r="M131" s="27"/>
      <c r="N131" s="25"/>
    </row>
    <row r="132" ht="15.75" customHeight="1">
      <c r="A132" s="10" t="s">
        <v>1668</v>
      </c>
      <c r="B132" s="10" t="s">
        <v>1011</v>
      </c>
      <c r="C132" s="13" t="str">
        <f t="array" ref="C132">IFERROR(INDEX('간병신청대장'!$B:$B,MATCH($B132,'간병신청대장'!$A:$A,0)),"")</f>
        <v>최경희</v>
      </c>
      <c r="D132" s="10" t="s">
        <v>266</v>
      </c>
      <c r="E132" s="10" t="s">
        <v>1020</v>
      </c>
      <c r="F132" s="20" t="s">
        <v>1677</v>
      </c>
      <c r="G132" s="10">
        <v>10.0</v>
      </c>
      <c r="H132" s="18">
        <v>144000.0</v>
      </c>
      <c r="I132" s="18">
        <f t="shared" si="8"/>
        <v>1440000</v>
      </c>
      <c r="J132" s="10" t="s">
        <v>103</v>
      </c>
      <c r="K132" s="10" t="s">
        <v>146</v>
      </c>
      <c r="L132" s="18">
        <f t="shared" si="7"/>
        <v>0</v>
      </c>
      <c r="M132" s="27"/>
      <c r="N132" s="25"/>
    </row>
    <row r="133" ht="15.75" customHeight="1">
      <c r="A133" s="10" t="s">
        <v>1680</v>
      </c>
      <c r="B133" s="10" t="s">
        <v>1023</v>
      </c>
      <c r="C133" s="13" t="str">
        <f t="array" ref="C133">IFERROR(INDEX('간병신청대장'!$B:$B,MATCH($B133,'간병신청대장'!$A:$A,0)),"")</f>
        <v>최경희</v>
      </c>
      <c r="D133" s="10" t="s">
        <v>281</v>
      </c>
      <c r="E133" s="10" t="s">
        <v>1033</v>
      </c>
      <c r="F133" s="20" t="s">
        <v>791</v>
      </c>
      <c r="G133" s="10">
        <v>5.0</v>
      </c>
      <c r="H133" s="8">
        <v>144000.0</v>
      </c>
      <c r="I133" s="18">
        <f t="shared" si="8"/>
        <v>720000</v>
      </c>
      <c r="J133" s="10" t="s">
        <v>103</v>
      </c>
      <c r="K133" s="20" t="s">
        <v>146</v>
      </c>
      <c r="L133" s="18">
        <f t="shared" si="7"/>
        <v>0</v>
      </c>
      <c r="M133" s="27"/>
      <c r="N133" s="25"/>
    </row>
    <row r="134" ht="15.75" customHeight="1">
      <c r="A134" s="10" t="s">
        <v>1693</v>
      </c>
      <c r="B134" s="10" t="s">
        <v>1036</v>
      </c>
      <c r="C134" s="13" t="str">
        <f t="array" ref="C134">IFERROR(INDEX('간병신청대장'!$B:$B,MATCH($B134,'간병신청대장'!$A:$A,0)),"")</f>
        <v>최경희</v>
      </c>
      <c r="D134" s="10" t="s">
        <v>567</v>
      </c>
      <c r="E134" s="10" t="s">
        <v>1697</v>
      </c>
      <c r="F134" s="20" t="s">
        <v>569</v>
      </c>
      <c r="G134" s="10">
        <v>7.0</v>
      </c>
      <c r="H134" s="8">
        <v>144000.0</v>
      </c>
      <c r="I134" s="18">
        <f t="shared" si="8"/>
        <v>1008000</v>
      </c>
      <c r="J134" s="10" t="s">
        <v>103</v>
      </c>
      <c r="K134" s="20" t="s">
        <v>146</v>
      </c>
      <c r="L134" s="18">
        <f t="shared" si="7"/>
        <v>0</v>
      </c>
      <c r="M134" s="23"/>
      <c r="N134" s="43"/>
    </row>
    <row r="135" ht="15.75" customHeight="1">
      <c r="A135" s="10" t="s">
        <v>1699</v>
      </c>
      <c r="B135" s="10" t="s">
        <v>1036</v>
      </c>
      <c r="C135" s="13" t="str">
        <f t="array" ref="C135">IFERROR(INDEX('간병신청대장'!$B:$B,MATCH($B135,'간병신청대장'!$A:$A,0)),"")</f>
        <v>최경희</v>
      </c>
      <c r="D135" s="10" t="s">
        <v>592</v>
      </c>
      <c r="E135" s="10" t="s">
        <v>1715</v>
      </c>
      <c r="F135" s="20" t="s">
        <v>595</v>
      </c>
      <c r="G135" s="10">
        <v>8.0</v>
      </c>
      <c r="H135" s="8">
        <v>144000.0</v>
      </c>
      <c r="I135" s="18">
        <f t="shared" si="8"/>
        <v>1152000</v>
      </c>
      <c r="J135" s="10" t="s">
        <v>103</v>
      </c>
      <c r="K135" s="20" t="s">
        <v>146</v>
      </c>
      <c r="L135" s="18">
        <f t="shared" si="7"/>
        <v>0</v>
      </c>
      <c r="M135" s="23"/>
      <c r="N135" s="43"/>
    </row>
    <row r="136" ht="15.75" customHeight="1">
      <c r="A136" s="10" t="s">
        <v>1718</v>
      </c>
      <c r="B136" s="10" t="s">
        <v>1036</v>
      </c>
      <c r="C136" s="13" t="str">
        <f t="array" ref="C136">IFERROR(INDEX('간병신청대장'!$B:$B,MATCH($B136,'간병신청대장'!$A:$A,0)),"")</f>
        <v>최경희</v>
      </c>
      <c r="D136" s="10" t="s">
        <v>112</v>
      </c>
      <c r="E136" s="10" t="s">
        <v>1726</v>
      </c>
      <c r="F136" s="20" t="s">
        <v>113</v>
      </c>
      <c r="G136" s="10">
        <v>6.0</v>
      </c>
      <c r="H136" s="8">
        <v>144000.0</v>
      </c>
      <c r="I136" s="18">
        <f t="shared" si="8"/>
        <v>864000</v>
      </c>
      <c r="J136" s="10" t="s">
        <v>103</v>
      </c>
      <c r="K136" s="20" t="s">
        <v>146</v>
      </c>
      <c r="L136" s="18">
        <f t="shared" si="7"/>
        <v>0</v>
      </c>
      <c r="M136" s="23"/>
      <c r="N136" s="43"/>
    </row>
    <row r="137" ht="15.75" customHeight="1">
      <c r="A137" s="10" t="s">
        <v>1727</v>
      </c>
      <c r="B137" s="10" t="s">
        <v>1036</v>
      </c>
      <c r="C137" s="13" t="str">
        <f t="array" ref="C137">IFERROR(INDEX('간병신청대장'!$B:$B,MATCH($B137,'간병신청대장'!$A:$A,0)),"")</f>
        <v>최경희</v>
      </c>
      <c r="D137" s="10" t="s">
        <v>194</v>
      </c>
      <c r="E137" s="10" t="s">
        <v>1736</v>
      </c>
      <c r="F137" s="20" t="s">
        <v>629</v>
      </c>
      <c r="G137" s="10">
        <v>9.0</v>
      </c>
      <c r="H137" s="8">
        <v>144000.0</v>
      </c>
      <c r="I137" s="18">
        <f t="shared" si="8"/>
        <v>1296000</v>
      </c>
      <c r="J137" s="10" t="s">
        <v>103</v>
      </c>
      <c r="K137" s="20" t="s">
        <v>146</v>
      </c>
      <c r="L137" s="18">
        <f t="shared" si="7"/>
        <v>0</v>
      </c>
      <c r="M137" s="23"/>
      <c r="N137" s="43"/>
    </row>
    <row r="138" ht="15.75" customHeight="1">
      <c r="A138" s="10" t="s">
        <v>1739</v>
      </c>
      <c r="B138" s="10" t="s">
        <v>1036</v>
      </c>
      <c r="C138" s="13" t="str">
        <f t="array" ref="C138">IFERROR(INDEX('간병신청대장'!$B:$B,MATCH($B138,'간병신청대장'!$A:$A,0)),"")</f>
        <v>최경희</v>
      </c>
      <c r="D138" s="10" t="s">
        <v>622</v>
      </c>
      <c r="E138" s="10" t="s">
        <v>1745</v>
      </c>
      <c r="F138" s="20" t="s">
        <v>645</v>
      </c>
      <c r="G138" s="10">
        <v>6.0</v>
      </c>
      <c r="H138" s="8">
        <v>144000.0</v>
      </c>
      <c r="I138" s="18">
        <f t="shared" si="8"/>
        <v>864000</v>
      </c>
      <c r="J138" s="10" t="s">
        <v>103</v>
      </c>
      <c r="K138" s="20" t="s">
        <v>146</v>
      </c>
      <c r="L138" s="18">
        <f t="shared" si="7"/>
        <v>0</v>
      </c>
      <c r="M138" s="23"/>
      <c r="N138" s="34" t="s">
        <v>1748</v>
      </c>
    </row>
    <row r="139" ht="18.75" customHeight="1">
      <c r="A139" s="10" t="s">
        <v>1749</v>
      </c>
      <c r="B139" s="10" t="s">
        <v>1045</v>
      </c>
      <c r="C139" s="13" t="str">
        <f t="array" ref="C139">IFERROR(INDEX('간병신청대장'!$B:$B,MATCH($B139,'간병신청대장'!$A:$A,0)),"")</f>
        <v>고수연</v>
      </c>
      <c r="D139" s="10" t="s">
        <v>266</v>
      </c>
      <c r="E139" s="10" t="s">
        <v>1751</v>
      </c>
      <c r="F139" s="10"/>
      <c r="G139" s="10">
        <v>15.0</v>
      </c>
      <c r="H139" s="8">
        <v>86000.0</v>
      </c>
      <c r="I139" s="18">
        <f t="shared" si="8"/>
        <v>1290000</v>
      </c>
      <c r="J139" s="20" t="s">
        <v>103</v>
      </c>
      <c r="K139" s="20" t="s">
        <v>146</v>
      </c>
      <c r="L139" s="18">
        <f t="shared" si="7"/>
        <v>0</v>
      </c>
      <c r="M139" s="23"/>
      <c r="N139" s="34" t="s">
        <v>1752</v>
      </c>
    </row>
    <row r="140" ht="15.75" customHeight="1">
      <c r="A140" s="10" t="s">
        <v>1755</v>
      </c>
      <c r="B140" s="10" t="s">
        <v>1066</v>
      </c>
      <c r="C140" s="13" t="str">
        <f t="array" ref="C140">IFERROR(INDEX('간병신청대장'!$B:$B,MATCH($B140,'간병신청대장'!$A:$A,0)),"")</f>
        <v>오영숙</v>
      </c>
      <c r="D140" s="10" t="s">
        <v>204</v>
      </c>
      <c r="E140" s="10" t="s">
        <v>1767</v>
      </c>
      <c r="F140" s="20" t="s">
        <v>141</v>
      </c>
      <c r="G140" s="10">
        <v>7.0</v>
      </c>
      <c r="H140" s="18">
        <v>144000.0</v>
      </c>
      <c r="I140" s="18">
        <v>1008000.0</v>
      </c>
      <c r="J140" s="10" t="s">
        <v>103</v>
      </c>
      <c r="K140" s="10" t="s">
        <v>146</v>
      </c>
      <c r="L140" s="18">
        <f t="shared" si="7"/>
        <v>0</v>
      </c>
      <c r="M140" s="27"/>
      <c r="N140" s="25"/>
    </row>
    <row r="141" ht="15.75" customHeight="1">
      <c r="A141" s="10" t="s">
        <v>1768</v>
      </c>
      <c r="B141" s="10" t="s">
        <v>1066</v>
      </c>
      <c r="C141" s="13" t="str">
        <f t="array" ref="C141">IFERROR(INDEX('간병신청대장'!$B:$B,MATCH($B141,'간병신청대장'!$A:$A,0)),"")</f>
        <v>오영숙</v>
      </c>
      <c r="D141" s="10" t="s">
        <v>149</v>
      </c>
      <c r="E141" s="10" t="s">
        <v>1076</v>
      </c>
      <c r="F141" s="20" t="s">
        <v>1776</v>
      </c>
      <c r="G141" s="10">
        <v>5.0</v>
      </c>
      <c r="H141" s="18">
        <v>144000.0</v>
      </c>
      <c r="I141" s="18">
        <v>720000.0</v>
      </c>
      <c r="J141" s="10" t="s">
        <v>103</v>
      </c>
      <c r="K141" s="10" t="s">
        <v>146</v>
      </c>
      <c r="L141" s="18">
        <f t="shared" si="7"/>
        <v>0</v>
      </c>
      <c r="M141" s="27"/>
      <c r="N141" s="25"/>
    </row>
    <row r="142" ht="15.75" customHeight="1">
      <c r="A142" s="10" t="s">
        <v>1777</v>
      </c>
      <c r="B142" s="10" t="s">
        <v>1079</v>
      </c>
      <c r="C142" s="13" t="str">
        <f t="array" ref="C142">IFERROR(INDEX('간병신청대장'!$B:$B,MATCH($B142,'간병신청대장'!$A:$A,0)),"")</f>
        <v>지영희</v>
      </c>
      <c r="D142" s="10" t="s">
        <v>149</v>
      </c>
      <c r="E142" s="10" t="s">
        <v>929</v>
      </c>
      <c r="F142" s="20" t="s">
        <v>233</v>
      </c>
      <c r="G142" s="10">
        <v>14.0</v>
      </c>
      <c r="H142" s="18">
        <v>135000.0</v>
      </c>
      <c r="I142" s="18">
        <v>1890000.0</v>
      </c>
      <c r="J142" s="10" t="s">
        <v>103</v>
      </c>
      <c r="K142" s="10" t="s">
        <v>146</v>
      </c>
      <c r="L142" s="18">
        <f t="shared" si="7"/>
        <v>0</v>
      </c>
      <c r="M142" s="27"/>
      <c r="N142" s="25"/>
    </row>
    <row r="143" ht="15.75" customHeight="1">
      <c r="A143" s="10" t="s">
        <v>1792</v>
      </c>
      <c r="B143" s="10" t="s">
        <v>1079</v>
      </c>
      <c r="C143" s="13" t="str">
        <f t="array" ref="C143">IFERROR(INDEX('간병신청대장'!$B:$B,MATCH($B143,'간병신청대장'!$A:$A,0)),"")</f>
        <v>지영희</v>
      </c>
      <c r="D143" s="10" t="s">
        <v>238</v>
      </c>
      <c r="E143" s="10" t="s">
        <v>414</v>
      </c>
      <c r="F143" s="20" t="s">
        <v>240</v>
      </c>
      <c r="G143" s="10">
        <v>10.0</v>
      </c>
      <c r="H143" s="18">
        <v>135000.0</v>
      </c>
      <c r="I143" s="18">
        <v>1350000.0</v>
      </c>
      <c r="J143" s="10" t="s">
        <v>103</v>
      </c>
      <c r="K143" s="10" t="s">
        <v>146</v>
      </c>
      <c r="L143" s="18">
        <f t="shared" si="7"/>
        <v>0</v>
      </c>
      <c r="M143" s="23"/>
      <c r="N143" s="34" t="s">
        <v>1799</v>
      </c>
    </row>
    <row r="144" ht="15.75" customHeight="1">
      <c r="A144" s="10" t="s">
        <v>1800</v>
      </c>
      <c r="B144" s="10" t="s">
        <v>1079</v>
      </c>
      <c r="C144" s="13" t="str">
        <f t="array" ref="C144">IFERROR(INDEX('간병신청대장'!$B:$B,MATCH($B144,'간병신청대장'!$A:$A,0)),"")</f>
        <v>지영희</v>
      </c>
      <c r="D144" s="10" t="s">
        <v>261</v>
      </c>
      <c r="E144" s="10" t="s">
        <v>763</v>
      </c>
      <c r="F144" s="20" t="s">
        <v>264</v>
      </c>
      <c r="G144" s="10">
        <v>11.0</v>
      </c>
      <c r="H144" s="18">
        <v>135000.0</v>
      </c>
      <c r="I144" s="18">
        <v>1485000.0</v>
      </c>
      <c r="J144" s="10" t="s">
        <v>103</v>
      </c>
      <c r="K144" s="10" t="s">
        <v>146</v>
      </c>
      <c r="L144" s="18">
        <f t="shared" si="7"/>
        <v>0</v>
      </c>
      <c r="M144" s="23"/>
      <c r="N144" s="34" t="s">
        <v>1818</v>
      </c>
    </row>
    <row r="145" ht="15.75" customHeight="1">
      <c r="A145" s="10" t="s">
        <v>1821</v>
      </c>
      <c r="B145" s="10" t="s">
        <v>1079</v>
      </c>
      <c r="C145" s="13" t="str">
        <f t="array" ref="C145">IFERROR(INDEX('간병신청대장'!$B:$B,MATCH($B145,'간병신청대장'!$A:$A,0)),"")</f>
        <v>지영희</v>
      </c>
      <c r="D145" s="10" t="s">
        <v>567</v>
      </c>
      <c r="E145" s="10" t="s">
        <v>1817</v>
      </c>
      <c r="F145" s="20" t="s">
        <v>569</v>
      </c>
      <c r="G145" s="10">
        <v>30.0</v>
      </c>
      <c r="H145" s="8">
        <v>135000.0</v>
      </c>
      <c r="I145" s="18">
        <f t="shared" ref="I145:I146" si="9">G145*H145</f>
        <v>4050000</v>
      </c>
      <c r="J145" s="20" t="s">
        <v>103</v>
      </c>
      <c r="K145" s="20" t="s">
        <v>146</v>
      </c>
      <c r="L145" s="18">
        <f t="shared" si="7"/>
        <v>0</v>
      </c>
      <c r="M145" s="23"/>
      <c r="N145" s="34" t="s">
        <v>1835</v>
      </c>
    </row>
    <row r="146" ht="15.75" customHeight="1">
      <c r="A146" s="10" t="s">
        <v>1836</v>
      </c>
      <c r="B146" s="10" t="s">
        <v>1079</v>
      </c>
      <c r="C146" s="13" t="str">
        <f t="array" ref="C146">IFERROR(INDEX('간병신청대장'!$B:$B,MATCH($B146,'간병신청대장'!$A:$A,0)),"")</f>
        <v>지영희</v>
      </c>
      <c r="D146" s="10" t="s">
        <v>194</v>
      </c>
      <c r="E146" s="10" t="s">
        <v>1846</v>
      </c>
      <c r="F146" s="20" t="s">
        <v>629</v>
      </c>
      <c r="G146" s="10">
        <v>31.0</v>
      </c>
      <c r="H146" s="8">
        <v>135000.0</v>
      </c>
      <c r="I146" s="18">
        <f t="shared" si="9"/>
        <v>4185000</v>
      </c>
      <c r="J146" s="20" t="s">
        <v>103</v>
      </c>
      <c r="K146" s="20" t="s">
        <v>146</v>
      </c>
      <c r="L146" s="18">
        <f t="shared" si="7"/>
        <v>0</v>
      </c>
      <c r="M146" s="23"/>
      <c r="N146" s="34" t="s">
        <v>614</v>
      </c>
    </row>
    <row r="147" ht="15.75" customHeight="1">
      <c r="A147" s="10" t="s">
        <v>1847</v>
      </c>
      <c r="B147" s="10" t="s">
        <v>1100</v>
      </c>
      <c r="C147" s="13" t="str">
        <f t="array" ref="C147">IFERROR(INDEX('간병신청대장'!$B:$B,MATCH($B147,'간병신청대장'!$A:$A,0)),"")</f>
        <v>조순호</v>
      </c>
      <c r="D147" s="10" t="s">
        <v>190</v>
      </c>
      <c r="E147" s="10" t="s">
        <v>1116</v>
      </c>
      <c r="F147" s="20" t="s">
        <v>1175</v>
      </c>
      <c r="G147" s="10">
        <v>5.0</v>
      </c>
      <c r="H147" s="18">
        <v>135000.0</v>
      </c>
      <c r="I147" s="18">
        <v>675000.0</v>
      </c>
      <c r="J147" s="10" t="s">
        <v>103</v>
      </c>
      <c r="K147" s="10" t="s">
        <v>146</v>
      </c>
      <c r="L147" s="18">
        <f t="shared" si="7"/>
        <v>0</v>
      </c>
      <c r="M147" s="27"/>
      <c r="N147" s="25"/>
    </row>
    <row r="148" ht="15.75" customHeight="1">
      <c r="A148" s="10" t="s">
        <v>1861</v>
      </c>
      <c r="B148" s="10" t="s">
        <v>1119</v>
      </c>
      <c r="C148" s="13" t="str">
        <f t="array" ref="C148">IFERROR(INDEX('간병신청대장'!$B:$B,MATCH($B148,'간병신청대장'!$A:$A,0)),"")</f>
        <v>김경재</v>
      </c>
      <c r="D148" s="10" t="s">
        <v>204</v>
      </c>
      <c r="E148" s="10" t="s">
        <v>1132</v>
      </c>
      <c r="F148" s="20" t="s">
        <v>141</v>
      </c>
      <c r="G148" s="10">
        <v>8.0</v>
      </c>
      <c r="H148" s="18">
        <v>144000.0</v>
      </c>
      <c r="I148" s="18">
        <v>1152000.0</v>
      </c>
      <c r="J148" s="10" t="s">
        <v>103</v>
      </c>
      <c r="K148" s="10" t="s">
        <v>146</v>
      </c>
      <c r="L148" s="18">
        <f t="shared" si="7"/>
        <v>0</v>
      </c>
      <c r="M148" s="27"/>
      <c r="N148" s="25"/>
    </row>
    <row r="149" ht="15.75" customHeight="1">
      <c r="A149" s="10" t="s">
        <v>1873</v>
      </c>
      <c r="B149" s="10" t="s">
        <v>1137</v>
      </c>
      <c r="C149" s="13" t="str">
        <f t="array" ref="C149">IFERROR(INDEX('간병신청대장'!$B:$B,MATCH($B149,'간병신청대장'!$A:$A,0)),"")</f>
        <v>최덕순</v>
      </c>
      <c r="D149" s="10" t="s">
        <v>204</v>
      </c>
      <c r="E149" s="10" t="s">
        <v>1147</v>
      </c>
      <c r="F149" s="20" t="s">
        <v>141</v>
      </c>
      <c r="G149" s="10">
        <v>7.0</v>
      </c>
      <c r="H149" s="18">
        <v>129000.0</v>
      </c>
      <c r="I149" s="18">
        <v>903000.0</v>
      </c>
      <c r="J149" s="10" t="s">
        <v>103</v>
      </c>
      <c r="K149" s="10" t="s">
        <v>146</v>
      </c>
      <c r="L149" s="18">
        <f t="shared" si="7"/>
        <v>0</v>
      </c>
      <c r="M149" s="27"/>
      <c r="N149" s="25"/>
    </row>
    <row r="150" ht="15.75" customHeight="1">
      <c r="A150" s="10" t="s">
        <v>1890</v>
      </c>
      <c r="B150" s="10" t="s">
        <v>1150</v>
      </c>
      <c r="C150" s="13" t="str">
        <f t="array" ref="C150">IFERROR(INDEX('간병신청대장'!$B:$B,MATCH($B150,'간병신청대장'!$A:$A,0)),"")</f>
        <v>이영기</v>
      </c>
      <c r="D150" s="10" t="s">
        <v>149</v>
      </c>
      <c r="E150" s="10" t="s">
        <v>1156</v>
      </c>
      <c r="F150" s="20" t="s">
        <v>233</v>
      </c>
      <c r="G150" s="10">
        <v>5.0</v>
      </c>
      <c r="H150" s="18">
        <v>140000.0</v>
      </c>
      <c r="I150" s="18">
        <v>700000.0</v>
      </c>
      <c r="J150" s="10" t="s">
        <v>103</v>
      </c>
      <c r="K150" s="10" t="s">
        <v>146</v>
      </c>
      <c r="L150" s="18">
        <f t="shared" si="7"/>
        <v>0</v>
      </c>
      <c r="M150" s="27"/>
      <c r="N150" s="25"/>
    </row>
    <row r="151" ht="15.75" customHeight="1">
      <c r="A151" s="10" t="s">
        <v>1906</v>
      </c>
      <c r="B151" s="10" t="s">
        <v>1158</v>
      </c>
      <c r="C151" s="13" t="str">
        <f t="array" ref="C151">IFERROR(INDEX('간병신청대장'!$B:$B,MATCH($B151,'간병신청대장'!$A:$A,0)),"")</f>
        <v>정춘영</v>
      </c>
      <c r="D151" s="10" t="s">
        <v>204</v>
      </c>
      <c r="E151" s="10" t="s">
        <v>1165</v>
      </c>
      <c r="F151" s="20" t="s">
        <v>1911</v>
      </c>
      <c r="G151" s="10">
        <v>9.0</v>
      </c>
      <c r="H151" s="18">
        <v>140000.0</v>
      </c>
      <c r="I151" s="18">
        <v>1260000.0</v>
      </c>
      <c r="J151" s="10" t="s">
        <v>103</v>
      </c>
      <c r="K151" s="10" t="s">
        <v>146</v>
      </c>
      <c r="L151" s="18">
        <f t="shared" si="7"/>
        <v>0</v>
      </c>
      <c r="M151" s="27"/>
      <c r="N151" s="25"/>
    </row>
    <row r="152" ht="15.75" customHeight="1">
      <c r="A152" s="10" t="s">
        <v>1915</v>
      </c>
      <c r="B152" s="10" t="s">
        <v>1168</v>
      </c>
      <c r="C152" s="13" t="str">
        <f t="array" ref="C152">IFERROR(INDEX('간병신청대장'!$B:$B,MATCH($B152,'간병신청대장'!$A:$A,0)),"")</f>
        <v>김정은</v>
      </c>
      <c r="D152" s="10" t="s">
        <v>204</v>
      </c>
      <c r="E152" s="10" t="s">
        <v>1175</v>
      </c>
      <c r="F152" s="20" t="s">
        <v>207</v>
      </c>
      <c r="G152" s="10">
        <v>6.0</v>
      </c>
      <c r="H152" s="8">
        <v>86000.0</v>
      </c>
      <c r="I152" s="18">
        <f>G152*H152</f>
        <v>516000</v>
      </c>
      <c r="J152" s="10" t="s">
        <v>103</v>
      </c>
      <c r="K152" s="10" t="s">
        <v>146</v>
      </c>
      <c r="L152" s="18">
        <f t="shared" si="7"/>
        <v>0</v>
      </c>
      <c r="M152" s="27"/>
      <c r="N152" s="25"/>
    </row>
    <row r="153" ht="15.75" customHeight="1">
      <c r="A153" s="10" t="s">
        <v>1919</v>
      </c>
      <c r="B153" s="10" t="s">
        <v>1186</v>
      </c>
      <c r="C153" s="13" t="str">
        <f t="array" ref="C153">IFERROR(INDEX('간병신청대장'!$B:$B,MATCH($B153,'간병신청대장'!$A:$A,0)),"")</f>
        <v>김우현</v>
      </c>
      <c r="D153" s="10" t="s">
        <v>204</v>
      </c>
      <c r="E153" s="10" t="s">
        <v>1199</v>
      </c>
      <c r="F153" s="20" t="s">
        <v>1122</v>
      </c>
      <c r="G153" s="10">
        <v>5.0</v>
      </c>
      <c r="H153" s="18">
        <v>144000.0</v>
      </c>
      <c r="I153" s="18">
        <v>720000.0</v>
      </c>
      <c r="J153" s="10" t="s">
        <v>103</v>
      </c>
      <c r="K153" s="10" t="s">
        <v>146</v>
      </c>
      <c r="L153" s="18">
        <f t="shared" si="7"/>
        <v>0</v>
      </c>
      <c r="M153" s="27"/>
      <c r="N153" s="25"/>
    </row>
    <row r="154" ht="15.75" customHeight="1">
      <c r="A154" s="10" t="s">
        <v>1931</v>
      </c>
      <c r="B154" s="10" t="s">
        <v>1202</v>
      </c>
      <c r="C154" s="13" t="str">
        <f t="array" ref="C154">IFERROR(INDEX('간병신청대장'!$B:$B,MATCH($B154,'간병신청대장'!$A:$A,0)),"")</f>
        <v>이담</v>
      </c>
      <c r="D154" s="10" t="s">
        <v>204</v>
      </c>
      <c r="E154" s="10" t="s">
        <v>1207</v>
      </c>
      <c r="F154" s="20" t="s">
        <v>141</v>
      </c>
      <c r="G154" s="10">
        <v>3.0</v>
      </c>
      <c r="H154" s="18">
        <v>129000.0</v>
      </c>
      <c r="I154" s="18">
        <v>387000.0</v>
      </c>
      <c r="J154" s="10" t="s">
        <v>103</v>
      </c>
      <c r="K154" s="10" t="s">
        <v>146</v>
      </c>
      <c r="L154" s="18">
        <f t="shared" si="7"/>
        <v>0</v>
      </c>
      <c r="M154" s="27"/>
      <c r="N154" s="25"/>
    </row>
    <row r="155" ht="15.75" customHeight="1">
      <c r="A155" s="10" t="s">
        <v>1940</v>
      </c>
      <c r="B155" s="10" t="s">
        <v>1210</v>
      </c>
      <c r="C155" s="13" t="str">
        <f t="array" ref="C155">IFERROR(INDEX('간병신청대장'!$B:$B,MATCH($B155,'간병신청대장'!$A:$A,0)),"")</f>
        <v>김태자</v>
      </c>
      <c r="D155" s="10" t="s">
        <v>204</v>
      </c>
      <c r="E155" s="10" t="s">
        <v>1228</v>
      </c>
      <c r="F155" s="20" t="s">
        <v>141</v>
      </c>
      <c r="G155" s="10">
        <v>7.0</v>
      </c>
      <c r="H155" s="18">
        <v>144000.0</v>
      </c>
      <c r="I155" s="18">
        <v>1008000.0</v>
      </c>
      <c r="J155" s="10" t="s">
        <v>103</v>
      </c>
      <c r="K155" s="10" t="s">
        <v>146</v>
      </c>
      <c r="L155" s="18">
        <f t="shared" si="7"/>
        <v>0</v>
      </c>
      <c r="M155" s="27"/>
      <c r="N155" s="25"/>
    </row>
    <row r="156" ht="15.75" customHeight="1">
      <c r="A156" s="10" t="s">
        <v>1957</v>
      </c>
      <c r="B156" s="10" t="s">
        <v>1231</v>
      </c>
      <c r="C156" s="13" t="str">
        <f t="array" ref="C156">IFERROR(INDEX('간병신청대장'!$B:$B,MATCH($B156,'간병신청대장'!$A:$A,0)),"")</f>
        <v>하덕임</v>
      </c>
      <c r="D156" s="10" t="s">
        <v>149</v>
      </c>
      <c r="E156" s="10" t="s">
        <v>495</v>
      </c>
      <c r="F156" s="20" t="s">
        <v>233</v>
      </c>
      <c r="G156" s="10">
        <v>15.0</v>
      </c>
      <c r="H156" s="18">
        <v>144000.0</v>
      </c>
      <c r="I156" s="18">
        <v>2160000.0</v>
      </c>
      <c r="J156" s="10" t="s">
        <v>103</v>
      </c>
      <c r="K156" s="10" t="s">
        <v>146</v>
      </c>
      <c r="L156" s="18">
        <f t="shared" si="7"/>
        <v>0</v>
      </c>
      <c r="M156" s="27"/>
      <c r="N156" s="25"/>
    </row>
    <row r="157" ht="15.75" customHeight="1">
      <c r="A157" s="10" t="s">
        <v>1964</v>
      </c>
      <c r="B157" s="10" t="s">
        <v>1231</v>
      </c>
      <c r="C157" s="13" t="str">
        <f t="array" ref="C157">IFERROR(INDEX('간병신청대장'!$B:$B,MATCH($B157,'간병신청대장'!$A:$A,0)),"")</f>
        <v>하덕임</v>
      </c>
      <c r="D157" s="10" t="s">
        <v>238</v>
      </c>
      <c r="E157" s="10" t="s">
        <v>1241</v>
      </c>
      <c r="F157" s="20" t="s">
        <v>240</v>
      </c>
      <c r="G157" s="10">
        <v>2.0</v>
      </c>
      <c r="H157" s="18">
        <v>144000.0</v>
      </c>
      <c r="I157" s="18">
        <v>288000.0</v>
      </c>
      <c r="J157" s="10" t="s">
        <v>103</v>
      </c>
      <c r="K157" s="10" t="s">
        <v>146</v>
      </c>
      <c r="L157" s="18">
        <f t="shared" si="7"/>
        <v>0</v>
      </c>
      <c r="M157" s="27"/>
      <c r="N157" s="25"/>
    </row>
    <row r="158" ht="15.75" customHeight="1">
      <c r="A158" s="10" t="s">
        <v>1975</v>
      </c>
      <c r="B158" s="10" t="s">
        <v>1244</v>
      </c>
      <c r="C158" s="13" t="str">
        <f t="array" ref="C158">IFERROR(INDEX('간병신청대장'!$B:$B,MATCH($B158,'간병신청대장'!$A:$A,0)),"")</f>
        <v>문영해</v>
      </c>
      <c r="D158" s="10" t="s">
        <v>204</v>
      </c>
      <c r="E158" s="10" t="s">
        <v>1989</v>
      </c>
      <c r="F158" s="20" t="s">
        <v>141</v>
      </c>
      <c r="G158" s="10">
        <v>6.0</v>
      </c>
      <c r="H158" s="18">
        <v>144000.0</v>
      </c>
      <c r="I158" s="18">
        <v>864000.0</v>
      </c>
      <c r="J158" s="10" t="s">
        <v>103</v>
      </c>
      <c r="K158" s="10" t="s">
        <v>146</v>
      </c>
      <c r="L158" s="18">
        <f t="shared" si="7"/>
        <v>0</v>
      </c>
      <c r="M158" s="27"/>
      <c r="N158" s="25"/>
    </row>
    <row r="159" ht="15.75" customHeight="1">
      <c r="A159" s="10" t="s">
        <v>1992</v>
      </c>
      <c r="B159" s="10" t="s">
        <v>1244</v>
      </c>
      <c r="C159" s="13" t="str">
        <f t="array" ref="C159">IFERROR(INDEX('간병신청대장'!$B:$B,MATCH($B159,'간병신청대장'!$A:$A,0)),"")</f>
        <v>문영해</v>
      </c>
      <c r="D159" s="10" t="s">
        <v>149</v>
      </c>
      <c r="E159" s="10" t="s">
        <v>2001</v>
      </c>
      <c r="F159" s="20" t="s">
        <v>233</v>
      </c>
      <c r="G159" s="10">
        <v>11.0</v>
      </c>
      <c r="H159" s="18">
        <v>144000.0</v>
      </c>
      <c r="I159" s="18">
        <v>1584000.0</v>
      </c>
      <c r="J159" s="10" t="s">
        <v>103</v>
      </c>
      <c r="K159" s="10" t="s">
        <v>146</v>
      </c>
      <c r="L159" s="18">
        <f t="shared" si="7"/>
        <v>0</v>
      </c>
      <c r="M159" s="27"/>
      <c r="N159" s="25"/>
    </row>
    <row r="160" ht="15.75" customHeight="1">
      <c r="A160" s="10" t="s">
        <v>2007</v>
      </c>
      <c r="B160" s="10" t="s">
        <v>1244</v>
      </c>
      <c r="C160" s="13" t="str">
        <f t="array" ref="C160">IFERROR(INDEX('간병신청대장'!$B:$B,MATCH($B160,'간병신청대장'!$A:$A,0)),"")</f>
        <v>문영해</v>
      </c>
      <c r="D160" s="10" t="s">
        <v>238</v>
      </c>
      <c r="E160" s="10" t="s">
        <v>2011</v>
      </c>
      <c r="F160" s="20" t="s">
        <v>240</v>
      </c>
      <c r="G160" s="10">
        <v>10.0</v>
      </c>
      <c r="H160" s="18">
        <v>144000.0</v>
      </c>
      <c r="I160" s="18">
        <v>1440000.0</v>
      </c>
      <c r="J160" s="10" t="s">
        <v>103</v>
      </c>
      <c r="K160" s="10" t="s">
        <v>146</v>
      </c>
      <c r="L160" s="18">
        <f t="shared" si="7"/>
        <v>0</v>
      </c>
      <c r="M160" s="27"/>
      <c r="N160" s="25"/>
    </row>
    <row r="161" ht="15.75" customHeight="1">
      <c r="A161" s="10" t="s">
        <v>2016</v>
      </c>
      <c r="B161" s="10" t="s">
        <v>1244</v>
      </c>
      <c r="C161" s="13" t="str">
        <f t="array" ref="C161">IFERROR(INDEX('간병신청대장'!$B:$B,MATCH($B161,'간병신청대장'!$A:$A,0)),"")</f>
        <v>문영해</v>
      </c>
      <c r="D161" s="10" t="s">
        <v>261</v>
      </c>
      <c r="E161" s="10" t="s">
        <v>2020</v>
      </c>
      <c r="F161" s="20" t="s">
        <v>264</v>
      </c>
      <c r="G161" s="10">
        <v>11.0</v>
      </c>
      <c r="H161" s="18">
        <v>144000.0</v>
      </c>
      <c r="I161" s="18">
        <v>1584000.0</v>
      </c>
      <c r="J161" s="10" t="s">
        <v>103</v>
      </c>
      <c r="K161" s="10" t="s">
        <v>146</v>
      </c>
      <c r="L161" s="18">
        <f t="shared" si="7"/>
        <v>0</v>
      </c>
      <c r="M161" s="27"/>
      <c r="N161" s="25"/>
    </row>
    <row r="162" ht="15.75" customHeight="1">
      <c r="A162" s="10" t="s">
        <v>2024</v>
      </c>
      <c r="B162" s="10" t="s">
        <v>1244</v>
      </c>
      <c r="C162" s="13" t="str">
        <f t="array" ref="C162">IFERROR(INDEX('간병신청대장'!$B:$B,MATCH($B162,'간병신청대장'!$A:$A,0)),"")</f>
        <v>문영해</v>
      </c>
      <c r="D162" s="10" t="s">
        <v>266</v>
      </c>
      <c r="E162" s="10" t="s">
        <v>2036</v>
      </c>
      <c r="F162" s="20" t="s">
        <v>269</v>
      </c>
      <c r="G162" s="10">
        <v>10.0</v>
      </c>
      <c r="H162" s="18">
        <v>144000.0</v>
      </c>
      <c r="I162" s="18">
        <v>1440000.0</v>
      </c>
      <c r="J162" s="10" t="s">
        <v>103</v>
      </c>
      <c r="K162" s="10" t="s">
        <v>146</v>
      </c>
      <c r="L162" s="18">
        <f t="shared" si="7"/>
        <v>0</v>
      </c>
      <c r="M162" s="27"/>
      <c r="N162" s="25"/>
    </row>
    <row r="163" ht="15.75" customHeight="1">
      <c r="A163" s="10" t="s">
        <v>2040</v>
      </c>
      <c r="B163" s="10" t="s">
        <v>1244</v>
      </c>
      <c r="C163" s="13" t="str">
        <f t="array" ref="C163">IFERROR(INDEX('간병신청대장'!$B:$B,MATCH($B163,'간병신청대장'!$A:$A,0)),"")</f>
        <v>문영해</v>
      </c>
      <c r="D163" s="10" t="s">
        <v>281</v>
      </c>
      <c r="E163" s="10" t="s">
        <v>2041</v>
      </c>
      <c r="F163" s="20" t="s">
        <v>557</v>
      </c>
      <c r="G163" s="10">
        <v>10.0</v>
      </c>
      <c r="H163" s="18">
        <v>144000.0</v>
      </c>
      <c r="I163" s="18">
        <v>1440000.0</v>
      </c>
      <c r="J163" s="10" t="s">
        <v>103</v>
      </c>
      <c r="K163" s="10" t="s">
        <v>146</v>
      </c>
      <c r="L163" s="18">
        <f t="shared" si="7"/>
        <v>0</v>
      </c>
      <c r="M163" s="27"/>
      <c r="N163" s="25"/>
    </row>
    <row r="164" ht="15.75" customHeight="1">
      <c r="A164" s="10" t="s">
        <v>2043</v>
      </c>
      <c r="B164" s="10" t="s">
        <v>1244</v>
      </c>
      <c r="C164" s="13" t="str">
        <f t="array" ref="C164">IFERROR(INDEX('간병신청대장'!$B:$B,MATCH($B164,'간병신청대장'!$A:$A,0)),"")</f>
        <v>문영해</v>
      </c>
      <c r="D164" s="10" t="s">
        <v>567</v>
      </c>
      <c r="E164" s="10" t="s">
        <v>2049</v>
      </c>
      <c r="F164" s="20" t="s">
        <v>569</v>
      </c>
      <c r="G164" s="10">
        <v>10.0</v>
      </c>
      <c r="H164" s="8">
        <v>144000.0</v>
      </c>
      <c r="I164" s="18">
        <f t="shared" ref="I164:I168" si="10">G164*H164</f>
        <v>1440000</v>
      </c>
      <c r="J164" s="10" t="s">
        <v>103</v>
      </c>
      <c r="K164" s="20" t="s">
        <v>146</v>
      </c>
      <c r="L164" s="18">
        <f t="shared" si="7"/>
        <v>0</v>
      </c>
      <c r="M164" s="27"/>
      <c r="N164" s="25"/>
    </row>
    <row r="165" ht="15.75" customHeight="1">
      <c r="A165" s="10" t="s">
        <v>2051</v>
      </c>
      <c r="B165" s="10" t="s">
        <v>1244</v>
      </c>
      <c r="C165" s="13" t="str">
        <f t="array" ref="C165">IFERROR(INDEX('간병신청대장'!$B:$B,MATCH($B165,'간병신청대장'!$A:$A,0)),"")</f>
        <v>문영해</v>
      </c>
      <c r="D165" s="10" t="s">
        <v>592</v>
      </c>
      <c r="E165" s="10" t="s">
        <v>1715</v>
      </c>
      <c r="F165" s="20" t="s">
        <v>595</v>
      </c>
      <c r="G165" s="10">
        <v>10.0</v>
      </c>
      <c r="H165" s="8">
        <v>144000.0</v>
      </c>
      <c r="I165" s="18">
        <f t="shared" si="10"/>
        <v>1440000</v>
      </c>
      <c r="J165" s="10" t="s">
        <v>103</v>
      </c>
      <c r="K165" s="20" t="s">
        <v>146</v>
      </c>
      <c r="L165" s="18">
        <f t="shared" si="7"/>
        <v>0</v>
      </c>
      <c r="M165" s="27"/>
      <c r="N165" s="25"/>
    </row>
    <row r="166" ht="15.75" customHeight="1">
      <c r="A166" s="10" t="s">
        <v>2057</v>
      </c>
      <c r="B166" s="10" t="s">
        <v>1244</v>
      </c>
      <c r="C166" s="13" t="str">
        <f t="array" ref="C166">IFERROR(INDEX('간병신청대장'!$B:$B,MATCH($B166,'간병신청대장'!$A:$A,0)),"")</f>
        <v>문영해</v>
      </c>
      <c r="D166" s="10" t="s">
        <v>112</v>
      </c>
      <c r="E166" s="10" t="s">
        <v>1726</v>
      </c>
      <c r="F166" s="20" t="s">
        <v>113</v>
      </c>
      <c r="G166" s="10">
        <v>10.0</v>
      </c>
      <c r="H166" s="8">
        <v>144000.0</v>
      </c>
      <c r="I166" s="18">
        <f t="shared" si="10"/>
        <v>1440000</v>
      </c>
      <c r="J166" s="10" t="s">
        <v>103</v>
      </c>
      <c r="K166" s="20" t="s">
        <v>146</v>
      </c>
      <c r="L166" s="18">
        <f t="shared" si="7"/>
        <v>0</v>
      </c>
      <c r="M166" s="27"/>
      <c r="N166" s="25"/>
    </row>
    <row r="167" ht="15.75" customHeight="1">
      <c r="A167" s="10" t="s">
        <v>2071</v>
      </c>
      <c r="B167" s="10" t="s">
        <v>1244</v>
      </c>
      <c r="C167" s="13" t="str">
        <f t="array" ref="C167">IFERROR(INDEX('간병신청대장'!$B:$B,MATCH($B167,'간병신청대장'!$A:$A,0)),"")</f>
        <v>문영해</v>
      </c>
      <c r="D167" s="10" t="s">
        <v>194</v>
      </c>
      <c r="E167" s="10" t="s">
        <v>1736</v>
      </c>
      <c r="F167" s="20" t="s">
        <v>629</v>
      </c>
      <c r="G167" s="10">
        <v>11.0</v>
      </c>
      <c r="H167" s="8">
        <v>144000.0</v>
      </c>
      <c r="I167" s="18">
        <f t="shared" si="10"/>
        <v>1584000</v>
      </c>
      <c r="J167" s="10" t="s">
        <v>103</v>
      </c>
      <c r="K167" s="20" t="s">
        <v>146</v>
      </c>
      <c r="L167" s="18">
        <f t="shared" si="7"/>
        <v>0</v>
      </c>
      <c r="M167" s="27"/>
      <c r="N167" s="25"/>
    </row>
    <row r="168" ht="15.75" customHeight="1">
      <c r="A168" s="10" t="s">
        <v>2083</v>
      </c>
      <c r="B168" s="10" t="s">
        <v>1244</v>
      </c>
      <c r="C168" s="13" t="str">
        <f t="array" ref="C168">IFERROR(INDEX('간병신청대장'!$B:$B,MATCH($B168,'간병신청대장'!$A:$A,0)),"")</f>
        <v>문영해</v>
      </c>
      <c r="D168" s="10" t="s">
        <v>622</v>
      </c>
      <c r="E168" s="10" t="s">
        <v>1745</v>
      </c>
      <c r="F168" s="20" t="s">
        <v>645</v>
      </c>
      <c r="G168" s="10">
        <v>10.0</v>
      </c>
      <c r="H168" s="8">
        <v>144000.0</v>
      </c>
      <c r="I168" s="18">
        <f t="shared" si="10"/>
        <v>1440000</v>
      </c>
      <c r="J168" s="10" t="s">
        <v>103</v>
      </c>
      <c r="K168" s="20" t="s">
        <v>146</v>
      </c>
      <c r="L168" s="18">
        <f t="shared" si="7"/>
        <v>0</v>
      </c>
      <c r="M168" s="27"/>
      <c r="N168" s="25"/>
    </row>
    <row r="169" ht="15.75" customHeight="1">
      <c r="A169" s="10" t="s">
        <v>2096</v>
      </c>
      <c r="B169" s="10" t="s">
        <v>1260</v>
      </c>
      <c r="C169" s="13" t="str">
        <f t="array" ref="C169">IFERROR(INDEX('간병신청대장'!$B:$B,MATCH($B169,'간병신청대장'!$A:$A,0)),"")</f>
        <v>이정완</v>
      </c>
      <c r="D169" s="10" t="s">
        <v>204</v>
      </c>
      <c r="E169" s="10" t="s">
        <v>1767</v>
      </c>
      <c r="F169" s="20" t="s">
        <v>141</v>
      </c>
      <c r="G169" s="10">
        <v>5.0</v>
      </c>
      <c r="H169" s="18">
        <v>140000.0</v>
      </c>
      <c r="I169" s="18">
        <v>700000.0</v>
      </c>
      <c r="J169" s="10" t="s">
        <v>103</v>
      </c>
      <c r="K169" s="10" t="s">
        <v>146</v>
      </c>
      <c r="L169" s="18">
        <f t="shared" si="7"/>
        <v>0</v>
      </c>
      <c r="M169" s="27"/>
      <c r="N169" s="25"/>
    </row>
    <row r="170" ht="15.75" customHeight="1">
      <c r="A170" s="10" t="s">
        <v>2107</v>
      </c>
      <c r="B170" s="10" t="s">
        <v>1270</v>
      </c>
      <c r="C170" s="13" t="str">
        <f t="array" ref="C170">IFERROR(INDEX('간병신청대장'!$B:$B,MATCH($B170,'간병신청대장'!$A:$A,0)),"")</f>
        <v>이정완</v>
      </c>
      <c r="D170" s="10" t="s">
        <v>149</v>
      </c>
      <c r="E170" s="10" t="s">
        <v>2110</v>
      </c>
      <c r="F170" s="20" t="s">
        <v>233</v>
      </c>
      <c r="G170" s="10">
        <v>11.0</v>
      </c>
      <c r="H170" s="18">
        <v>140000.0</v>
      </c>
      <c r="I170" s="18">
        <v>1540000.0</v>
      </c>
      <c r="J170" s="10" t="s">
        <v>103</v>
      </c>
      <c r="K170" s="10" t="s">
        <v>146</v>
      </c>
      <c r="L170" s="18">
        <f t="shared" si="7"/>
        <v>0</v>
      </c>
      <c r="M170" s="27"/>
      <c r="N170" s="25"/>
    </row>
    <row r="171" ht="15.75" customHeight="1">
      <c r="A171" s="10" t="s">
        <v>2115</v>
      </c>
      <c r="B171" s="10" t="s">
        <v>1286</v>
      </c>
      <c r="C171" s="13" t="str">
        <f t="array" ref="C171">IFERROR(INDEX('간병신청대장'!$B:$B,MATCH($B171,'간병신청대장'!$A:$A,0)),"")</f>
        <v>이정완</v>
      </c>
      <c r="D171" s="10" t="s">
        <v>238</v>
      </c>
      <c r="E171" s="10" t="s">
        <v>2118</v>
      </c>
      <c r="F171" s="20" t="s">
        <v>240</v>
      </c>
      <c r="G171" s="10">
        <v>9.0</v>
      </c>
      <c r="H171" s="18">
        <v>140000.0</v>
      </c>
      <c r="I171" s="18">
        <v>1260000.0</v>
      </c>
      <c r="J171" s="10" t="s">
        <v>103</v>
      </c>
      <c r="K171" s="10" t="s">
        <v>146</v>
      </c>
      <c r="L171" s="18">
        <f t="shared" si="7"/>
        <v>0</v>
      </c>
      <c r="M171" s="27"/>
      <c r="N171" s="25"/>
    </row>
    <row r="172" ht="15.75" customHeight="1">
      <c r="A172" s="10" t="s">
        <v>2119</v>
      </c>
      <c r="B172" s="10" t="s">
        <v>1299</v>
      </c>
      <c r="C172" s="13" t="str">
        <f t="array" ref="C172">IFERROR(INDEX('간병신청대장'!$B:$B,MATCH($B172,'간병신청대장'!$A:$A,0)),"")</f>
        <v>김창식</v>
      </c>
      <c r="D172" s="10" t="s">
        <v>149</v>
      </c>
      <c r="E172" s="10" t="s">
        <v>1310</v>
      </c>
      <c r="F172" s="20" t="s">
        <v>233</v>
      </c>
      <c r="G172" s="10">
        <v>6.0</v>
      </c>
      <c r="H172" s="18">
        <v>130000.0</v>
      </c>
      <c r="I172" s="18">
        <v>780000.0</v>
      </c>
      <c r="J172" s="10" t="s">
        <v>103</v>
      </c>
      <c r="K172" s="10" t="s">
        <v>146</v>
      </c>
      <c r="L172" s="18">
        <f t="shared" si="7"/>
        <v>0</v>
      </c>
      <c r="M172" s="27"/>
      <c r="N172" s="25"/>
    </row>
    <row r="173" ht="15.75" customHeight="1">
      <c r="A173" s="10" t="s">
        <v>2136</v>
      </c>
      <c r="B173" s="10" t="s">
        <v>1313</v>
      </c>
      <c r="C173" s="13" t="str">
        <f t="array" ref="C173">IFERROR(INDEX('간병신청대장'!$B:$B,MATCH($B173,'간병신청대장'!$A:$A,0)),"")</f>
        <v>김창식</v>
      </c>
      <c r="D173" s="10" t="s">
        <v>238</v>
      </c>
      <c r="E173" s="10" t="s">
        <v>1315</v>
      </c>
      <c r="F173" s="20" t="s">
        <v>240</v>
      </c>
      <c r="G173" s="10">
        <v>5.0</v>
      </c>
      <c r="H173" s="18">
        <v>130000.0</v>
      </c>
      <c r="I173" s="18">
        <v>650000.0</v>
      </c>
      <c r="J173" s="10" t="s">
        <v>103</v>
      </c>
      <c r="K173" s="10" t="s">
        <v>146</v>
      </c>
      <c r="L173" s="18">
        <f t="shared" si="7"/>
        <v>0</v>
      </c>
      <c r="M173" s="27"/>
      <c r="N173" s="25"/>
    </row>
    <row r="174" ht="15.75" customHeight="1">
      <c r="A174" s="10" t="s">
        <v>2153</v>
      </c>
      <c r="B174" s="10" t="s">
        <v>1318</v>
      </c>
      <c r="C174" s="13" t="str">
        <f t="array" ref="C174">IFERROR(INDEX('간병신청대장'!$B:$B,MATCH($B174,'간병신청대장'!$A:$A,0)),"")</f>
        <v>손정관</v>
      </c>
      <c r="D174" s="10" t="s">
        <v>204</v>
      </c>
      <c r="E174" s="10" t="s">
        <v>2157</v>
      </c>
      <c r="F174" s="20" t="s">
        <v>141</v>
      </c>
      <c r="G174" s="10">
        <v>6.0</v>
      </c>
      <c r="H174" s="18">
        <v>140000.0</v>
      </c>
      <c r="I174" s="18">
        <v>840000.0</v>
      </c>
      <c r="J174" s="10" t="s">
        <v>103</v>
      </c>
      <c r="K174" s="10" t="s">
        <v>146</v>
      </c>
      <c r="L174" s="18">
        <f t="shared" si="7"/>
        <v>0</v>
      </c>
      <c r="M174" s="27"/>
      <c r="N174" s="25"/>
    </row>
    <row r="175" ht="15.75" customHeight="1">
      <c r="A175" s="10" t="s">
        <v>2164</v>
      </c>
      <c r="B175" s="10" t="s">
        <v>1318</v>
      </c>
      <c r="C175" s="13" t="str">
        <f t="array" ref="C175">IFERROR(INDEX('간병신청대장'!$B:$B,MATCH($B175,'간병신청대장'!$A:$A,0)),"")</f>
        <v>손정관</v>
      </c>
      <c r="D175" s="10" t="s">
        <v>149</v>
      </c>
      <c r="E175" s="10" t="s">
        <v>2176</v>
      </c>
      <c r="F175" s="20" t="s">
        <v>233</v>
      </c>
      <c r="G175" s="10">
        <v>11.0</v>
      </c>
      <c r="H175" s="18">
        <v>140000.0</v>
      </c>
      <c r="I175" s="18">
        <v>1540000.0</v>
      </c>
      <c r="J175" s="10" t="s">
        <v>103</v>
      </c>
      <c r="K175" s="10" t="s">
        <v>146</v>
      </c>
      <c r="L175" s="18">
        <f t="shared" si="7"/>
        <v>0</v>
      </c>
      <c r="M175" s="27"/>
      <c r="N175" s="25"/>
    </row>
    <row r="176" ht="15.75" customHeight="1">
      <c r="A176" s="10" t="s">
        <v>2182</v>
      </c>
      <c r="B176" s="10" t="s">
        <v>1338</v>
      </c>
      <c r="C176" s="13" t="str">
        <f t="array" ref="C176">IFERROR(INDEX('간병신청대장'!$B:$B,MATCH($B176,'간병신청대장'!$A:$A,0)),"")</f>
        <v>손정관</v>
      </c>
      <c r="D176" s="10" t="s">
        <v>238</v>
      </c>
      <c r="E176" s="10" t="s">
        <v>2184</v>
      </c>
      <c r="F176" s="20" t="s">
        <v>240</v>
      </c>
      <c r="G176" s="10">
        <v>9.0</v>
      </c>
      <c r="H176" s="18">
        <v>140000.0</v>
      </c>
      <c r="I176" s="18">
        <v>1260000.0</v>
      </c>
      <c r="J176" s="10" t="s">
        <v>103</v>
      </c>
      <c r="K176" s="10" t="s">
        <v>146</v>
      </c>
      <c r="L176" s="18">
        <f t="shared" si="7"/>
        <v>0</v>
      </c>
      <c r="M176" s="27"/>
      <c r="N176" s="25"/>
    </row>
    <row r="177" ht="15.75" customHeight="1">
      <c r="A177" s="10" t="s">
        <v>2188</v>
      </c>
      <c r="B177" s="10" t="s">
        <v>1338</v>
      </c>
      <c r="C177" s="13" t="str">
        <f t="array" ref="C177">IFERROR(INDEX('간병신청대장'!$B:$B,MATCH($B177,'간병신청대장'!$A:$A,0)),"")</f>
        <v>손정관</v>
      </c>
      <c r="D177" s="10" t="s">
        <v>261</v>
      </c>
      <c r="E177" s="10" t="s">
        <v>1342</v>
      </c>
      <c r="F177" s="20" t="s">
        <v>939</v>
      </c>
      <c r="G177" s="10">
        <v>4.0</v>
      </c>
      <c r="H177" s="18">
        <v>140000.0</v>
      </c>
      <c r="I177" s="18">
        <v>560000.0</v>
      </c>
      <c r="J177" s="10" t="s">
        <v>103</v>
      </c>
      <c r="K177" s="10" t="s">
        <v>146</v>
      </c>
      <c r="L177" s="18">
        <f t="shared" si="7"/>
        <v>0</v>
      </c>
      <c r="M177" s="27"/>
      <c r="N177" s="25"/>
    </row>
    <row r="178" ht="15.75" customHeight="1">
      <c r="A178" s="10" t="s">
        <v>2193</v>
      </c>
      <c r="B178" s="10" t="s">
        <v>1344</v>
      </c>
      <c r="C178" s="13" t="str">
        <f t="array" ref="C178">IFERROR(INDEX('간병신청대장'!$B:$B,MATCH($B178,'간병신청대장'!$A:$A,0)),"")</f>
        <v>고복순</v>
      </c>
      <c r="D178" s="10" t="s">
        <v>149</v>
      </c>
      <c r="E178" s="10" t="s">
        <v>696</v>
      </c>
      <c r="F178" s="20" t="s">
        <v>233</v>
      </c>
      <c r="G178" s="10">
        <v>13.0</v>
      </c>
      <c r="H178" s="18">
        <v>144000.0</v>
      </c>
      <c r="I178" s="18">
        <v>1872000.0</v>
      </c>
      <c r="J178" s="10" t="s">
        <v>103</v>
      </c>
      <c r="K178" s="10" t="s">
        <v>146</v>
      </c>
      <c r="L178" s="18">
        <f t="shared" si="7"/>
        <v>0</v>
      </c>
      <c r="M178" s="27"/>
      <c r="N178" s="25"/>
    </row>
    <row r="179" ht="15.75" customHeight="1">
      <c r="A179" s="10" t="s">
        <v>2205</v>
      </c>
      <c r="B179" s="10" t="s">
        <v>1359</v>
      </c>
      <c r="C179" s="13" t="str">
        <f t="array" ref="C179">IFERROR(INDEX('간병신청대장'!$B:$B,MATCH($B179,'간병신청대장'!$A:$A,0)),"")</f>
        <v>구성란</v>
      </c>
      <c r="D179" s="10" t="s">
        <v>149</v>
      </c>
      <c r="E179" s="10" t="s">
        <v>2215</v>
      </c>
      <c r="F179" s="20" t="s">
        <v>233</v>
      </c>
      <c r="G179" s="10">
        <v>11.0</v>
      </c>
      <c r="H179" s="18">
        <v>129000.0</v>
      </c>
      <c r="I179" s="18">
        <v>1419000.0</v>
      </c>
      <c r="J179" s="10" t="s">
        <v>103</v>
      </c>
      <c r="K179" s="10" t="s">
        <v>146</v>
      </c>
      <c r="L179" s="18">
        <f t="shared" si="7"/>
        <v>0</v>
      </c>
      <c r="M179" s="27"/>
      <c r="N179" s="25"/>
    </row>
    <row r="180" ht="15.75" customHeight="1">
      <c r="A180" s="10" t="s">
        <v>2216</v>
      </c>
      <c r="B180" s="10" t="s">
        <v>1359</v>
      </c>
      <c r="C180" s="13" t="str">
        <f t="array" ref="C180">IFERROR(INDEX('간병신청대장'!$B:$B,MATCH($B180,'간병신청대장'!$A:$A,0)),"")</f>
        <v>구성란</v>
      </c>
      <c r="D180" s="10" t="s">
        <v>238</v>
      </c>
      <c r="E180" s="10" t="s">
        <v>2224</v>
      </c>
      <c r="F180" s="20" t="s">
        <v>240</v>
      </c>
      <c r="G180" s="10">
        <v>10.0</v>
      </c>
      <c r="H180" s="18">
        <v>129000.0</v>
      </c>
      <c r="I180" s="18">
        <v>1290000.0</v>
      </c>
      <c r="J180" s="10" t="s">
        <v>103</v>
      </c>
      <c r="K180" s="10" t="s">
        <v>146</v>
      </c>
      <c r="L180" s="18">
        <f t="shared" si="7"/>
        <v>0</v>
      </c>
      <c r="M180" s="27"/>
      <c r="N180" s="25"/>
    </row>
    <row r="181" ht="15.75" customHeight="1">
      <c r="A181" s="10" t="s">
        <v>2225</v>
      </c>
      <c r="B181" s="10" t="s">
        <v>1359</v>
      </c>
      <c r="C181" s="13" t="str">
        <f t="array" ref="C181">IFERROR(INDEX('간병신청대장'!$B:$B,MATCH($B181,'간병신청대장'!$A:$A,0)),"")</f>
        <v>구성란</v>
      </c>
      <c r="D181" s="10" t="s">
        <v>261</v>
      </c>
      <c r="E181" s="10" t="s">
        <v>2233</v>
      </c>
      <c r="F181" s="20" t="s">
        <v>264</v>
      </c>
      <c r="G181" s="10">
        <v>11.0</v>
      </c>
      <c r="H181" s="18">
        <v>129000.0</v>
      </c>
      <c r="I181" s="18">
        <v>1419000.0</v>
      </c>
      <c r="J181" s="10" t="s">
        <v>103</v>
      </c>
      <c r="K181" s="10" t="s">
        <v>146</v>
      </c>
      <c r="L181" s="18">
        <f t="shared" si="7"/>
        <v>0</v>
      </c>
      <c r="M181" s="27"/>
      <c r="N181" s="25"/>
    </row>
    <row r="182" ht="15.75" customHeight="1">
      <c r="A182" s="10" t="s">
        <v>2234</v>
      </c>
      <c r="B182" s="10" t="s">
        <v>1359</v>
      </c>
      <c r="C182" s="13" t="str">
        <f t="array" ref="C182">IFERROR(INDEX('간병신청대장'!$B:$B,MATCH($B182,'간병신청대장'!$A:$A,0)),"")</f>
        <v>구성란</v>
      </c>
      <c r="D182" s="10" t="s">
        <v>266</v>
      </c>
      <c r="E182" s="10" t="s">
        <v>2245</v>
      </c>
      <c r="F182" s="20" t="s">
        <v>269</v>
      </c>
      <c r="G182" s="10">
        <v>10.0</v>
      </c>
      <c r="H182" s="18">
        <v>129000.0</v>
      </c>
      <c r="I182" s="18">
        <v>1290000.0</v>
      </c>
      <c r="J182" s="10" t="s">
        <v>103</v>
      </c>
      <c r="K182" s="10" t="s">
        <v>146</v>
      </c>
      <c r="L182" s="18">
        <f t="shared" si="7"/>
        <v>0</v>
      </c>
      <c r="M182" s="27"/>
      <c r="N182" s="25"/>
    </row>
    <row r="183" ht="15.75" customHeight="1">
      <c r="A183" s="10" t="s">
        <v>2246</v>
      </c>
      <c r="B183" s="10" t="s">
        <v>1359</v>
      </c>
      <c r="C183" s="13" t="str">
        <f t="array" ref="C183">IFERROR(INDEX('간병신청대장'!$B:$B,MATCH($B183,'간병신청대장'!$A:$A,0)),"")</f>
        <v>구성란</v>
      </c>
      <c r="D183" s="10" t="s">
        <v>281</v>
      </c>
      <c r="E183" s="10" t="s">
        <v>2255</v>
      </c>
      <c r="F183" s="20" t="s">
        <v>557</v>
      </c>
      <c r="G183" s="10">
        <v>10.0</v>
      </c>
      <c r="H183" s="8">
        <v>129000.0</v>
      </c>
      <c r="I183" s="18">
        <v>1290000.0</v>
      </c>
      <c r="J183" s="10" t="s">
        <v>103</v>
      </c>
      <c r="K183" s="23" t="s">
        <v>146</v>
      </c>
      <c r="L183" s="18">
        <f t="shared" si="7"/>
        <v>0</v>
      </c>
      <c r="M183" s="27"/>
      <c r="N183" s="25"/>
    </row>
    <row r="184" ht="15.75" customHeight="1">
      <c r="A184" s="10" t="s">
        <v>2256</v>
      </c>
      <c r="B184" s="10" t="s">
        <v>1359</v>
      </c>
      <c r="C184" s="13" t="str">
        <f t="array" ref="C184">IFERROR(INDEX('간병신청대장'!$B:$B,MATCH($B184,'간병신청대장'!$A:$A,0)),"")</f>
        <v>구성란</v>
      </c>
      <c r="D184" s="10" t="s">
        <v>567</v>
      </c>
      <c r="E184" s="10" t="s">
        <v>804</v>
      </c>
      <c r="F184" s="20" t="s">
        <v>569</v>
      </c>
      <c r="G184" s="10">
        <v>10.0</v>
      </c>
      <c r="H184" s="8">
        <v>129000.0</v>
      </c>
      <c r="I184" s="18">
        <v>1290000.0</v>
      </c>
      <c r="J184" s="10" t="s">
        <v>103</v>
      </c>
      <c r="K184" s="23" t="s">
        <v>146</v>
      </c>
      <c r="L184" s="18">
        <f t="shared" si="7"/>
        <v>0</v>
      </c>
      <c r="M184" s="27"/>
      <c r="N184" s="25"/>
    </row>
    <row r="185" ht="15.75" customHeight="1">
      <c r="A185" s="10" t="s">
        <v>2273</v>
      </c>
      <c r="B185" s="10" t="s">
        <v>1359</v>
      </c>
      <c r="C185" s="13" t="str">
        <f t="array" ref="C185">IFERROR(INDEX('간병신청대장'!$B:$B,MATCH($B185,'간병신청대장'!$A:$A,0)),"")</f>
        <v>구성란</v>
      </c>
      <c r="D185" s="10" t="s">
        <v>592</v>
      </c>
      <c r="E185" s="10" t="s">
        <v>1367</v>
      </c>
      <c r="F185" s="20" t="s">
        <v>2282</v>
      </c>
      <c r="G185" s="10">
        <v>7.0</v>
      </c>
      <c r="H185" s="8">
        <v>129000.0</v>
      </c>
      <c r="I185" s="18">
        <v>1290000.0</v>
      </c>
      <c r="J185" s="10" t="s">
        <v>103</v>
      </c>
      <c r="K185" s="23" t="s">
        <v>146</v>
      </c>
      <c r="L185" s="18">
        <f t="shared" si="7"/>
        <v>0</v>
      </c>
      <c r="M185" s="27"/>
      <c r="N185" s="25"/>
    </row>
    <row r="186" ht="15.75" customHeight="1">
      <c r="A186" s="10" t="s">
        <v>2283</v>
      </c>
      <c r="B186" s="10" t="s">
        <v>1370</v>
      </c>
      <c r="C186" s="13" t="str">
        <f t="array" ref="C186">IFERROR(INDEX('간병신청대장'!$B:$B,MATCH($B186,'간병신청대장'!$A:$A,0)),"")</f>
        <v>구성란</v>
      </c>
      <c r="D186" s="10" t="s">
        <v>112</v>
      </c>
      <c r="E186" s="10" t="s">
        <v>836</v>
      </c>
      <c r="F186" s="20" t="s">
        <v>113</v>
      </c>
      <c r="G186" s="10">
        <v>13.0</v>
      </c>
      <c r="H186" s="8">
        <v>129000.0</v>
      </c>
      <c r="I186" s="18">
        <v>1290000.0</v>
      </c>
      <c r="J186" s="10" t="s">
        <v>103</v>
      </c>
      <c r="K186" s="23" t="s">
        <v>146</v>
      </c>
      <c r="L186" s="18">
        <f t="shared" si="7"/>
        <v>0</v>
      </c>
      <c r="M186" s="27"/>
      <c r="N186" s="25"/>
    </row>
    <row r="187" ht="15.75" customHeight="1">
      <c r="A187" s="10" t="s">
        <v>2296</v>
      </c>
      <c r="B187" s="10" t="s">
        <v>1370</v>
      </c>
      <c r="C187" s="13" t="str">
        <f t="array" ref="C187">IFERROR(INDEX('간병신청대장'!$B:$B,MATCH($B187,'간병신청대장'!$A:$A,0)),"")</f>
        <v>구성란</v>
      </c>
      <c r="D187" s="10" t="s">
        <v>194</v>
      </c>
      <c r="E187" s="10" t="s">
        <v>849</v>
      </c>
      <c r="F187" s="20" t="s">
        <v>629</v>
      </c>
      <c r="G187" s="10">
        <v>11.0</v>
      </c>
      <c r="H187" s="8">
        <v>129000.0</v>
      </c>
      <c r="I187" s="18">
        <f t="shared" ref="I187:I188" si="11">G187*H187</f>
        <v>1419000</v>
      </c>
      <c r="J187" s="10" t="s">
        <v>103</v>
      </c>
      <c r="K187" s="20" t="s">
        <v>146</v>
      </c>
      <c r="L187" s="18">
        <f t="shared" si="7"/>
        <v>0</v>
      </c>
      <c r="M187" s="27"/>
      <c r="N187" s="25"/>
    </row>
    <row r="188" ht="15.75" customHeight="1">
      <c r="A188" s="10" t="s">
        <v>2310</v>
      </c>
      <c r="B188" s="10" t="s">
        <v>1370</v>
      </c>
      <c r="C188" s="13" t="str">
        <f t="array" ref="C188">IFERROR(INDEX('간병신청대장'!$B:$B,MATCH($B188,'간병신청대장'!$A:$A,0)),"")</f>
        <v>구성란</v>
      </c>
      <c r="D188" s="10" t="s">
        <v>622</v>
      </c>
      <c r="E188" s="10" t="s">
        <v>1052</v>
      </c>
      <c r="F188" s="20" t="s">
        <v>645</v>
      </c>
      <c r="G188" s="10">
        <v>10.0</v>
      </c>
      <c r="H188" s="8">
        <v>129000.0</v>
      </c>
      <c r="I188" s="18">
        <f t="shared" si="11"/>
        <v>1290000</v>
      </c>
      <c r="J188" s="10" t="s">
        <v>103</v>
      </c>
      <c r="K188" s="20" t="s">
        <v>146</v>
      </c>
      <c r="L188" s="18">
        <f t="shared" si="7"/>
        <v>0</v>
      </c>
      <c r="M188" s="23"/>
      <c r="N188" s="34" t="s">
        <v>2320</v>
      </c>
    </row>
    <row r="189" ht="15.75" customHeight="1">
      <c r="A189" s="10" t="s">
        <v>2321</v>
      </c>
      <c r="B189" s="10" t="s">
        <v>1380</v>
      </c>
      <c r="C189" s="13" t="str">
        <f t="array" ref="C189">IFERROR(INDEX('간병신청대장'!$B:$B,MATCH($B189,'간병신청대장'!$A:$A,0)),"")</f>
        <v>문완모</v>
      </c>
      <c r="D189" s="10" t="s">
        <v>238</v>
      </c>
      <c r="E189" s="10" t="s">
        <v>1389</v>
      </c>
      <c r="F189" s="20" t="s">
        <v>2335</v>
      </c>
      <c r="G189" s="10">
        <v>2.0</v>
      </c>
      <c r="H189" s="18">
        <v>135000.0</v>
      </c>
      <c r="I189" s="18">
        <v>270000.0</v>
      </c>
      <c r="J189" s="10" t="s">
        <v>103</v>
      </c>
      <c r="K189" s="10" t="s">
        <v>146</v>
      </c>
      <c r="L189" s="18">
        <f t="shared" si="7"/>
        <v>0</v>
      </c>
      <c r="M189" s="23"/>
      <c r="N189" s="26" t="s">
        <v>2337</v>
      </c>
    </row>
    <row r="190" ht="15.75" customHeight="1">
      <c r="A190" s="10" t="s">
        <v>2338</v>
      </c>
      <c r="B190" s="10" t="s">
        <v>1392</v>
      </c>
      <c r="C190" s="13" t="str">
        <f t="array" ref="C190">IFERROR(INDEX('간병신청대장'!$B:$B,MATCH($B190,'간병신청대장'!$A:$A,0)),"")</f>
        <v>서인화</v>
      </c>
      <c r="D190" s="10" t="s">
        <v>149</v>
      </c>
      <c r="E190" s="10" t="s">
        <v>1399</v>
      </c>
      <c r="F190" s="20" t="s">
        <v>233</v>
      </c>
      <c r="G190" s="10">
        <v>8.0</v>
      </c>
      <c r="H190" s="8">
        <v>129000.0</v>
      </c>
      <c r="I190" s="18">
        <v>1032000.0</v>
      </c>
      <c r="J190" s="10" t="s">
        <v>103</v>
      </c>
      <c r="K190" s="10" t="s">
        <v>146</v>
      </c>
      <c r="L190" s="18">
        <f t="shared" si="7"/>
        <v>0</v>
      </c>
      <c r="M190" s="27"/>
      <c r="N190" s="25"/>
    </row>
    <row r="191" ht="15.75" customHeight="1">
      <c r="A191" s="10" t="s">
        <v>2348</v>
      </c>
      <c r="B191" s="10" t="s">
        <v>1403</v>
      </c>
      <c r="C191" s="13" t="str">
        <f t="array" ref="C191">IFERROR(INDEX('간병신청대장'!$B:$B,MATCH($B191,'간병신청대장'!$A:$A,0)),"")</f>
        <v>김국선</v>
      </c>
      <c r="D191" s="10" t="s">
        <v>238</v>
      </c>
      <c r="E191" s="10" t="s">
        <v>2358</v>
      </c>
      <c r="F191" s="20" t="s">
        <v>1602</v>
      </c>
      <c r="G191" s="10">
        <v>23.0</v>
      </c>
      <c r="H191" s="18">
        <v>144000.0</v>
      </c>
      <c r="I191" s="18">
        <v>3312000.0</v>
      </c>
      <c r="J191" s="10" t="s">
        <v>103</v>
      </c>
      <c r="K191" s="10" t="s">
        <v>146</v>
      </c>
      <c r="L191" s="18">
        <f t="shared" si="7"/>
        <v>0</v>
      </c>
      <c r="M191" s="27"/>
      <c r="N191" s="25"/>
    </row>
    <row r="192" ht="15.75" customHeight="1">
      <c r="A192" s="10" t="s">
        <v>2363</v>
      </c>
      <c r="B192" s="10" t="s">
        <v>1415</v>
      </c>
      <c r="C192" s="13" t="str">
        <f t="array" ref="C192">IFERROR(INDEX('간병신청대장'!$B:$B,MATCH($B192,'간병신청대장'!$A:$A,0)),"")</f>
        <v>김국선</v>
      </c>
      <c r="D192" s="10" t="s">
        <v>261</v>
      </c>
      <c r="E192" s="10" t="s">
        <v>2233</v>
      </c>
      <c r="F192" s="20" t="s">
        <v>264</v>
      </c>
      <c r="G192" s="10">
        <v>9.0</v>
      </c>
      <c r="H192" s="18">
        <v>144000.0</v>
      </c>
      <c r="I192" s="18">
        <v>1296000.0</v>
      </c>
      <c r="J192" s="10" t="s">
        <v>103</v>
      </c>
      <c r="K192" s="10" t="s">
        <v>146</v>
      </c>
      <c r="L192" s="18">
        <f t="shared" si="7"/>
        <v>0</v>
      </c>
      <c r="M192" s="27"/>
      <c r="N192" s="25"/>
    </row>
    <row r="193" ht="15.75" customHeight="1">
      <c r="A193" s="10" t="s">
        <v>2369</v>
      </c>
      <c r="B193" s="10" t="s">
        <v>1415</v>
      </c>
      <c r="C193" s="13" t="str">
        <f t="array" ref="C193">IFERROR(INDEX('간병신청대장'!$B:$B,MATCH($B193,'간병신청대장'!$A:$A,0)),"")</f>
        <v>김국선</v>
      </c>
      <c r="D193" s="10" t="s">
        <v>266</v>
      </c>
      <c r="E193" s="10" t="s">
        <v>2245</v>
      </c>
      <c r="F193" s="20" t="s">
        <v>269</v>
      </c>
      <c r="G193" s="10">
        <v>10.0</v>
      </c>
      <c r="H193" s="18">
        <v>144000.0</v>
      </c>
      <c r="I193" s="18">
        <v>1440000.0</v>
      </c>
      <c r="J193" s="10" t="s">
        <v>103</v>
      </c>
      <c r="K193" s="10" t="s">
        <v>146</v>
      </c>
      <c r="L193" s="18">
        <f t="shared" si="7"/>
        <v>0</v>
      </c>
      <c r="M193" s="27"/>
      <c r="N193" s="25"/>
    </row>
    <row r="194" ht="15.75" customHeight="1">
      <c r="A194" s="10" t="s">
        <v>2375</v>
      </c>
      <c r="B194" s="10" t="s">
        <v>1415</v>
      </c>
      <c r="C194" s="13" t="str">
        <f t="array" ref="C194">IFERROR(INDEX('간병신청대장'!$B:$B,MATCH($B194,'간병신청대장'!$A:$A,0)),"")</f>
        <v>김국선</v>
      </c>
      <c r="D194" s="10" t="s">
        <v>281</v>
      </c>
      <c r="E194" s="10" t="s">
        <v>2255</v>
      </c>
      <c r="F194" s="20" t="s">
        <v>557</v>
      </c>
      <c r="G194" s="10">
        <v>10.0</v>
      </c>
      <c r="H194" s="18">
        <v>144000.0</v>
      </c>
      <c r="I194" s="18">
        <v>1440000.0</v>
      </c>
      <c r="J194" s="10" t="s">
        <v>103</v>
      </c>
      <c r="K194" s="10" t="s">
        <v>146</v>
      </c>
      <c r="L194" s="18">
        <f t="shared" si="7"/>
        <v>0</v>
      </c>
      <c r="M194" s="27"/>
      <c r="N194" s="25"/>
    </row>
    <row r="195" ht="15.75" customHeight="1">
      <c r="A195" s="10" t="s">
        <v>2388</v>
      </c>
      <c r="B195" s="10" t="s">
        <v>1415</v>
      </c>
      <c r="C195" s="13" t="str">
        <f t="array" ref="C195">IFERROR(INDEX('간병신청대장'!$B:$B,MATCH($B195,'간병신청대장'!$A:$A,0)),"")</f>
        <v>김국선</v>
      </c>
      <c r="D195" s="10" t="s">
        <v>567</v>
      </c>
      <c r="E195" s="10" t="s">
        <v>969</v>
      </c>
      <c r="F195" s="20" t="s">
        <v>569</v>
      </c>
      <c r="G195" s="10">
        <v>10.0</v>
      </c>
      <c r="H195" s="18">
        <v>144000.0</v>
      </c>
      <c r="I195" s="18">
        <v>1440000.0</v>
      </c>
      <c r="J195" s="10" t="s">
        <v>103</v>
      </c>
      <c r="K195" s="10" t="s">
        <v>146</v>
      </c>
      <c r="L195" s="18">
        <f t="shared" si="7"/>
        <v>0</v>
      </c>
      <c r="M195" s="27"/>
      <c r="N195" s="25"/>
    </row>
    <row r="196" ht="15.75" customHeight="1">
      <c r="A196" s="10" t="s">
        <v>2392</v>
      </c>
      <c r="B196" s="10" t="s">
        <v>1415</v>
      </c>
      <c r="C196" s="13" t="str">
        <f t="array" ref="C196">IFERROR(INDEX('간병신청대장'!$B:$B,MATCH($B196,'간병신청대장'!$A:$A,0)),"")</f>
        <v>김국선</v>
      </c>
      <c r="D196" s="10" t="s">
        <v>112</v>
      </c>
      <c r="E196" s="10" t="s">
        <v>1002</v>
      </c>
      <c r="F196" s="20" t="s">
        <v>113</v>
      </c>
      <c r="G196" s="10">
        <v>20.0</v>
      </c>
      <c r="H196" s="18">
        <v>144000.0</v>
      </c>
      <c r="I196" s="18">
        <v>2880000.0</v>
      </c>
      <c r="J196" s="10" t="s">
        <v>103</v>
      </c>
      <c r="K196" s="10" t="s">
        <v>146</v>
      </c>
      <c r="L196" s="18">
        <f t="shared" si="7"/>
        <v>0</v>
      </c>
      <c r="M196" s="27"/>
      <c r="N196" s="25"/>
    </row>
    <row r="197" ht="15.75" customHeight="1">
      <c r="A197" s="10" t="s">
        <v>2400</v>
      </c>
      <c r="B197" s="10" t="s">
        <v>1415</v>
      </c>
      <c r="C197" s="13" t="str">
        <f t="array" ref="C197">IFERROR(INDEX('간병신청대장'!$B:$B,MATCH($B197,'간병신청대장'!$A:$A,0)),"")</f>
        <v>김국선</v>
      </c>
      <c r="D197" s="10" t="s">
        <v>194</v>
      </c>
      <c r="E197" s="10" t="s">
        <v>1422</v>
      </c>
      <c r="F197" s="20" t="s">
        <v>2417</v>
      </c>
      <c r="G197" s="10">
        <v>9.0</v>
      </c>
      <c r="H197" s="18">
        <v>108000.0</v>
      </c>
      <c r="I197" s="18">
        <v>1296000.0</v>
      </c>
      <c r="J197" s="10" t="s">
        <v>103</v>
      </c>
      <c r="K197" s="10" t="s">
        <v>146</v>
      </c>
      <c r="L197" s="18">
        <f t="shared" si="7"/>
        <v>0</v>
      </c>
      <c r="M197" s="27"/>
      <c r="N197" s="25"/>
    </row>
    <row r="198" ht="15.75" customHeight="1">
      <c r="A198" s="10" t="s">
        <v>2418</v>
      </c>
      <c r="B198" s="10" t="s">
        <v>1425</v>
      </c>
      <c r="C198" s="13" t="str">
        <f t="array" ref="C198">IFERROR(INDEX('간병신청대장'!$B:$B,MATCH($B198,'간병신청대장'!$A:$A,0)),"")</f>
        <v>김국선</v>
      </c>
      <c r="D198" s="10" t="s">
        <v>194</v>
      </c>
      <c r="E198" s="10" t="s">
        <v>2427</v>
      </c>
      <c r="F198" s="20" t="s">
        <v>2429</v>
      </c>
      <c r="G198" s="10">
        <v>3.0</v>
      </c>
      <c r="H198" s="18">
        <v>36000.0</v>
      </c>
      <c r="I198" s="18">
        <v>432000.0</v>
      </c>
      <c r="J198" s="10" t="s">
        <v>103</v>
      </c>
      <c r="K198" s="10" t="s">
        <v>146</v>
      </c>
      <c r="L198" s="18">
        <f t="shared" si="7"/>
        <v>0</v>
      </c>
      <c r="M198" s="27"/>
      <c r="N198" s="25"/>
    </row>
    <row r="199" ht="15.75" customHeight="1">
      <c r="A199" s="10" t="s">
        <v>2430</v>
      </c>
      <c r="B199" s="10" t="s">
        <v>1434</v>
      </c>
      <c r="C199" s="13" t="str">
        <f t="array" ref="C199">IFERROR(INDEX('간병신청대장'!$B:$B,MATCH($B199,'간병신청대장'!$A:$A,0)),"")</f>
        <v>김국선</v>
      </c>
      <c r="D199" s="10" t="s">
        <v>622</v>
      </c>
      <c r="E199" s="10" t="s">
        <v>2438</v>
      </c>
      <c r="F199" s="20" t="s">
        <v>645</v>
      </c>
      <c r="G199" s="10">
        <v>9.0</v>
      </c>
      <c r="H199" s="8">
        <v>144000.0</v>
      </c>
      <c r="I199" s="18">
        <f>G199*H199</f>
        <v>1296000</v>
      </c>
      <c r="J199" s="20" t="s">
        <v>103</v>
      </c>
      <c r="K199" s="20" t="s">
        <v>146</v>
      </c>
      <c r="L199" s="18">
        <f t="shared" si="7"/>
        <v>0</v>
      </c>
      <c r="M199" s="23"/>
      <c r="N199" s="26" t="s">
        <v>2447</v>
      </c>
    </row>
    <row r="200" ht="15.75" customHeight="1">
      <c r="A200" s="10" t="s">
        <v>2448</v>
      </c>
      <c r="B200" s="10" t="s">
        <v>1445</v>
      </c>
      <c r="C200" s="13" t="str">
        <f t="array" ref="C200">IFERROR(INDEX('간병신청대장'!$B:$B,MATCH($B200,'간병신청대장'!$A:$A,0)),"")</f>
        <v>임범수</v>
      </c>
      <c r="D200" s="10" t="s">
        <v>149</v>
      </c>
      <c r="E200" s="10" t="s">
        <v>2450</v>
      </c>
      <c r="F200" s="20" t="s">
        <v>233</v>
      </c>
      <c r="G200" s="10">
        <v>6.0</v>
      </c>
      <c r="H200" s="18">
        <v>140000.0</v>
      </c>
      <c r="I200" s="18">
        <v>840000.0</v>
      </c>
      <c r="J200" s="10" t="s">
        <v>103</v>
      </c>
      <c r="K200" s="10" t="s">
        <v>146</v>
      </c>
      <c r="L200" s="18">
        <f t="shared" si="7"/>
        <v>0</v>
      </c>
      <c r="M200" s="27"/>
      <c r="N200" s="25"/>
    </row>
    <row r="201" ht="15.75" customHeight="1">
      <c r="A201" s="10" t="s">
        <v>2455</v>
      </c>
      <c r="B201" s="10" t="s">
        <v>1445</v>
      </c>
      <c r="C201" s="13" t="str">
        <f t="array" ref="C201">IFERROR(INDEX('간병신청대장'!$B:$B,MATCH($B201,'간병신청대장'!$A:$A,0)),"")</f>
        <v>임범수</v>
      </c>
      <c r="D201" s="10" t="s">
        <v>238</v>
      </c>
      <c r="E201" s="10" t="s">
        <v>1452</v>
      </c>
      <c r="F201" s="20" t="s">
        <v>240</v>
      </c>
      <c r="G201" s="10">
        <v>5.0</v>
      </c>
      <c r="H201" s="18">
        <v>140000.0</v>
      </c>
      <c r="I201" s="18">
        <v>700000.0</v>
      </c>
      <c r="J201" s="10" t="s">
        <v>103</v>
      </c>
      <c r="K201" s="10" t="s">
        <v>146</v>
      </c>
      <c r="L201" s="18">
        <f t="shared" si="7"/>
        <v>0</v>
      </c>
      <c r="M201" s="27"/>
      <c r="N201" s="25"/>
    </row>
    <row r="202" ht="15.75" customHeight="1">
      <c r="A202" s="46" t="s">
        <v>2460</v>
      </c>
      <c r="B202" s="46" t="s">
        <v>1455</v>
      </c>
      <c r="C202" s="47" t="str">
        <f t="array" ref="C202">IFERROR(INDEX('간병신청대장'!$B:$B,MATCH($B202,'간병신청대장'!$A:$A,0)),"")</f>
        <v>최경자</v>
      </c>
      <c r="D202" s="46" t="s">
        <v>261</v>
      </c>
      <c r="E202" s="46" t="s">
        <v>2474</v>
      </c>
      <c r="F202" s="48" t="s">
        <v>264</v>
      </c>
      <c r="G202" s="46">
        <v>9.0</v>
      </c>
      <c r="H202" s="49">
        <v>135000.0</v>
      </c>
      <c r="I202" s="50"/>
      <c r="J202" s="48" t="s">
        <v>2480</v>
      </c>
      <c r="K202" s="46" t="s">
        <v>104</v>
      </c>
      <c r="L202" s="50">
        <f t="shared" si="7"/>
        <v>1215000</v>
      </c>
      <c r="M202" s="51"/>
      <c r="N202" s="52" t="s">
        <v>2483</v>
      </c>
    </row>
    <row r="203" ht="15.75" customHeight="1">
      <c r="A203" s="46" t="s">
        <v>2484</v>
      </c>
      <c r="B203" s="46" t="s">
        <v>1455</v>
      </c>
      <c r="C203" s="47" t="str">
        <f t="array" ref="C203">IFERROR(INDEX('간병신청대장'!$B:$B,MATCH($B203,'간병신청대장'!$A:$A,0)),"")</f>
        <v>최경자</v>
      </c>
      <c r="D203" s="46" t="s">
        <v>266</v>
      </c>
      <c r="E203" s="46" t="s">
        <v>2491</v>
      </c>
      <c r="F203" s="48" t="s">
        <v>269</v>
      </c>
      <c r="G203" s="46">
        <v>10.0</v>
      </c>
      <c r="H203" s="49">
        <v>135000.0</v>
      </c>
      <c r="I203" s="50"/>
      <c r="J203" s="48" t="s">
        <v>2480</v>
      </c>
      <c r="K203" s="46" t="s">
        <v>104</v>
      </c>
      <c r="L203" s="50">
        <f t="shared" si="7"/>
        <v>1350000</v>
      </c>
      <c r="M203" s="53"/>
      <c r="N203" s="54"/>
    </row>
    <row r="204" ht="15.75" customHeight="1">
      <c r="A204" s="46" t="s">
        <v>2493</v>
      </c>
      <c r="B204" s="46" t="s">
        <v>1455</v>
      </c>
      <c r="C204" s="47" t="str">
        <f t="array" ref="C204">IFERROR(INDEX('간병신청대장'!$B:$B,MATCH($B204,'간병신청대장'!$A:$A,0)),"")</f>
        <v>최경자</v>
      </c>
      <c r="D204" s="46" t="s">
        <v>281</v>
      </c>
      <c r="E204" s="46" t="s">
        <v>2509</v>
      </c>
      <c r="F204" s="48" t="s">
        <v>557</v>
      </c>
      <c r="G204" s="46">
        <v>10.0</v>
      </c>
      <c r="H204" s="49">
        <v>135000.0</v>
      </c>
      <c r="I204" s="50"/>
      <c r="J204" s="48" t="s">
        <v>2480</v>
      </c>
      <c r="K204" s="46" t="s">
        <v>104</v>
      </c>
      <c r="L204" s="50">
        <f t="shared" si="7"/>
        <v>1350000</v>
      </c>
      <c r="M204" s="53"/>
      <c r="N204" s="54"/>
    </row>
    <row r="205" ht="15.75" customHeight="1">
      <c r="A205" s="46" t="s">
        <v>2510</v>
      </c>
      <c r="B205" s="46" t="s">
        <v>1455</v>
      </c>
      <c r="C205" s="47" t="str">
        <f t="array" ref="C205">IFERROR(INDEX('간병신청대장'!$B:$B,MATCH($B205,'간병신청대장'!$A:$A,0)),"")</f>
        <v>최경자</v>
      </c>
      <c r="D205" s="46" t="s">
        <v>567</v>
      </c>
      <c r="E205" s="46" t="s">
        <v>1856</v>
      </c>
      <c r="F205" s="48" t="s">
        <v>569</v>
      </c>
      <c r="G205" s="46">
        <v>10.0</v>
      </c>
      <c r="H205" s="49">
        <v>135000.0</v>
      </c>
      <c r="I205" s="50"/>
      <c r="J205" s="48" t="s">
        <v>2480</v>
      </c>
      <c r="K205" s="46" t="s">
        <v>104</v>
      </c>
      <c r="L205" s="50">
        <f t="shared" si="7"/>
        <v>1350000</v>
      </c>
      <c r="M205" s="53"/>
      <c r="N205" s="54"/>
    </row>
    <row r="206" ht="15.75" customHeight="1">
      <c r="A206" s="46" t="s">
        <v>2518</v>
      </c>
      <c r="B206" s="46" t="s">
        <v>1455</v>
      </c>
      <c r="C206" s="47" t="str">
        <f t="array" ref="C206">IFERROR(INDEX('간병신청대장'!$B:$B,MATCH($B206,'간병신청대장'!$A:$A,0)),"")</f>
        <v>최경자</v>
      </c>
      <c r="D206" s="46" t="s">
        <v>592</v>
      </c>
      <c r="E206" s="46" t="s">
        <v>2528</v>
      </c>
      <c r="F206" s="48" t="s">
        <v>595</v>
      </c>
      <c r="G206" s="46">
        <v>10.0</v>
      </c>
      <c r="H206" s="49">
        <v>135000.0</v>
      </c>
      <c r="I206" s="50"/>
      <c r="J206" s="48" t="s">
        <v>2480</v>
      </c>
      <c r="K206" s="46" t="s">
        <v>104</v>
      </c>
      <c r="L206" s="50">
        <f t="shared" si="7"/>
        <v>1350000</v>
      </c>
      <c r="M206" s="53"/>
      <c r="N206" s="54"/>
    </row>
    <row r="207" ht="15.75" customHeight="1">
      <c r="A207" s="46" t="s">
        <v>2533</v>
      </c>
      <c r="B207" s="46" t="s">
        <v>1455</v>
      </c>
      <c r="C207" s="47" t="str">
        <f t="array" ref="C207">IFERROR(INDEX('간병신청대장'!$B:$B,MATCH($B207,'간병신청대장'!$A:$A,0)),"")</f>
        <v>최경자</v>
      </c>
      <c r="D207" s="46" t="s">
        <v>112</v>
      </c>
      <c r="E207" s="46" t="s">
        <v>2284</v>
      </c>
      <c r="F207" s="48" t="s">
        <v>113</v>
      </c>
      <c r="G207" s="46">
        <v>10.0</v>
      </c>
      <c r="H207" s="49">
        <v>135000.0</v>
      </c>
      <c r="I207" s="50"/>
      <c r="J207" s="48" t="s">
        <v>2480</v>
      </c>
      <c r="K207" s="46" t="s">
        <v>104</v>
      </c>
      <c r="L207" s="50">
        <f t="shared" si="7"/>
        <v>1350000</v>
      </c>
      <c r="M207" s="53"/>
      <c r="N207" s="54"/>
    </row>
    <row r="208" ht="15.75" customHeight="1">
      <c r="A208" s="46" t="s">
        <v>2539</v>
      </c>
      <c r="B208" s="46" t="s">
        <v>1455</v>
      </c>
      <c r="C208" s="47" t="str">
        <f t="array" ref="C208">IFERROR(INDEX('간병신청대장'!$B:$B,MATCH($B208,'간병신청대장'!$A:$A,0)),"")</f>
        <v>최경자</v>
      </c>
      <c r="D208" s="46" t="s">
        <v>194</v>
      </c>
      <c r="E208" s="46" t="s">
        <v>2552</v>
      </c>
      <c r="F208" s="48" t="s">
        <v>100</v>
      </c>
      <c r="G208" s="46">
        <v>5.0</v>
      </c>
      <c r="H208" s="49">
        <v>135000.0</v>
      </c>
      <c r="I208" s="50"/>
      <c r="J208" s="48" t="s">
        <v>2480</v>
      </c>
      <c r="K208" s="46" t="s">
        <v>104</v>
      </c>
      <c r="L208" s="50">
        <f t="shared" si="7"/>
        <v>675000</v>
      </c>
      <c r="M208" s="53"/>
      <c r="N208" s="55"/>
    </row>
    <row r="209" ht="15.75" customHeight="1">
      <c r="A209" s="10" t="s">
        <v>2557</v>
      </c>
      <c r="B209" s="10" t="s">
        <v>1469</v>
      </c>
      <c r="C209" s="13" t="str">
        <f t="array" ref="C209">IFERROR(INDEX('간병신청대장'!$B:$B,MATCH($B209,'간병신청대장'!$A:$A,0)),"")</f>
        <v>차상옥</v>
      </c>
      <c r="D209" s="10" t="s">
        <v>149</v>
      </c>
      <c r="E209" s="10" t="s">
        <v>2564</v>
      </c>
      <c r="F209" s="20" t="s">
        <v>233</v>
      </c>
      <c r="G209" s="10">
        <v>5.0</v>
      </c>
      <c r="H209" s="18">
        <v>144000.0</v>
      </c>
      <c r="I209" s="18">
        <v>720000.0</v>
      </c>
      <c r="J209" s="10" t="s">
        <v>103</v>
      </c>
      <c r="K209" s="10" t="s">
        <v>146</v>
      </c>
      <c r="L209" s="18">
        <f t="shared" si="7"/>
        <v>0</v>
      </c>
      <c r="M209" s="27"/>
      <c r="N209" s="25"/>
    </row>
    <row r="210" ht="15.75" customHeight="1">
      <c r="A210" s="10" t="s">
        <v>2570</v>
      </c>
      <c r="B210" s="10" t="s">
        <v>1469</v>
      </c>
      <c r="C210" s="13" t="str">
        <f t="array" ref="C210">IFERROR(INDEX('간병신청대장'!$B:$B,MATCH($B210,'간병신청대장'!$A:$A,0)),"")</f>
        <v>차상옥</v>
      </c>
      <c r="D210" s="10" t="s">
        <v>238</v>
      </c>
      <c r="E210" s="10" t="s">
        <v>2589</v>
      </c>
      <c r="F210" s="20" t="s">
        <v>240</v>
      </c>
      <c r="G210" s="10">
        <v>9.0</v>
      </c>
      <c r="H210" s="18">
        <v>144000.0</v>
      </c>
      <c r="I210" s="18">
        <v>1296000.0</v>
      </c>
      <c r="J210" s="10" t="s">
        <v>103</v>
      </c>
      <c r="K210" s="10" t="s">
        <v>146</v>
      </c>
      <c r="L210" s="18">
        <f t="shared" si="7"/>
        <v>0</v>
      </c>
      <c r="M210" s="27"/>
      <c r="N210" s="25"/>
    </row>
    <row r="211" ht="15.75" customHeight="1">
      <c r="A211" s="10" t="s">
        <v>2590</v>
      </c>
      <c r="B211" s="10" t="s">
        <v>1469</v>
      </c>
      <c r="C211" s="13" t="str">
        <f t="array" ref="C211">IFERROR(INDEX('간병신청대장'!$B:$B,MATCH($B211,'간병신청대장'!$A:$A,0)),"")</f>
        <v>차상옥</v>
      </c>
      <c r="D211" s="10" t="s">
        <v>261</v>
      </c>
      <c r="E211" s="10" t="s">
        <v>1473</v>
      </c>
      <c r="F211" s="20" t="s">
        <v>939</v>
      </c>
      <c r="G211" s="10">
        <v>7.0</v>
      </c>
      <c r="H211" s="18">
        <v>144000.0</v>
      </c>
      <c r="I211" s="18">
        <v>1008000.0</v>
      </c>
      <c r="J211" s="10" t="s">
        <v>103</v>
      </c>
      <c r="K211" s="10" t="s">
        <v>146</v>
      </c>
      <c r="L211" s="18">
        <f t="shared" si="7"/>
        <v>0</v>
      </c>
      <c r="M211" s="27"/>
      <c r="N211" s="25"/>
    </row>
    <row r="212" ht="15.75" customHeight="1">
      <c r="A212" s="10" t="s">
        <v>2597</v>
      </c>
      <c r="B212" s="10" t="s">
        <v>1476</v>
      </c>
      <c r="C212" s="13" t="str">
        <f t="array" ref="C212">IFERROR(INDEX('간병신청대장'!$B:$B,MATCH($B212,'간병신청대장'!$A:$A,0)),"")</f>
        <v>차상옥</v>
      </c>
      <c r="D212" s="10" t="s">
        <v>281</v>
      </c>
      <c r="E212" s="10" t="s">
        <v>1492</v>
      </c>
      <c r="F212" s="20" t="s">
        <v>2600</v>
      </c>
      <c r="G212" s="10">
        <v>10.0</v>
      </c>
      <c r="H212" s="8">
        <v>144000.0</v>
      </c>
      <c r="I212" s="8">
        <v>1440000.0</v>
      </c>
      <c r="J212" s="20" t="s">
        <v>103</v>
      </c>
      <c r="K212" s="20" t="s">
        <v>146</v>
      </c>
      <c r="L212" s="18">
        <f t="shared" si="7"/>
        <v>0</v>
      </c>
      <c r="M212" s="27"/>
      <c r="N212" s="25"/>
    </row>
    <row r="213" ht="15.75" customHeight="1">
      <c r="A213" s="10" t="s">
        <v>2605</v>
      </c>
      <c r="B213" s="10" t="s">
        <v>1476</v>
      </c>
      <c r="C213" s="13" t="str">
        <f t="array" ref="C213">IFERROR(INDEX('간병신청대장'!$B:$B,MATCH($B213,'간병신청대장'!$A:$A,0)),"")</f>
        <v>차상옥</v>
      </c>
      <c r="D213" s="10" t="s">
        <v>567</v>
      </c>
      <c r="E213" s="10" t="s">
        <v>1492</v>
      </c>
      <c r="F213" s="20" t="s">
        <v>2611</v>
      </c>
      <c r="G213" s="10">
        <v>3.0</v>
      </c>
      <c r="H213" s="8">
        <v>144000.0</v>
      </c>
      <c r="I213" s="8">
        <v>432000.0</v>
      </c>
      <c r="J213" s="20" t="s">
        <v>103</v>
      </c>
      <c r="K213" s="20" t="s">
        <v>146</v>
      </c>
      <c r="L213" s="18">
        <f t="shared" si="7"/>
        <v>0</v>
      </c>
      <c r="M213" s="27"/>
      <c r="N213" s="25"/>
    </row>
    <row r="214" ht="15.75" customHeight="1">
      <c r="A214" s="10" t="s">
        <v>2612</v>
      </c>
      <c r="B214" s="10" t="s">
        <v>1494</v>
      </c>
      <c r="C214" s="13" t="str">
        <f t="array" ref="C214">IFERROR(INDEX('간병신청대장'!$B:$B,MATCH($B214,'간병신청대장'!$A:$A,0)),"")</f>
        <v>차상옥</v>
      </c>
      <c r="D214" s="10" t="s">
        <v>592</v>
      </c>
      <c r="E214" s="10" t="s">
        <v>1500</v>
      </c>
      <c r="F214" s="20" t="s">
        <v>834</v>
      </c>
      <c r="G214" s="10">
        <v>15.0</v>
      </c>
      <c r="H214" s="18">
        <v>144000.0</v>
      </c>
      <c r="I214" s="18">
        <v>2160000.0</v>
      </c>
      <c r="J214" s="10" t="s">
        <v>103</v>
      </c>
      <c r="K214" s="10" t="s">
        <v>146</v>
      </c>
      <c r="L214" s="18">
        <f t="shared" si="7"/>
        <v>0</v>
      </c>
      <c r="M214" s="23"/>
      <c r="N214" s="26" t="s">
        <v>2620</v>
      </c>
    </row>
    <row r="215" ht="15.75" customHeight="1">
      <c r="A215" s="10" t="s">
        <v>2621</v>
      </c>
      <c r="B215" s="10" t="s">
        <v>1517</v>
      </c>
      <c r="C215" s="13" t="str">
        <f t="array" ref="C215">IFERROR(INDEX('간병신청대장'!$B:$B,MATCH($B215,'간병신청대장'!$A:$A,0)),"")</f>
        <v>김막례</v>
      </c>
      <c r="D215" s="10" t="s">
        <v>238</v>
      </c>
      <c r="E215" s="10" t="s">
        <v>239</v>
      </c>
      <c r="F215" s="20" t="s">
        <v>240</v>
      </c>
      <c r="G215" s="10">
        <v>12.0</v>
      </c>
      <c r="H215" s="18">
        <v>144000.0</v>
      </c>
      <c r="I215" s="18">
        <v>1728000.0</v>
      </c>
      <c r="J215" s="10" t="s">
        <v>103</v>
      </c>
      <c r="K215" s="10" t="s">
        <v>146</v>
      </c>
      <c r="L215" s="18">
        <f t="shared" si="7"/>
        <v>0</v>
      </c>
      <c r="M215" s="27"/>
      <c r="N215" s="25"/>
    </row>
    <row r="216" ht="15.75" customHeight="1">
      <c r="A216" s="10" t="s">
        <v>2632</v>
      </c>
      <c r="B216" s="10" t="s">
        <v>1517</v>
      </c>
      <c r="C216" s="13" t="str">
        <f t="array" ref="C216">IFERROR(INDEX('간병신청대장'!$B:$B,MATCH($B216,'간병신청대장'!$A:$A,0)),"")</f>
        <v>김막례</v>
      </c>
      <c r="D216" s="10" t="s">
        <v>261</v>
      </c>
      <c r="E216" s="10" t="s">
        <v>263</v>
      </c>
      <c r="F216" s="20" t="s">
        <v>264</v>
      </c>
      <c r="G216" s="10">
        <v>11.0</v>
      </c>
      <c r="H216" s="18">
        <v>144000.0</v>
      </c>
      <c r="I216" s="18">
        <v>1584000.0</v>
      </c>
      <c r="J216" s="10" t="s">
        <v>103</v>
      </c>
      <c r="K216" s="10" t="s">
        <v>146</v>
      </c>
      <c r="L216" s="18">
        <f t="shared" si="7"/>
        <v>0</v>
      </c>
      <c r="M216" s="27"/>
      <c r="N216" s="25"/>
    </row>
    <row r="217" ht="15.75" customHeight="1">
      <c r="A217" s="10" t="s">
        <v>2651</v>
      </c>
      <c r="B217" s="10" t="s">
        <v>1517</v>
      </c>
      <c r="C217" s="13" t="str">
        <f t="array" ref="C217">IFERROR(INDEX('간병신청대장'!$B:$B,MATCH($B217,'간병신청대장'!$A:$A,0)),"")</f>
        <v>김막례</v>
      </c>
      <c r="D217" s="10" t="s">
        <v>266</v>
      </c>
      <c r="E217" s="10" t="s">
        <v>1526</v>
      </c>
      <c r="F217" s="20" t="s">
        <v>1319</v>
      </c>
      <c r="G217" s="10">
        <v>4.0</v>
      </c>
      <c r="H217" s="18">
        <v>144000.0</v>
      </c>
      <c r="I217" s="18">
        <v>576000.0</v>
      </c>
      <c r="J217" s="10" t="s">
        <v>103</v>
      </c>
      <c r="K217" s="10" t="s">
        <v>146</v>
      </c>
      <c r="L217" s="18">
        <f t="shared" si="7"/>
        <v>0</v>
      </c>
      <c r="M217" s="27"/>
      <c r="N217" s="25"/>
    </row>
    <row r="218" ht="15.75" customHeight="1">
      <c r="A218" s="10" t="s">
        <v>2657</v>
      </c>
      <c r="B218" s="10" t="s">
        <v>1529</v>
      </c>
      <c r="C218" s="13" t="str">
        <f t="array" ref="C218">IFERROR(INDEX('간병신청대장'!$B:$B,MATCH($B218,'간병신청대장'!$A:$A,0)),"")</f>
        <v>이재철</v>
      </c>
      <c r="D218" s="10" t="s">
        <v>238</v>
      </c>
      <c r="E218" s="10" t="s">
        <v>2660</v>
      </c>
      <c r="F218" s="20" t="s">
        <v>240</v>
      </c>
      <c r="G218" s="10">
        <v>9.0</v>
      </c>
      <c r="H218" s="18">
        <v>144000.0</v>
      </c>
      <c r="I218" s="18">
        <v>1296000.0</v>
      </c>
      <c r="J218" s="10" t="s">
        <v>103</v>
      </c>
      <c r="K218" s="10" t="s">
        <v>146</v>
      </c>
      <c r="L218" s="18">
        <f t="shared" si="7"/>
        <v>0</v>
      </c>
      <c r="M218" s="27"/>
      <c r="N218" s="25"/>
    </row>
    <row r="219" ht="15.75" customHeight="1">
      <c r="A219" s="10" t="s">
        <v>2664</v>
      </c>
      <c r="B219" s="10" t="s">
        <v>1529</v>
      </c>
      <c r="C219" s="13" t="str">
        <f t="array" ref="C219">IFERROR(INDEX('간병신청대장'!$B:$B,MATCH($B219,'간병신청대장'!$A:$A,0)),"")</f>
        <v>이재철</v>
      </c>
      <c r="D219" s="10" t="s">
        <v>261</v>
      </c>
      <c r="E219" s="10" t="s">
        <v>1288</v>
      </c>
      <c r="F219" s="20" t="s">
        <v>264</v>
      </c>
      <c r="G219" s="10">
        <v>11.0</v>
      </c>
      <c r="H219" s="18">
        <v>144000.0</v>
      </c>
      <c r="I219" s="18">
        <v>1584000.0</v>
      </c>
      <c r="J219" s="10" t="s">
        <v>103</v>
      </c>
      <c r="K219" s="10" t="s">
        <v>146</v>
      </c>
      <c r="L219" s="18">
        <f t="shared" si="7"/>
        <v>0</v>
      </c>
      <c r="M219" s="27"/>
      <c r="N219" s="25"/>
    </row>
    <row r="220" ht="15.75" customHeight="1">
      <c r="A220" s="10" t="s">
        <v>2670</v>
      </c>
      <c r="B220" s="10" t="s">
        <v>1529</v>
      </c>
      <c r="C220" s="13" t="str">
        <f t="array" ref="C220">IFERROR(INDEX('간병신청대장'!$B:$B,MATCH($B220,'간병신청대장'!$A:$A,0)),"")</f>
        <v>이재철</v>
      </c>
      <c r="D220" s="10" t="s">
        <v>266</v>
      </c>
      <c r="E220" s="10" t="s">
        <v>2676</v>
      </c>
      <c r="F220" s="20" t="s">
        <v>269</v>
      </c>
      <c r="G220" s="10">
        <v>10.0</v>
      </c>
      <c r="H220" s="18">
        <v>144000.0</v>
      </c>
      <c r="I220" s="18">
        <v>1440000.0</v>
      </c>
      <c r="J220" s="10" t="s">
        <v>103</v>
      </c>
      <c r="K220" s="10" t="s">
        <v>146</v>
      </c>
      <c r="L220" s="18">
        <f t="shared" si="7"/>
        <v>0</v>
      </c>
      <c r="M220" s="27"/>
      <c r="N220" s="25"/>
    </row>
    <row r="221" ht="15.75" customHeight="1">
      <c r="A221" s="10" t="s">
        <v>2684</v>
      </c>
      <c r="B221" s="10" t="s">
        <v>1529</v>
      </c>
      <c r="C221" s="13" t="str">
        <f t="array" ref="C221">IFERROR(INDEX('간병신청대장'!$B:$B,MATCH($B221,'간병신청대장'!$A:$A,0)),"")</f>
        <v>이재철</v>
      </c>
      <c r="D221" s="10" t="s">
        <v>281</v>
      </c>
      <c r="E221" s="10" t="s">
        <v>2692</v>
      </c>
      <c r="F221" s="20" t="s">
        <v>557</v>
      </c>
      <c r="G221" s="10">
        <v>10.0</v>
      </c>
      <c r="H221" s="18">
        <v>144000.0</v>
      </c>
      <c r="I221" s="18">
        <v>1440000.0</v>
      </c>
      <c r="J221" s="10" t="s">
        <v>103</v>
      </c>
      <c r="K221" s="10" t="s">
        <v>146</v>
      </c>
      <c r="L221" s="18">
        <f t="shared" si="7"/>
        <v>0</v>
      </c>
      <c r="M221" s="27"/>
      <c r="N221" s="25"/>
    </row>
    <row r="222" ht="15.75" customHeight="1">
      <c r="A222" s="10" t="s">
        <v>2693</v>
      </c>
      <c r="B222" s="10" t="s">
        <v>1551</v>
      </c>
      <c r="C222" s="13" t="str">
        <f t="array" ref="C222">IFERROR(INDEX('간병신청대장'!$B:$B,MATCH($B222,'간병신청대장'!$A:$A,0)),"")</f>
        <v>이재철</v>
      </c>
      <c r="D222" s="10" t="s">
        <v>567</v>
      </c>
      <c r="E222" s="10" t="s">
        <v>2699</v>
      </c>
      <c r="F222" s="20" t="s">
        <v>569</v>
      </c>
      <c r="G222" s="10">
        <v>10.0</v>
      </c>
      <c r="H222" s="18">
        <v>144000.0</v>
      </c>
      <c r="I222" s="18">
        <v>1440000.0</v>
      </c>
      <c r="J222" s="10" t="s">
        <v>103</v>
      </c>
      <c r="K222" s="10" t="s">
        <v>146</v>
      </c>
      <c r="L222" s="18">
        <f t="shared" si="7"/>
        <v>0</v>
      </c>
      <c r="M222" s="27"/>
      <c r="N222" s="25"/>
    </row>
    <row r="223" ht="15.75" customHeight="1">
      <c r="A223" s="10" t="s">
        <v>2703</v>
      </c>
      <c r="B223" s="10" t="s">
        <v>1551</v>
      </c>
      <c r="C223" s="13" t="str">
        <f t="array" ref="C223">IFERROR(INDEX('간병신청대장'!$B:$B,MATCH($B223,'간병신청대장'!$A:$A,0)),"")</f>
        <v>이재철</v>
      </c>
      <c r="D223" s="10" t="s">
        <v>592</v>
      </c>
      <c r="E223" s="10" t="s">
        <v>2714</v>
      </c>
      <c r="F223" s="20" t="s">
        <v>595</v>
      </c>
      <c r="G223" s="10">
        <v>10.0</v>
      </c>
      <c r="H223" s="8">
        <v>144000.0</v>
      </c>
      <c r="I223" s="63">
        <f t="shared" ref="I223:I226" si="12">G223*H223</f>
        <v>1440000</v>
      </c>
      <c r="J223" s="27" t="s">
        <v>103</v>
      </c>
      <c r="K223" s="23" t="s">
        <v>146</v>
      </c>
      <c r="L223" s="18">
        <f t="shared" si="7"/>
        <v>0</v>
      </c>
      <c r="M223" s="27"/>
      <c r="N223" s="25"/>
    </row>
    <row r="224" ht="15.75" customHeight="1">
      <c r="A224" s="10" t="s">
        <v>2716</v>
      </c>
      <c r="B224" s="10" t="s">
        <v>1551</v>
      </c>
      <c r="C224" s="13" t="str">
        <f t="array" ref="C224">IFERROR(INDEX('간병신청대장'!$B:$B,MATCH($B224,'간병신청대장'!$A:$A,0)),"")</f>
        <v>이재철</v>
      </c>
      <c r="D224" s="10" t="s">
        <v>112</v>
      </c>
      <c r="E224" s="10" t="s">
        <v>2729</v>
      </c>
      <c r="F224" s="20" t="s">
        <v>113</v>
      </c>
      <c r="G224" s="10">
        <v>10.0</v>
      </c>
      <c r="H224" s="8">
        <v>144000.0</v>
      </c>
      <c r="I224" s="63">
        <f t="shared" si="12"/>
        <v>1440000</v>
      </c>
      <c r="J224" s="27" t="s">
        <v>103</v>
      </c>
      <c r="K224" s="23" t="s">
        <v>146</v>
      </c>
      <c r="L224" s="18">
        <f t="shared" si="7"/>
        <v>0</v>
      </c>
      <c r="M224" s="27"/>
      <c r="N224" s="25"/>
    </row>
    <row r="225" ht="15.75" customHeight="1">
      <c r="A225" s="10" t="s">
        <v>2733</v>
      </c>
      <c r="B225" s="10" t="s">
        <v>1551</v>
      </c>
      <c r="C225" s="13" t="str">
        <f t="array" ref="C225">IFERROR(INDEX('간병신청대장'!$B:$B,MATCH($B225,'간병신청대장'!$A:$A,0)),"")</f>
        <v>이재철</v>
      </c>
      <c r="D225" s="10" t="s">
        <v>194</v>
      </c>
      <c r="E225" s="10" t="s">
        <v>2735</v>
      </c>
      <c r="F225" s="20" t="s">
        <v>629</v>
      </c>
      <c r="G225" s="10">
        <v>11.0</v>
      </c>
      <c r="H225" s="8">
        <v>144000.0</v>
      </c>
      <c r="I225" s="63">
        <f t="shared" si="12"/>
        <v>1584000</v>
      </c>
      <c r="J225" s="27" t="s">
        <v>103</v>
      </c>
      <c r="K225" s="23" t="s">
        <v>146</v>
      </c>
      <c r="L225" s="18">
        <f t="shared" si="7"/>
        <v>0</v>
      </c>
      <c r="M225" s="27"/>
      <c r="N225" s="25"/>
    </row>
    <row r="226" ht="15.75" customHeight="1">
      <c r="A226" s="10" t="s">
        <v>2743</v>
      </c>
      <c r="B226" s="10" t="s">
        <v>1551</v>
      </c>
      <c r="C226" s="13" t="str">
        <f t="array" ref="C226">IFERROR(INDEX('간병신청대장'!$B:$B,MATCH($B226,'간병신청대장'!$A:$A,0)),"")</f>
        <v>이재철</v>
      </c>
      <c r="D226" s="10" t="s">
        <v>622</v>
      </c>
      <c r="E226" s="10" t="s">
        <v>2752</v>
      </c>
      <c r="F226" s="20" t="s">
        <v>645</v>
      </c>
      <c r="G226" s="10">
        <v>10.0</v>
      </c>
      <c r="H226" s="8">
        <v>144000.0</v>
      </c>
      <c r="I226" s="63">
        <f t="shared" si="12"/>
        <v>1440000</v>
      </c>
      <c r="J226" s="10" t="s">
        <v>103</v>
      </c>
      <c r="K226" s="20" t="s">
        <v>146</v>
      </c>
      <c r="L226" s="18">
        <f t="shared" si="7"/>
        <v>0</v>
      </c>
      <c r="M226" s="23"/>
      <c r="N226" s="26" t="s">
        <v>2755</v>
      </c>
    </row>
    <row r="227" ht="15.75" customHeight="1">
      <c r="A227" s="10" t="s">
        <v>2758</v>
      </c>
      <c r="B227" s="10" t="s">
        <v>1559</v>
      </c>
      <c r="C227" s="13" t="str">
        <f t="array" ref="C227">IFERROR(INDEX('간병신청대장'!$B:$B,MATCH($B227,'간병신청대장'!$A:$A,0)),"")</f>
        <v>지창호</v>
      </c>
      <c r="D227" s="10" t="s">
        <v>238</v>
      </c>
      <c r="E227" s="10" t="s">
        <v>1572</v>
      </c>
      <c r="F227" s="20" t="s">
        <v>240</v>
      </c>
      <c r="G227" s="10">
        <v>2.0</v>
      </c>
      <c r="H227" s="18">
        <v>129000.0</v>
      </c>
      <c r="I227" s="18">
        <v>258000.0</v>
      </c>
      <c r="J227" s="10" t="s">
        <v>103</v>
      </c>
      <c r="K227" s="10" t="s">
        <v>146</v>
      </c>
      <c r="L227" s="18">
        <f t="shared" si="7"/>
        <v>0</v>
      </c>
      <c r="M227" s="27"/>
      <c r="N227" s="25"/>
    </row>
    <row r="228" ht="15.75" customHeight="1">
      <c r="A228" s="10" t="s">
        <v>2765</v>
      </c>
      <c r="B228" s="10" t="s">
        <v>1576</v>
      </c>
      <c r="C228" s="13" t="str">
        <f t="array" ref="C228">IFERROR(INDEX('간병신청대장'!$B:$B,MATCH($B228,'간병신청대장'!$A:$A,0)),"")</f>
        <v>박수미</v>
      </c>
      <c r="D228" s="10" t="s">
        <v>266</v>
      </c>
      <c r="E228" s="10" t="s">
        <v>1581</v>
      </c>
      <c r="F228" s="20" t="s">
        <v>1811</v>
      </c>
      <c r="G228" s="10">
        <v>6.0</v>
      </c>
      <c r="H228" s="8">
        <v>86000.0</v>
      </c>
      <c r="I228" s="18">
        <f>G228*H228</f>
        <v>516000</v>
      </c>
      <c r="J228" s="10" t="s">
        <v>103</v>
      </c>
      <c r="K228" s="10" t="s">
        <v>146</v>
      </c>
      <c r="L228" s="18">
        <f t="shared" si="7"/>
        <v>0</v>
      </c>
      <c r="M228" s="27"/>
      <c r="N228" s="25"/>
    </row>
    <row r="229" ht="15.75" customHeight="1">
      <c r="A229" s="10" t="s">
        <v>2774</v>
      </c>
      <c r="B229" s="10" t="s">
        <v>1583</v>
      </c>
      <c r="C229" s="13" t="str">
        <f t="array" ref="C229">IFERROR(INDEX('간병신청대장'!$B:$B,MATCH($B229,'간병신청대장'!$A:$A,0)),"")</f>
        <v>이상수</v>
      </c>
      <c r="D229" s="10" t="s">
        <v>238</v>
      </c>
      <c r="E229" s="10" t="s">
        <v>2589</v>
      </c>
      <c r="F229" s="20" t="s">
        <v>240</v>
      </c>
      <c r="G229" s="10">
        <v>7.0</v>
      </c>
      <c r="H229" s="18">
        <v>144000.0</v>
      </c>
      <c r="I229" s="18">
        <v>1008000.0</v>
      </c>
      <c r="J229" s="10" t="s">
        <v>103</v>
      </c>
      <c r="K229" s="10" t="s">
        <v>146</v>
      </c>
      <c r="L229" s="18">
        <f t="shared" si="7"/>
        <v>0</v>
      </c>
      <c r="M229" s="27"/>
      <c r="N229" s="25"/>
    </row>
    <row r="230" ht="15.75" customHeight="1">
      <c r="A230" s="10" t="s">
        <v>2790</v>
      </c>
      <c r="B230" s="10" t="s">
        <v>1583</v>
      </c>
      <c r="C230" s="13" t="str">
        <f t="array" ref="C230">IFERROR(INDEX('간병신청대장'!$B:$B,MATCH($B230,'간병신청대장'!$A:$A,0)),"")</f>
        <v>이상수</v>
      </c>
      <c r="D230" s="10" t="s">
        <v>261</v>
      </c>
      <c r="E230" s="10" t="s">
        <v>1598</v>
      </c>
      <c r="F230" s="20" t="s">
        <v>939</v>
      </c>
      <c r="G230" s="10">
        <v>8.0</v>
      </c>
      <c r="H230" s="18">
        <v>144000.0</v>
      </c>
      <c r="I230" s="18">
        <v>1152000.0</v>
      </c>
      <c r="J230" s="10" t="s">
        <v>103</v>
      </c>
      <c r="K230" s="10" t="s">
        <v>146</v>
      </c>
      <c r="L230" s="18">
        <f t="shared" si="7"/>
        <v>0</v>
      </c>
      <c r="M230" s="27"/>
      <c r="N230" s="25"/>
    </row>
    <row r="231" ht="15.75" customHeight="1">
      <c r="A231" s="10" t="s">
        <v>2795</v>
      </c>
      <c r="B231" s="10" t="s">
        <v>1601</v>
      </c>
      <c r="C231" s="13" t="str">
        <f t="array" ref="C231">IFERROR(INDEX('간병신청대장'!$B:$B,MATCH($B231,'간병신청대장'!$A:$A,0)),"")</f>
        <v>박주희</v>
      </c>
      <c r="D231" s="10" t="s">
        <v>266</v>
      </c>
      <c r="E231" s="10" t="s">
        <v>1609</v>
      </c>
      <c r="F231" s="20" t="s">
        <v>1319</v>
      </c>
      <c r="G231" s="10">
        <v>1.0</v>
      </c>
      <c r="H231" s="18">
        <v>140000.0</v>
      </c>
      <c r="I231" s="18">
        <v>140000.0</v>
      </c>
      <c r="J231" s="10" t="s">
        <v>103</v>
      </c>
      <c r="K231" s="10" t="s">
        <v>146</v>
      </c>
      <c r="L231" s="18">
        <f t="shared" si="7"/>
        <v>0</v>
      </c>
      <c r="M231" s="27"/>
      <c r="N231" s="25"/>
    </row>
    <row r="232" ht="15.75" customHeight="1">
      <c r="A232" s="10" t="s">
        <v>2808</v>
      </c>
      <c r="B232" s="10" t="s">
        <v>1612</v>
      </c>
      <c r="C232" s="13" t="str">
        <f t="array" ref="C232">IFERROR(INDEX('간병신청대장'!$B:$B,MATCH($B232,'간병신청대장'!$A:$A,0)),"")</f>
        <v>박주희</v>
      </c>
      <c r="D232" s="10" t="s">
        <v>266</v>
      </c>
      <c r="E232" s="10" t="s">
        <v>1626</v>
      </c>
      <c r="F232" s="20" t="s">
        <v>1743</v>
      </c>
      <c r="G232" s="10">
        <v>1.0</v>
      </c>
      <c r="H232" s="18">
        <v>140000.0</v>
      </c>
      <c r="I232" s="18">
        <v>140000.0</v>
      </c>
      <c r="J232" s="10" t="s">
        <v>103</v>
      </c>
      <c r="K232" s="10" t="s">
        <v>146</v>
      </c>
      <c r="L232" s="18">
        <f t="shared" si="7"/>
        <v>0</v>
      </c>
      <c r="M232" s="27"/>
      <c r="N232" s="25"/>
    </row>
    <row r="233" ht="15.75" customHeight="1">
      <c r="A233" s="10" t="s">
        <v>2822</v>
      </c>
      <c r="B233" s="10" t="s">
        <v>1629</v>
      </c>
      <c r="C233" s="13" t="str">
        <f t="array" ref="C233">IFERROR(INDEX('간병신청대장'!$B:$B,MATCH($B233,'간병신청대장'!$A:$A,0)),"")</f>
        <v>박주희</v>
      </c>
      <c r="D233" s="10" t="s">
        <v>266</v>
      </c>
      <c r="E233" s="10" t="s">
        <v>773</v>
      </c>
      <c r="F233" s="20" t="s">
        <v>269</v>
      </c>
      <c r="G233" s="10">
        <v>4.0</v>
      </c>
      <c r="H233" s="18">
        <v>140000.0</v>
      </c>
      <c r="I233" s="18">
        <v>560000.0</v>
      </c>
      <c r="J233" s="10" t="s">
        <v>103</v>
      </c>
      <c r="K233" s="10" t="s">
        <v>146</v>
      </c>
      <c r="L233" s="18">
        <f t="shared" si="7"/>
        <v>0</v>
      </c>
      <c r="M233" s="27"/>
      <c r="N233" s="25"/>
    </row>
    <row r="234" ht="15.75" customHeight="1">
      <c r="A234" s="10" t="s">
        <v>2832</v>
      </c>
      <c r="B234" s="10" t="s">
        <v>1639</v>
      </c>
      <c r="C234" s="13" t="str">
        <f t="array" ref="C234">IFERROR(INDEX('간병신청대장'!$B:$B,MATCH($B234,'간병신청대장'!$A:$A,0)),"")</f>
        <v>박주희</v>
      </c>
      <c r="D234" s="10" t="s">
        <v>567</v>
      </c>
      <c r="E234" s="10" t="s">
        <v>2837</v>
      </c>
      <c r="F234" s="20" t="s">
        <v>2838</v>
      </c>
      <c r="G234" s="10">
        <v>7.0</v>
      </c>
      <c r="H234" s="18">
        <v>140000.0</v>
      </c>
      <c r="I234" s="18">
        <v>980000.0</v>
      </c>
      <c r="J234" s="10" t="s">
        <v>103</v>
      </c>
      <c r="K234" s="10" t="s">
        <v>146</v>
      </c>
      <c r="L234" s="18">
        <f t="shared" si="7"/>
        <v>0</v>
      </c>
      <c r="M234" s="27"/>
      <c r="N234" s="25"/>
    </row>
    <row r="235" ht="15.75" customHeight="1">
      <c r="A235" s="10" t="s">
        <v>2841</v>
      </c>
      <c r="B235" s="10" t="s">
        <v>1649</v>
      </c>
      <c r="C235" s="13" t="str">
        <f t="array" ref="C235">IFERROR(INDEX('간병신청대장'!$B:$B,MATCH($B235,'간병신청대장'!$A:$A,0)),"")</f>
        <v>박주희</v>
      </c>
      <c r="D235" s="10" t="s">
        <v>567</v>
      </c>
      <c r="E235" s="10" t="s">
        <v>2871</v>
      </c>
      <c r="F235" s="20" t="s">
        <v>2873</v>
      </c>
      <c r="G235" s="10">
        <v>1.0</v>
      </c>
      <c r="H235" s="18">
        <v>140000.0</v>
      </c>
      <c r="I235" s="18">
        <v>140000.0</v>
      </c>
      <c r="J235" s="10" t="s">
        <v>103</v>
      </c>
      <c r="K235" s="10" t="s">
        <v>146</v>
      </c>
      <c r="L235" s="18">
        <f t="shared" si="7"/>
        <v>0</v>
      </c>
      <c r="M235" s="27"/>
      <c r="N235" s="25"/>
    </row>
    <row r="236" ht="15.75" customHeight="1">
      <c r="A236" s="10" t="s">
        <v>2875</v>
      </c>
      <c r="B236" s="10" t="s">
        <v>1658</v>
      </c>
      <c r="C236" s="13" t="str">
        <f t="array" ref="C236">IFERROR(INDEX('간병신청대장'!$B:$B,MATCH($B236,'간병신청대장'!$A:$A,0)),"")</f>
        <v>박은희</v>
      </c>
      <c r="D236" s="10" t="s">
        <v>238</v>
      </c>
      <c r="E236" s="10" t="s">
        <v>1666</v>
      </c>
      <c r="F236" s="20" t="s">
        <v>2889</v>
      </c>
      <c r="G236" s="10">
        <v>2.0</v>
      </c>
      <c r="H236" s="18">
        <v>144000.0</v>
      </c>
      <c r="I236" s="18">
        <v>288000.0</v>
      </c>
      <c r="J236" s="10" t="s">
        <v>103</v>
      </c>
      <c r="K236" s="10" t="s">
        <v>146</v>
      </c>
      <c r="L236" s="18">
        <f t="shared" si="7"/>
        <v>0</v>
      </c>
      <c r="M236" s="27"/>
      <c r="N236" s="25"/>
    </row>
    <row r="237" ht="15.75" customHeight="1">
      <c r="A237" s="10" t="s">
        <v>2890</v>
      </c>
      <c r="B237" s="10" t="s">
        <v>1670</v>
      </c>
      <c r="C237" s="13" t="str">
        <f t="array" ref="C237">IFERROR(INDEX('간병신청대장'!$B:$B,MATCH($B237,'간병신청대장'!$A:$A,0)),"")</f>
        <v>박은희</v>
      </c>
      <c r="D237" s="10" t="s">
        <v>266</v>
      </c>
      <c r="E237" s="10" t="s">
        <v>2899</v>
      </c>
      <c r="F237" s="20" t="s">
        <v>269</v>
      </c>
      <c r="G237" s="10">
        <v>4.0</v>
      </c>
      <c r="H237" s="18">
        <v>144000.0</v>
      </c>
      <c r="I237" s="18">
        <v>576000.0</v>
      </c>
      <c r="J237" s="10" t="s">
        <v>103</v>
      </c>
      <c r="K237" s="10" t="s">
        <v>146</v>
      </c>
      <c r="L237" s="18">
        <f t="shared" si="7"/>
        <v>0</v>
      </c>
      <c r="M237" s="27"/>
      <c r="N237" s="25"/>
    </row>
    <row r="238" ht="15.75" customHeight="1">
      <c r="A238" s="10" t="s">
        <v>2904</v>
      </c>
      <c r="B238" s="10" t="s">
        <v>1670</v>
      </c>
      <c r="C238" s="13" t="str">
        <f t="array" ref="C238">IFERROR(INDEX('간병신청대장'!$B:$B,MATCH($B238,'간병신청대장'!$A:$A,0)),"")</f>
        <v>박은희</v>
      </c>
      <c r="D238" s="10" t="s">
        <v>281</v>
      </c>
      <c r="E238" s="10" t="s">
        <v>1674</v>
      </c>
      <c r="F238" s="20" t="s">
        <v>791</v>
      </c>
      <c r="G238" s="10">
        <v>9.0</v>
      </c>
      <c r="H238" s="18">
        <v>144000.0</v>
      </c>
      <c r="I238" s="18">
        <v>1296000.0</v>
      </c>
      <c r="J238" s="10" t="s">
        <v>103</v>
      </c>
      <c r="K238" s="10" t="s">
        <v>146</v>
      </c>
      <c r="L238" s="18">
        <f t="shared" si="7"/>
        <v>0</v>
      </c>
      <c r="M238" s="27"/>
      <c r="N238" s="25"/>
    </row>
    <row r="239" ht="15.75" customHeight="1">
      <c r="A239" s="10" t="s">
        <v>2928</v>
      </c>
      <c r="B239" s="10" t="s">
        <v>1678</v>
      </c>
      <c r="C239" s="13" t="str">
        <f t="array" ref="C239">IFERROR(INDEX('간병신청대장'!$B:$B,MATCH($B239,'간병신청대장'!$A:$A,0)),"")</f>
        <v>박은희</v>
      </c>
      <c r="D239" s="10" t="s">
        <v>112</v>
      </c>
      <c r="E239" s="10" t="s">
        <v>1682</v>
      </c>
      <c r="F239" s="20" t="s">
        <v>2934</v>
      </c>
      <c r="G239" s="10">
        <v>9.0</v>
      </c>
      <c r="H239" s="18">
        <v>144000.0</v>
      </c>
      <c r="I239" s="18">
        <v>1296000.0</v>
      </c>
      <c r="J239" s="10" t="s">
        <v>103</v>
      </c>
      <c r="K239" s="10" t="s">
        <v>146</v>
      </c>
      <c r="L239" s="18">
        <f t="shared" si="7"/>
        <v>0</v>
      </c>
      <c r="M239" s="27"/>
      <c r="N239" s="25"/>
    </row>
    <row r="240" ht="15.75" customHeight="1">
      <c r="A240" s="10" t="s">
        <v>2937</v>
      </c>
      <c r="B240" s="10" t="s">
        <v>1684</v>
      </c>
      <c r="C240" s="13" t="str">
        <f t="array" ref="C240">IFERROR(INDEX('간병신청대장'!$B:$B,MATCH($B240,'간병신청대장'!$A:$A,0)),"")</f>
        <v>박은희</v>
      </c>
      <c r="D240" s="10" t="s">
        <v>112</v>
      </c>
      <c r="E240" s="10" t="s">
        <v>1690</v>
      </c>
      <c r="F240" s="20" t="s">
        <v>2951</v>
      </c>
      <c r="G240" s="10">
        <v>7.0</v>
      </c>
      <c r="H240" s="18">
        <v>144000.0</v>
      </c>
      <c r="I240" s="18">
        <v>1008000.0</v>
      </c>
      <c r="J240" s="10" t="s">
        <v>103</v>
      </c>
      <c r="K240" s="10" t="s">
        <v>146</v>
      </c>
      <c r="L240" s="18">
        <f t="shared" si="7"/>
        <v>0</v>
      </c>
      <c r="M240" s="27"/>
      <c r="N240" s="25"/>
    </row>
    <row r="241" ht="15.75" customHeight="1">
      <c r="A241" s="10" t="s">
        <v>2956</v>
      </c>
      <c r="B241" s="10" t="s">
        <v>1692</v>
      </c>
      <c r="C241" s="13" t="str">
        <f t="array" ref="C241">IFERROR(INDEX('간병신청대장'!$B:$B,MATCH($B241,'간병신청대장'!$A:$A,0)),"")</f>
        <v>박은희</v>
      </c>
      <c r="D241" s="10" t="s">
        <v>112</v>
      </c>
      <c r="E241" s="10" t="s">
        <v>2008</v>
      </c>
      <c r="F241" s="20" t="s">
        <v>113</v>
      </c>
      <c r="G241" s="10">
        <v>9.0</v>
      </c>
      <c r="H241" s="18">
        <v>144000.0</v>
      </c>
      <c r="I241" s="18">
        <v>1296000.0</v>
      </c>
      <c r="J241" s="10" t="s">
        <v>103</v>
      </c>
      <c r="K241" s="10" t="s">
        <v>146</v>
      </c>
      <c r="L241" s="18">
        <f t="shared" si="7"/>
        <v>0</v>
      </c>
      <c r="M241" s="27"/>
      <c r="N241" s="25"/>
    </row>
    <row r="242" ht="15.75" customHeight="1">
      <c r="A242" s="10" t="s">
        <v>3000</v>
      </c>
      <c r="B242" s="10" t="s">
        <v>1692</v>
      </c>
      <c r="C242" s="13" t="str">
        <f t="array" ref="C242">IFERROR(INDEX('간병신청대장'!$B:$B,MATCH($B242,'간병신청대장'!$A:$A,0)),"")</f>
        <v>박은희</v>
      </c>
      <c r="D242" s="10" t="s">
        <v>194</v>
      </c>
      <c r="E242" s="10" t="s">
        <v>1846</v>
      </c>
      <c r="F242" s="20" t="s">
        <v>629</v>
      </c>
      <c r="G242" s="10">
        <v>11.0</v>
      </c>
      <c r="H242" s="18">
        <v>144000.0</v>
      </c>
      <c r="I242" s="18">
        <v>1584000.0</v>
      </c>
      <c r="J242" s="10" t="s">
        <v>103</v>
      </c>
      <c r="K242" s="10" t="s">
        <v>146</v>
      </c>
      <c r="L242" s="18">
        <f t="shared" si="7"/>
        <v>0</v>
      </c>
      <c r="M242" s="27"/>
      <c r="N242" s="25"/>
    </row>
    <row r="243" ht="30.75" customHeight="1">
      <c r="A243" s="10" t="s">
        <v>3038</v>
      </c>
      <c r="B243" s="10" t="s">
        <v>1692</v>
      </c>
      <c r="C243" s="13" t="str">
        <f t="array" ref="C243">IFERROR(INDEX('간병신청대장'!$B:$B,MATCH($B243,'간병신청대장'!$A:$A,0)),"")</f>
        <v>박은희</v>
      </c>
      <c r="D243" s="10" t="s">
        <v>622</v>
      </c>
      <c r="E243" s="10" t="s">
        <v>3076</v>
      </c>
      <c r="F243" s="20" t="s">
        <v>3078</v>
      </c>
      <c r="G243" s="10">
        <v>5.0</v>
      </c>
      <c r="H243" s="8">
        <v>144000.0</v>
      </c>
      <c r="I243" s="63"/>
      <c r="J243" s="23" t="s">
        <v>103</v>
      </c>
      <c r="K243" s="10" t="s">
        <v>104</v>
      </c>
      <c r="L243" s="18">
        <f t="shared" si="7"/>
        <v>720000</v>
      </c>
      <c r="M243" s="23" t="s">
        <v>3089</v>
      </c>
      <c r="N243" s="24" t="s">
        <v>3091</v>
      </c>
    </row>
    <row r="244" ht="15.75" customHeight="1">
      <c r="A244" s="10" t="s">
        <v>3094</v>
      </c>
      <c r="B244" s="10" t="s">
        <v>3095</v>
      </c>
      <c r="C244" s="13" t="str">
        <f t="array" ref="C244">IFERROR(INDEX('간병신청대장'!$B:$B,MATCH($B244,'간병신청대장'!$A:$A,0)),"")</f>
        <v>박흥규</v>
      </c>
      <c r="D244" s="10" t="s">
        <v>266</v>
      </c>
      <c r="E244" s="10" t="s">
        <v>739</v>
      </c>
      <c r="F244" s="20" t="s">
        <v>1319</v>
      </c>
      <c r="G244" s="10">
        <v>6.0</v>
      </c>
      <c r="H244" s="8">
        <v>86000.0</v>
      </c>
      <c r="I244" s="8">
        <f>G244*H244</f>
        <v>516000</v>
      </c>
      <c r="J244" s="20" t="s">
        <v>103</v>
      </c>
      <c r="K244" s="20" t="s">
        <v>146</v>
      </c>
      <c r="L244" s="18">
        <f t="shared" si="7"/>
        <v>0</v>
      </c>
      <c r="M244" s="23"/>
      <c r="N244" s="34" t="s">
        <v>3156</v>
      </c>
    </row>
    <row r="245" ht="15.75" customHeight="1">
      <c r="A245" s="10" t="s">
        <v>3160</v>
      </c>
      <c r="B245" s="10" t="s">
        <v>1696</v>
      </c>
      <c r="C245" s="13" t="str">
        <f t="array" ref="C245">IFERROR(INDEX('간병신청대장'!$B:$B,MATCH($B245,'간병신청대장'!$A:$A,0)),"")</f>
        <v>지영순</v>
      </c>
      <c r="D245" s="10" t="s">
        <v>261</v>
      </c>
      <c r="E245" s="10" t="s">
        <v>185</v>
      </c>
      <c r="F245" s="20" t="s">
        <v>264</v>
      </c>
      <c r="G245" s="10">
        <v>9.0</v>
      </c>
      <c r="H245" s="18">
        <v>124000.0</v>
      </c>
      <c r="I245" s="18">
        <v>1116000.0</v>
      </c>
      <c r="J245" s="10" t="s">
        <v>103</v>
      </c>
      <c r="K245" s="10" t="s">
        <v>146</v>
      </c>
      <c r="L245" s="18">
        <f t="shared" si="7"/>
        <v>0</v>
      </c>
      <c r="M245" s="27"/>
      <c r="N245" s="25"/>
    </row>
    <row r="246" ht="15.75" customHeight="1">
      <c r="A246" s="10" t="s">
        <v>3201</v>
      </c>
      <c r="B246" s="10" t="s">
        <v>1696</v>
      </c>
      <c r="C246" s="13" t="str">
        <f t="array" ref="C246">IFERROR(INDEX('간병신청대장'!$B:$B,MATCH($B246,'간병신청대장'!$A:$A,0)),"")</f>
        <v>지영순</v>
      </c>
      <c r="D246" s="10" t="s">
        <v>266</v>
      </c>
      <c r="E246" s="10" t="s">
        <v>2676</v>
      </c>
      <c r="F246" s="20" t="s">
        <v>269</v>
      </c>
      <c r="G246" s="10">
        <v>11.0</v>
      </c>
      <c r="H246" s="18">
        <v>124000.0</v>
      </c>
      <c r="I246" s="18">
        <v>1364000.0</v>
      </c>
      <c r="J246" s="10" t="s">
        <v>103</v>
      </c>
      <c r="K246" s="10" t="s">
        <v>146</v>
      </c>
      <c r="L246" s="18">
        <f t="shared" si="7"/>
        <v>0</v>
      </c>
      <c r="M246" s="27"/>
      <c r="N246" s="25"/>
    </row>
    <row r="247" ht="15.75" customHeight="1">
      <c r="A247" s="10" t="s">
        <v>3227</v>
      </c>
      <c r="B247" s="10" t="s">
        <v>1696</v>
      </c>
      <c r="C247" s="13" t="str">
        <f t="array" ref="C247">IFERROR(INDEX('간병신청대장'!$B:$B,MATCH($B247,'간병신청대장'!$A:$A,0)),"")</f>
        <v>지영순</v>
      </c>
      <c r="D247" s="10" t="s">
        <v>281</v>
      </c>
      <c r="E247" s="10" t="s">
        <v>2711</v>
      </c>
      <c r="F247" s="20" t="s">
        <v>557</v>
      </c>
      <c r="G247" s="10">
        <v>9.0</v>
      </c>
      <c r="H247" s="18">
        <v>124000.0</v>
      </c>
      <c r="I247" s="18">
        <v>1116000.0</v>
      </c>
      <c r="J247" s="10" t="s">
        <v>103</v>
      </c>
      <c r="K247" s="10" t="s">
        <v>146</v>
      </c>
      <c r="L247" s="18">
        <f t="shared" si="7"/>
        <v>0</v>
      </c>
      <c r="M247" s="27"/>
      <c r="N247" s="25"/>
    </row>
    <row r="248" ht="15.75" customHeight="1">
      <c r="A248" s="10" t="s">
        <v>3230</v>
      </c>
      <c r="B248" s="10" t="s">
        <v>1696</v>
      </c>
      <c r="C248" s="13" t="str">
        <f t="array" ref="C248">IFERROR(INDEX('간병신청대장'!$B:$B,MATCH($B248,'간병신청대장'!$A:$A,0)),"")</f>
        <v>지영순</v>
      </c>
      <c r="D248" s="10" t="s">
        <v>567</v>
      </c>
      <c r="E248" s="10" t="s">
        <v>2732</v>
      </c>
      <c r="F248" s="20" t="s">
        <v>569</v>
      </c>
      <c r="G248" s="10">
        <v>10.0</v>
      </c>
      <c r="H248" s="18">
        <v>124000.0</v>
      </c>
      <c r="I248" s="18">
        <v>1240000.0</v>
      </c>
      <c r="J248" s="10" t="s">
        <v>103</v>
      </c>
      <c r="K248" s="10" t="s">
        <v>146</v>
      </c>
      <c r="L248" s="18">
        <f t="shared" si="7"/>
        <v>0</v>
      </c>
      <c r="M248" s="27"/>
      <c r="N248" s="25"/>
    </row>
    <row r="249" ht="15.75" customHeight="1">
      <c r="A249" s="10" t="s">
        <v>3232</v>
      </c>
      <c r="B249" s="10" t="s">
        <v>1696</v>
      </c>
      <c r="C249" s="13" t="str">
        <f t="array" ref="C249">IFERROR(INDEX('간병신청대장'!$B:$B,MATCH($B249,'간병신청대장'!$A:$A,0)),"")</f>
        <v>지영순</v>
      </c>
      <c r="D249" s="10" t="s">
        <v>592</v>
      </c>
      <c r="E249" s="10" t="s">
        <v>3233</v>
      </c>
      <c r="F249" s="20" t="s">
        <v>3234</v>
      </c>
      <c r="G249" s="10">
        <v>8.0</v>
      </c>
      <c r="H249" s="18">
        <v>124000.0</v>
      </c>
      <c r="I249" s="18">
        <v>992000.0</v>
      </c>
      <c r="J249" s="10" t="s">
        <v>103</v>
      </c>
      <c r="K249" s="10" t="s">
        <v>146</v>
      </c>
      <c r="L249" s="18">
        <f t="shared" si="7"/>
        <v>0</v>
      </c>
      <c r="M249" s="27"/>
      <c r="N249" s="25"/>
    </row>
    <row r="250" ht="15.75" customHeight="1">
      <c r="A250" s="10" t="s">
        <v>3235</v>
      </c>
      <c r="B250" s="10" t="s">
        <v>1707</v>
      </c>
      <c r="C250" s="13" t="str">
        <f t="array" ref="C250">IFERROR(INDEX('간병신청대장'!$B:$B,MATCH($B250,'간병신청대장'!$A:$A,0)),"")</f>
        <v>최재식</v>
      </c>
      <c r="D250" s="10" t="s">
        <v>266</v>
      </c>
      <c r="E250" s="10" t="s">
        <v>1713</v>
      </c>
      <c r="F250" s="20" t="s">
        <v>1319</v>
      </c>
      <c r="G250" s="10">
        <v>4.0</v>
      </c>
      <c r="H250" s="8">
        <v>155000.0</v>
      </c>
      <c r="I250" s="18">
        <f>G250*H250</f>
        <v>620000</v>
      </c>
      <c r="J250" s="10" t="s">
        <v>103</v>
      </c>
      <c r="K250" s="10" t="s">
        <v>146</v>
      </c>
      <c r="L250" s="18">
        <f t="shared" si="7"/>
        <v>0</v>
      </c>
      <c r="M250" s="27"/>
      <c r="N250" s="25"/>
    </row>
    <row r="251" ht="15.75" customHeight="1">
      <c r="A251" s="10" t="s">
        <v>3245</v>
      </c>
      <c r="B251" s="10" t="s">
        <v>1717</v>
      </c>
      <c r="C251" s="13" t="str">
        <f t="array" ref="C251">IFERROR(INDEX('간병신청대장'!$B:$B,MATCH($B251,'간병신청대장'!$A:$A,0)),"")</f>
        <v>김의웅</v>
      </c>
      <c r="D251" s="10" t="s">
        <v>266</v>
      </c>
      <c r="E251" s="10" t="s">
        <v>267</v>
      </c>
      <c r="F251" s="20" t="s">
        <v>269</v>
      </c>
      <c r="G251" s="10">
        <v>16.0</v>
      </c>
      <c r="H251" s="18">
        <v>142000.0</v>
      </c>
      <c r="I251" s="18"/>
      <c r="J251" s="10" t="s">
        <v>377</v>
      </c>
      <c r="K251" s="10" t="s">
        <v>104</v>
      </c>
      <c r="L251" s="18">
        <f t="shared" si="7"/>
        <v>2272000</v>
      </c>
      <c r="M251" s="23" t="s">
        <v>596</v>
      </c>
      <c r="N251" s="24" t="s">
        <v>3247</v>
      </c>
    </row>
    <row r="252" ht="15.75" customHeight="1">
      <c r="A252" s="10" t="s">
        <v>3248</v>
      </c>
      <c r="B252" s="10" t="s">
        <v>1725</v>
      </c>
      <c r="C252" s="13" t="str">
        <f t="array" ref="C252">IFERROR(INDEX('간병신청대장'!$B:$B,MATCH($B252,'간병신청대장'!$A:$A,0)),"")</f>
        <v>이정혜</v>
      </c>
      <c r="D252" s="10" t="s">
        <v>261</v>
      </c>
      <c r="E252" s="10" t="s">
        <v>1732</v>
      </c>
      <c r="F252" s="20" t="s">
        <v>3258</v>
      </c>
      <c r="G252" s="10">
        <v>2.0</v>
      </c>
      <c r="H252" s="8">
        <v>144000.0</v>
      </c>
      <c r="I252" s="8">
        <v>288000.0</v>
      </c>
      <c r="J252" s="20" t="s">
        <v>103</v>
      </c>
      <c r="K252" s="20" t="s">
        <v>146</v>
      </c>
      <c r="L252" s="18">
        <f t="shared" si="7"/>
        <v>0</v>
      </c>
      <c r="M252" s="23"/>
      <c r="N252" s="26" t="s">
        <v>3259</v>
      </c>
    </row>
    <row r="253" ht="15.75" customHeight="1">
      <c r="A253" s="10" t="s">
        <v>3260</v>
      </c>
      <c r="B253" s="10" t="s">
        <v>1737</v>
      </c>
      <c r="C253" s="13" t="str">
        <f t="array" ref="C253">IFERROR(INDEX('간병신청대장'!$B:$B,MATCH($B253,'간병신청대장'!$A:$A,0)),"")</f>
        <v>김수지</v>
      </c>
      <c r="D253" s="10" t="s">
        <v>266</v>
      </c>
      <c r="E253" s="10" t="s">
        <v>1743</v>
      </c>
      <c r="F253" s="20" t="s">
        <v>1811</v>
      </c>
      <c r="G253" s="10">
        <v>2.0</v>
      </c>
      <c r="H253" s="8">
        <v>86000.0</v>
      </c>
      <c r="I253" s="18">
        <f t="shared" ref="I253:I254" si="13">G253*H253</f>
        <v>172000</v>
      </c>
      <c r="J253" s="10" t="s">
        <v>103</v>
      </c>
      <c r="K253" s="10" t="s">
        <v>146</v>
      </c>
      <c r="L253" s="18">
        <f t="shared" si="7"/>
        <v>0</v>
      </c>
      <c r="M253" s="27"/>
      <c r="N253" s="25"/>
    </row>
    <row r="254" ht="15.75" customHeight="1">
      <c r="A254" s="10" t="s">
        <v>3262</v>
      </c>
      <c r="B254" s="10" t="s">
        <v>1747</v>
      </c>
      <c r="C254" s="13" t="str">
        <f t="array" ref="C254">IFERROR(INDEX('간병신청대장'!$B:$B,MATCH($B254,'간병신청대장'!$A:$A,0)),"")</f>
        <v>김수지</v>
      </c>
      <c r="D254" s="10" t="s">
        <v>266</v>
      </c>
      <c r="E254" s="10" t="s">
        <v>1754</v>
      </c>
      <c r="F254" s="20" t="s">
        <v>1646</v>
      </c>
      <c r="G254" s="10">
        <v>2.0</v>
      </c>
      <c r="H254" s="8">
        <v>86000.0</v>
      </c>
      <c r="I254" s="18">
        <f t="shared" si="13"/>
        <v>172000</v>
      </c>
      <c r="J254" s="20" t="s">
        <v>103</v>
      </c>
      <c r="K254" s="20" t="s">
        <v>146</v>
      </c>
      <c r="L254" s="18">
        <f t="shared" si="7"/>
        <v>0</v>
      </c>
      <c r="M254" s="23"/>
      <c r="N254" s="26" t="s">
        <v>3264</v>
      </c>
    </row>
    <row r="255" ht="32.25" customHeight="1">
      <c r="A255" s="10" t="s">
        <v>3265</v>
      </c>
      <c r="B255" s="10" t="s">
        <v>1757</v>
      </c>
      <c r="C255" s="13" t="str">
        <f t="array" ref="C255">IFERROR(INDEX('간병신청대장'!$B:$B,MATCH($B255,'간병신청대장'!$A:$A,0)),"")</f>
        <v>조선미</v>
      </c>
      <c r="D255" s="10" t="s">
        <v>266</v>
      </c>
      <c r="E255" s="10" t="s">
        <v>1608</v>
      </c>
      <c r="F255" s="20" t="s">
        <v>3274</v>
      </c>
      <c r="G255" s="10">
        <v>4.0</v>
      </c>
      <c r="H255" s="8">
        <v>144000.0</v>
      </c>
      <c r="I255" s="18"/>
      <c r="J255" s="20" t="s">
        <v>103</v>
      </c>
      <c r="K255" s="10" t="s">
        <v>104</v>
      </c>
      <c r="L255" s="18">
        <f t="shared" si="7"/>
        <v>576000</v>
      </c>
      <c r="M255" s="23" t="s">
        <v>108</v>
      </c>
      <c r="N255" s="24" t="s">
        <v>3275</v>
      </c>
    </row>
    <row r="256" ht="15.75" customHeight="1">
      <c r="A256" s="10" t="s">
        <v>3276</v>
      </c>
      <c r="B256" s="10" t="s">
        <v>1774</v>
      </c>
      <c r="C256" s="13" t="str">
        <f t="array" ref="C256">IFERROR(INDEX('간병신청대장'!$B:$B,MATCH($B256,'간병신청대장'!$A:$A,0)),"")</f>
        <v>이향주</v>
      </c>
      <c r="D256" s="10" t="s">
        <v>266</v>
      </c>
      <c r="E256" s="10" t="s">
        <v>269</v>
      </c>
      <c r="F256" s="20" t="s">
        <v>269</v>
      </c>
      <c r="G256" s="10">
        <v>8.0</v>
      </c>
      <c r="H256" s="18">
        <v>124000.0</v>
      </c>
      <c r="I256" s="63">
        <v>992000.0</v>
      </c>
      <c r="J256" s="27" t="s">
        <v>103</v>
      </c>
      <c r="K256" s="10" t="s">
        <v>146</v>
      </c>
      <c r="L256" s="18">
        <f t="shared" si="7"/>
        <v>0</v>
      </c>
      <c r="M256" s="27"/>
      <c r="N256" s="25"/>
    </row>
    <row r="257" ht="15.75" customHeight="1">
      <c r="A257" s="10" t="s">
        <v>3286</v>
      </c>
      <c r="B257" s="10" t="s">
        <v>1774</v>
      </c>
      <c r="C257" s="13" t="str">
        <f t="array" ref="C257">IFERROR(INDEX('간병신청대장'!$B:$B,MATCH($B257,'간병신청대장'!$A:$A,0)),"")</f>
        <v>이향주</v>
      </c>
      <c r="D257" s="10" t="s">
        <v>281</v>
      </c>
      <c r="E257" s="10" t="s">
        <v>557</v>
      </c>
      <c r="F257" s="20" t="s">
        <v>557</v>
      </c>
      <c r="G257" s="10">
        <v>9.0</v>
      </c>
      <c r="H257" s="18">
        <v>124000.0</v>
      </c>
      <c r="I257" s="63">
        <v>1116000.0</v>
      </c>
      <c r="J257" s="27" t="s">
        <v>103</v>
      </c>
      <c r="K257" s="10" t="s">
        <v>146</v>
      </c>
      <c r="L257" s="18">
        <f t="shared" si="7"/>
        <v>0</v>
      </c>
      <c r="M257" s="27"/>
      <c r="N257" s="25"/>
    </row>
    <row r="258" ht="15.75" customHeight="1">
      <c r="A258" s="10" t="s">
        <v>3299</v>
      </c>
      <c r="B258" s="10" t="s">
        <v>1774</v>
      </c>
      <c r="C258" s="13" t="str">
        <f t="array" ref="C258">IFERROR(INDEX('간병신청대장'!$B:$B,MATCH($B258,'간병신청대장'!$A:$A,0)),"")</f>
        <v>이향주</v>
      </c>
      <c r="D258" s="10" t="s">
        <v>592</v>
      </c>
      <c r="E258" s="10" t="s">
        <v>595</v>
      </c>
      <c r="F258" s="20" t="s">
        <v>595</v>
      </c>
      <c r="G258" s="10">
        <v>14.0</v>
      </c>
      <c r="H258" s="18">
        <v>168285.714285714</v>
      </c>
      <c r="I258" s="63">
        <v>2356000.0</v>
      </c>
      <c r="J258" s="27" t="s">
        <v>103</v>
      </c>
      <c r="K258" s="10" t="s">
        <v>146</v>
      </c>
      <c r="L258" s="18">
        <f t="shared" si="7"/>
        <v>0</v>
      </c>
      <c r="M258" s="23"/>
      <c r="N258" s="26" t="s">
        <v>2337</v>
      </c>
    </row>
    <row r="259" ht="15.75" customHeight="1">
      <c r="A259" s="10" t="s">
        <v>3307</v>
      </c>
      <c r="B259" s="10" t="s">
        <v>1774</v>
      </c>
      <c r="C259" s="13" t="str">
        <f t="array" ref="C259">IFERROR(INDEX('간병신청대장'!$B:$B,MATCH($B259,'간병신청대장'!$A:$A,0)),"")</f>
        <v>이향주</v>
      </c>
      <c r="D259" s="10" t="s">
        <v>112</v>
      </c>
      <c r="E259" s="10" t="s">
        <v>113</v>
      </c>
      <c r="F259" s="20" t="s">
        <v>113</v>
      </c>
      <c r="G259" s="10">
        <v>7.0</v>
      </c>
      <c r="H259" s="8">
        <v>144000.0</v>
      </c>
      <c r="I259" s="63">
        <f t="shared" ref="I259:I261" si="14">G259*H259</f>
        <v>1008000</v>
      </c>
      <c r="J259" s="27" t="s">
        <v>103</v>
      </c>
      <c r="K259" s="10" t="s">
        <v>146</v>
      </c>
      <c r="L259" s="18">
        <f t="shared" si="7"/>
        <v>0</v>
      </c>
      <c r="M259" s="23"/>
      <c r="N259" s="34" t="s">
        <v>3309</v>
      </c>
    </row>
    <row r="260" ht="15.75" customHeight="1">
      <c r="A260" s="10" t="s">
        <v>3310</v>
      </c>
      <c r="B260" s="10" t="s">
        <v>1774</v>
      </c>
      <c r="C260" s="13" t="str">
        <f t="array" ref="C260">IFERROR(INDEX('간병신청대장'!$B:$B,MATCH($B260,'간병신청대장'!$A:$A,0)),"")</f>
        <v>이향주</v>
      </c>
      <c r="D260" s="10" t="s">
        <v>194</v>
      </c>
      <c r="E260" s="10" t="s">
        <v>3314</v>
      </c>
      <c r="F260" s="20" t="s">
        <v>629</v>
      </c>
      <c r="G260" s="10">
        <v>9.0</v>
      </c>
      <c r="H260" s="8">
        <v>144000.0</v>
      </c>
      <c r="I260" s="63">
        <f t="shared" si="14"/>
        <v>1296000</v>
      </c>
      <c r="J260" s="27" t="s">
        <v>103</v>
      </c>
      <c r="K260" s="10" t="s">
        <v>146</v>
      </c>
      <c r="L260" s="18">
        <f t="shared" si="7"/>
        <v>0</v>
      </c>
      <c r="M260" s="23" t="str">
        <f>IFERROR(__xludf.DUMMYFUNCTION("AI(""표 컨텍스트를 기반으로 이 셀에 적절한 값을 입력해 줘"")"),"입금예정")</f>
        <v>입금예정</v>
      </c>
      <c r="N260" s="34" t="s">
        <v>3309</v>
      </c>
    </row>
    <row r="261" ht="15.75" customHeight="1">
      <c r="A261" s="10" t="s">
        <v>3317</v>
      </c>
      <c r="B261" s="10" t="s">
        <v>1774</v>
      </c>
      <c r="C261" s="13" t="str">
        <f t="array" ref="C261">IFERROR(INDEX('간병신청대장'!$B:$B,MATCH($B261,'간병신청대장'!$A:$A,0)),"")</f>
        <v>이향주</v>
      </c>
      <c r="D261" s="10" t="s">
        <v>622</v>
      </c>
      <c r="E261" s="10" t="s">
        <v>3321</v>
      </c>
      <c r="F261" s="20" t="s">
        <v>645</v>
      </c>
      <c r="G261" s="10">
        <v>8.0</v>
      </c>
      <c r="H261" s="8">
        <v>144000.0</v>
      </c>
      <c r="I261" s="63">
        <f t="shared" si="14"/>
        <v>1152000</v>
      </c>
      <c r="J261" s="23" t="s">
        <v>103</v>
      </c>
      <c r="K261" s="20" t="s">
        <v>146</v>
      </c>
      <c r="L261" s="18">
        <f t="shared" si="7"/>
        <v>0</v>
      </c>
      <c r="M261" s="23"/>
      <c r="N261" s="34" t="s">
        <v>3324</v>
      </c>
    </row>
    <row r="262" ht="15.75" customHeight="1">
      <c r="A262" s="10" t="s">
        <v>3325</v>
      </c>
      <c r="B262" s="10" t="s">
        <v>1789</v>
      </c>
      <c r="C262" s="13" t="str">
        <f t="array" ref="C262">IFERROR(INDEX('간병신청대장'!$B:$B,MATCH($B262,'간병신청대장'!$A:$A,0)),"")</f>
        <v>김금례</v>
      </c>
      <c r="D262" s="10" t="s">
        <v>266</v>
      </c>
      <c r="E262" s="10" t="s">
        <v>1795</v>
      </c>
      <c r="F262" s="20" t="s">
        <v>452</v>
      </c>
      <c r="G262" s="10">
        <v>9.0</v>
      </c>
      <c r="H262" s="18">
        <v>140000.0</v>
      </c>
      <c r="I262" s="18">
        <v>1260000.0</v>
      </c>
      <c r="J262" s="10" t="s">
        <v>103</v>
      </c>
      <c r="K262" s="10" t="s">
        <v>146</v>
      </c>
      <c r="L262" s="18">
        <f t="shared" si="7"/>
        <v>0</v>
      </c>
      <c r="M262" s="27"/>
      <c r="N262" s="25"/>
    </row>
    <row r="263" ht="15.75" customHeight="1">
      <c r="A263" s="10" t="s">
        <v>3328</v>
      </c>
      <c r="B263" s="10" t="s">
        <v>1797</v>
      </c>
      <c r="C263" s="13" t="str">
        <f t="array" ref="C263">IFERROR(INDEX('간병신청대장'!$B:$B,MATCH($B263,'간병신청대장'!$A:$A,0)),"")</f>
        <v>김정은</v>
      </c>
      <c r="D263" s="10" t="s">
        <v>266</v>
      </c>
      <c r="E263" s="10" t="s">
        <v>1811</v>
      </c>
      <c r="F263" s="20" t="s">
        <v>1811</v>
      </c>
      <c r="G263" s="10">
        <v>11.0</v>
      </c>
      <c r="H263" s="8">
        <v>86000.0</v>
      </c>
      <c r="I263" s="8">
        <f>G263*H263</f>
        <v>946000</v>
      </c>
      <c r="J263" s="10" t="s">
        <v>103</v>
      </c>
      <c r="K263" s="20" t="s">
        <v>146</v>
      </c>
      <c r="L263" s="18">
        <f t="shared" si="7"/>
        <v>0</v>
      </c>
      <c r="M263" s="23"/>
      <c r="N263" s="34" t="s">
        <v>3331</v>
      </c>
    </row>
    <row r="264" ht="15.75" customHeight="1">
      <c r="A264" s="10" t="s">
        <v>3332</v>
      </c>
      <c r="B264" s="10" t="s">
        <v>1813</v>
      </c>
      <c r="C264" s="13" t="str">
        <f t="array" ref="C264">IFERROR(INDEX('간병신청대장'!$B:$B,MATCH($B264,'간병신청대장'!$A:$A,0)),"")</f>
        <v>최묘진</v>
      </c>
      <c r="D264" s="10" t="s">
        <v>266</v>
      </c>
      <c r="E264" s="10" t="s">
        <v>1820</v>
      </c>
      <c r="F264" s="20" t="s">
        <v>694</v>
      </c>
      <c r="G264" s="10">
        <v>7.0</v>
      </c>
      <c r="H264" s="18">
        <v>144000.0</v>
      </c>
      <c r="I264" s="18">
        <v>1008000.0</v>
      </c>
      <c r="J264" s="10" t="s">
        <v>103</v>
      </c>
      <c r="K264" s="10" t="s">
        <v>146</v>
      </c>
      <c r="L264" s="18">
        <f t="shared" si="7"/>
        <v>0</v>
      </c>
      <c r="M264" s="27"/>
      <c r="N264" s="25"/>
    </row>
    <row r="265" ht="15.75" customHeight="1">
      <c r="A265" s="10" t="s">
        <v>3341</v>
      </c>
      <c r="B265" s="10" t="s">
        <v>1825</v>
      </c>
      <c r="C265" s="13" t="str">
        <f t="array" ref="C265">IFERROR(INDEX('간병신청대장'!$B:$B,MATCH($B265,'간병신청대장'!$A:$A,0)),"")</f>
        <v>전복순</v>
      </c>
      <c r="D265" s="10" t="s">
        <v>266</v>
      </c>
      <c r="E265" s="10" t="s">
        <v>3343</v>
      </c>
      <c r="F265" s="20" t="s">
        <v>1743</v>
      </c>
      <c r="G265" s="10">
        <v>6.0</v>
      </c>
      <c r="H265" s="18">
        <v>142000.0</v>
      </c>
      <c r="I265" s="18"/>
      <c r="J265" s="10" t="s">
        <v>377</v>
      </c>
      <c r="K265" s="10" t="s">
        <v>104</v>
      </c>
      <c r="L265" s="18">
        <f t="shared" si="7"/>
        <v>852000</v>
      </c>
      <c r="M265" s="23" t="s">
        <v>596</v>
      </c>
      <c r="N265" s="24" t="s">
        <v>3344</v>
      </c>
    </row>
    <row r="266" ht="15.75" customHeight="1">
      <c r="A266" s="10" t="s">
        <v>3345</v>
      </c>
      <c r="B266" s="10" t="s">
        <v>1834</v>
      </c>
      <c r="C266" s="13" t="str">
        <f t="array" ref="C266">IFERROR(INDEX('간병신청대장'!$B:$B,MATCH($B266,'간병신청대장'!$A:$A,0)),"")</f>
        <v>남정숙</v>
      </c>
      <c r="D266" s="10" t="s">
        <v>266</v>
      </c>
      <c r="E266" s="10" t="s">
        <v>1405</v>
      </c>
      <c r="F266" s="20" t="s">
        <v>269</v>
      </c>
      <c r="G266" s="10">
        <v>8.0</v>
      </c>
      <c r="H266" s="18">
        <v>144000.0</v>
      </c>
      <c r="I266" s="18">
        <v>1152000.0</v>
      </c>
      <c r="J266" s="10" t="s">
        <v>103</v>
      </c>
      <c r="K266" s="10" t="s">
        <v>146</v>
      </c>
      <c r="L266" s="18">
        <f t="shared" si="7"/>
        <v>0</v>
      </c>
      <c r="M266" s="27"/>
      <c r="N266" s="25"/>
    </row>
    <row r="267" ht="15.75" customHeight="1">
      <c r="A267" s="10" t="s">
        <v>3348</v>
      </c>
      <c r="B267" s="10" t="s">
        <v>1834</v>
      </c>
      <c r="C267" s="13" t="str">
        <f t="array" ref="C267">IFERROR(INDEX('간병신청대장'!$B:$B,MATCH($B267,'간병신청대장'!$A:$A,0)),"")</f>
        <v>남정숙</v>
      </c>
      <c r="D267" s="10" t="s">
        <v>281</v>
      </c>
      <c r="E267" s="10" t="s">
        <v>1842</v>
      </c>
      <c r="F267" s="20" t="s">
        <v>791</v>
      </c>
      <c r="G267" s="10">
        <v>8.0</v>
      </c>
      <c r="H267" s="18">
        <v>144000.0</v>
      </c>
      <c r="I267" s="18">
        <v>1152000.0</v>
      </c>
      <c r="J267" s="10" t="s">
        <v>103</v>
      </c>
      <c r="K267" s="10" t="s">
        <v>146</v>
      </c>
      <c r="L267" s="18">
        <f t="shared" si="7"/>
        <v>0</v>
      </c>
      <c r="M267" s="27"/>
      <c r="N267" s="25"/>
    </row>
    <row r="268" ht="15.75" customHeight="1">
      <c r="A268" s="10" t="s">
        <v>3350</v>
      </c>
      <c r="B268" s="10" t="s">
        <v>1845</v>
      </c>
      <c r="C268" s="13" t="str">
        <f t="array" ref="C268">IFERROR(INDEX('간병신청대장'!$B:$B,MATCH($B268,'간병신청대장'!$A:$A,0)),"")</f>
        <v>남정숙</v>
      </c>
      <c r="D268" s="10" t="s">
        <v>567</v>
      </c>
      <c r="E268" s="10" t="s">
        <v>1849</v>
      </c>
      <c r="F268" s="20" t="s">
        <v>2873</v>
      </c>
      <c r="G268" s="10">
        <v>8.0</v>
      </c>
      <c r="H268" s="18">
        <v>144000.0</v>
      </c>
      <c r="I268" s="18">
        <v>1152000.0</v>
      </c>
      <c r="J268" s="10" t="s">
        <v>103</v>
      </c>
      <c r="K268" s="10" t="s">
        <v>146</v>
      </c>
      <c r="L268" s="18">
        <f t="shared" si="7"/>
        <v>0</v>
      </c>
      <c r="M268" s="27"/>
      <c r="N268" s="25"/>
    </row>
    <row r="269" ht="15.75" customHeight="1">
      <c r="A269" s="10" t="s">
        <v>3352</v>
      </c>
      <c r="B269" s="10" t="s">
        <v>1845</v>
      </c>
      <c r="C269" s="13" t="str">
        <f t="array" ref="C269">IFERROR(INDEX('간병신청대장'!$B:$B,MATCH($B269,'간병신청대장'!$A:$A,0)),"")</f>
        <v>남정숙</v>
      </c>
      <c r="D269" s="10" t="s">
        <v>592</v>
      </c>
      <c r="E269" s="10" t="s">
        <v>1849</v>
      </c>
      <c r="F269" s="20" t="s">
        <v>2873</v>
      </c>
      <c r="G269" s="10">
        <v>1.0</v>
      </c>
      <c r="H269" s="18">
        <v>144000.0</v>
      </c>
      <c r="I269" s="18">
        <v>144000.0</v>
      </c>
      <c r="J269" s="10" t="s">
        <v>103</v>
      </c>
      <c r="K269" s="10" t="s">
        <v>146</v>
      </c>
      <c r="L269" s="18">
        <f t="shared" si="7"/>
        <v>0</v>
      </c>
      <c r="M269" s="27"/>
      <c r="N269" s="25"/>
    </row>
    <row r="270" ht="15.75" customHeight="1">
      <c r="A270" s="10" t="s">
        <v>3356</v>
      </c>
      <c r="B270" s="10" t="s">
        <v>1851</v>
      </c>
      <c r="C270" s="13" t="str">
        <f t="array" ref="C270">IFERROR(INDEX('간병신청대장'!$B:$B,MATCH($B270,'간병신청대장'!$A:$A,0)),"")</f>
        <v>남정숙</v>
      </c>
      <c r="D270" s="10" t="s">
        <v>592</v>
      </c>
      <c r="E270" s="10" t="s">
        <v>3358</v>
      </c>
      <c r="F270" s="20" t="s">
        <v>2194</v>
      </c>
      <c r="G270" s="10">
        <v>17.0</v>
      </c>
      <c r="H270" s="18">
        <v>144000.0</v>
      </c>
      <c r="I270" s="18">
        <v>2448000.0</v>
      </c>
      <c r="J270" s="10" t="s">
        <v>103</v>
      </c>
      <c r="K270" s="10" t="s">
        <v>146</v>
      </c>
      <c r="L270" s="18">
        <f t="shared" si="7"/>
        <v>0</v>
      </c>
      <c r="M270" s="27"/>
      <c r="N270" s="25"/>
    </row>
    <row r="271" ht="15.75" customHeight="1">
      <c r="A271" s="10" t="s">
        <v>3360</v>
      </c>
      <c r="B271" s="10" t="s">
        <v>1860</v>
      </c>
      <c r="C271" s="13" t="str">
        <f t="array" ref="C271">IFERROR(INDEX('간병신청대장'!$B:$B,MATCH($B271,'간병신청대장'!$A:$A,0)),"")</f>
        <v>김임순</v>
      </c>
      <c r="D271" s="10" t="s">
        <v>266</v>
      </c>
      <c r="E271" s="10" t="s">
        <v>2535</v>
      </c>
      <c r="F271" s="20" t="s">
        <v>269</v>
      </c>
      <c r="G271" s="10">
        <v>7.0</v>
      </c>
      <c r="H271" s="8">
        <v>144000.0</v>
      </c>
      <c r="I271" s="18">
        <f t="shared" ref="I271:I272" si="15">G271*H271</f>
        <v>1008000</v>
      </c>
      <c r="J271" s="20" t="s">
        <v>103</v>
      </c>
      <c r="K271" s="20" t="s">
        <v>146</v>
      </c>
      <c r="L271" s="18">
        <f t="shared" si="7"/>
        <v>0</v>
      </c>
      <c r="M271" s="27"/>
      <c r="N271" s="25"/>
    </row>
    <row r="272" ht="15.75" customHeight="1">
      <c r="A272" s="10" t="s">
        <v>3364</v>
      </c>
      <c r="B272" s="10" t="s">
        <v>1860</v>
      </c>
      <c r="C272" s="13" t="str">
        <f t="array" ref="C272">IFERROR(INDEX('간병신청대장'!$B:$B,MATCH($B272,'간병신청대장'!$A:$A,0)),"")</f>
        <v>김임순</v>
      </c>
      <c r="D272" s="10" t="s">
        <v>281</v>
      </c>
      <c r="E272" s="10" t="s">
        <v>3374</v>
      </c>
      <c r="F272" s="20" t="s">
        <v>282</v>
      </c>
      <c r="G272" s="10">
        <v>5.0</v>
      </c>
      <c r="H272" s="8">
        <v>144000.0</v>
      </c>
      <c r="I272" s="18">
        <f t="shared" si="15"/>
        <v>720000</v>
      </c>
      <c r="J272" s="20" t="s">
        <v>103</v>
      </c>
      <c r="K272" s="20" t="s">
        <v>146</v>
      </c>
      <c r="L272" s="18">
        <f t="shared" si="7"/>
        <v>0</v>
      </c>
      <c r="M272" s="23"/>
      <c r="N272" s="34" t="s">
        <v>3375</v>
      </c>
    </row>
    <row r="273" ht="15.75" customHeight="1">
      <c r="A273" s="10" t="s">
        <v>3376</v>
      </c>
      <c r="B273" s="10" t="s">
        <v>1871</v>
      </c>
      <c r="C273" s="13" t="str">
        <f t="array" ref="C273">IFERROR(INDEX('간병신청대장'!$B:$B,MATCH($B273,'간병신청대장'!$A:$A,0)),"")</f>
        <v>방혜영</v>
      </c>
      <c r="D273" s="10" t="s">
        <v>266</v>
      </c>
      <c r="E273" s="10" t="s">
        <v>3379</v>
      </c>
      <c r="F273" s="20" t="s">
        <v>269</v>
      </c>
      <c r="G273" s="10">
        <v>4.0</v>
      </c>
      <c r="H273" s="18">
        <v>144000.0</v>
      </c>
      <c r="I273" s="18">
        <v>576000.0</v>
      </c>
      <c r="J273" s="10" t="s">
        <v>103</v>
      </c>
      <c r="K273" s="10" t="s">
        <v>146</v>
      </c>
      <c r="L273" s="18">
        <f t="shared" si="7"/>
        <v>0</v>
      </c>
      <c r="M273" s="27"/>
      <c r="N273" s="25"/>
    </row>
    <row r="274" ht="15.75" customHeight="1">
      <c r="A274" s="10" t="s">
        <v>3387</v>
      </c>
      <c r="B274" s="10" t="s">
        <v>1881</v>
      </c>
      <c r="C274" s="13" t="str">
        <f t="array" ref="C274">IFERROR(INDEX('간병신청대장'!$B:$B,MATCH($B274,'간병신청대장'!$A:$A,0)),"")</f>
        <v>리나 LINA</v>
      </c>
      <c r="D274" s="10" t="s">
        <v>266</v>
      </c>
      <c r="E274" s="10" t="s">
        <v>1405</v>
      </c>
      <c r="F274" s="20" t="s">
        <v>269</v>
      </c>
      <c r="G274" s="10">
        <v>7.0</v>
      </c>
      <c r="H274" s="18">
        <v>144000.0</v>
      </c>
      <c r="I274" s="18">
        <v>1008000.0</v>
      </c>
      <c r="J274" s="10" t="s">
        <v>103</v>
      </c>
      <c r="K274" s="10" t="s">
        <v>146</v>
      </c>
      <c r="L274" s="18">
        <f t="shared" si="7"/>
        <v>0</v>
      </c>
      <c r="M274" s="27"/>
      <c r="N274" s="25"/>
    </row>
    <row r="275" ht="15.75" customHeight="1">
      <c r="A275" s="10" t="s">
        <v>3390</v>
      </c>
      <c r="B275" s="10" t="s">
        <v>1881</v>
      </c>
      <c r="C275" s="13" t="str">
        <f t="array" ref="C275">IFERROR(INDEX('간병신청대장'!$B:$B,MATCH($B275,'간병신청대장'!$A:$A,0)),"")</f>
        <v>리나 LINA</v>
      </c>
      <c r="D275" s="10" t="s">
        <v>281</v>
      </c>
      <c r="E275" s="10" t="s">
        <v>3397</v>
      </c>
      <c r="F275" s="20" t="s">
        <v>282</v>
      </c>
      <c r="G275" s="10">
        <v>3.0</v>
      </c>
      <c r="H275" s="18">
        <v>144000.0</v>
      </c>
      <c r="I275" s="18">
        <v>432000.0</v>
      </c>
      <c r="J275" s="10" t="s">
        <v>103</v>
      </c>
      <c r="K275" s="10" t="s">
        <v>146</v>
      </c>
      <c r="L275" s="18">
        <f t="shared" si="7"/>
        <v>0</v>
      </c>
      <c r="M275" s="27"/>
      <c r="N275" s="25"/>
    </row>
    <row r="276" ht="15.75" customHeight="1">
      <c r="A276" s="10" t="s">
        <v>3400</v>
      </c>
      <c r="B276" s="10" t="s">
        <v>1888</v>
      </c>
      <c r="C276" s="13" t="str">
        <f t="array" ref="C276">IFERROR(INDEX('간병신청대장'!$B:$B,MATCH($B276,'간병신청대장'!$A:$A,0)),"")</f>
        <v>유수분</v>
      </c>
      <c r="D276" s="10" t="s">
        <v>281</v>
      </c>
      <c r="E276" s="20" t="s">
        <v>557</v>
      </c>
      <c r="F276" s="20" t="s">
        <v>557</v>
      </c>
      <c r="G276" s="10">
        <v>12.0</v>
      </c>
      <c r="H276" s="18">
        <v>144000.0</v>
      </c>
      <c r="I276" s="18">
        <v>1728000.0</v>
      </c>
      <c r="J276" s="10" t="s">
        <v>103</v>
      </c>
      <c r="K276" s="10" t="s">
        <v>146</v>
      </c>
      <c r="L276" s="18">
        <f t="shared" si="7"/>
        <v>0</v>
      </c>
      <c r="M276" s="27"/>
      <c r="N276" s="25"/>
    </row>
    <row r="277" ht="15.75" customHeight="1">
      <c r="A277" s="10" t="s">
        <v>3405</v>
      </c>
      <c r="B277" s="10" t="s">
        <v>1888</v>
      </c>
      <c r="C277" s="13" t="str">
        <f t="array" ref="C277">IFERROR(INDEX('간병신청대장'!$B:$B,MATCH($B277,'간병신청대장'!$A:$A,0)),"")</f>
        <v>유수분</v>
      </c>
      <c r="D277" s="10" t="s">
        <v>567</v>
      </c>
      <c r="E277" s="10" t="s">
        <v>569</v>
      </c>
      <c r="F277" s="20" t="s">
        <v>569</v>
      </c>
      <c r="G277" s="10">
        <v>10.0</v>
      </c>
      <c r="H277" s="8">
        <v>144000.0</v>
      </c>
      <c r="I277" s="8">
        <v>1440000.0</v>
      </c>
      <c r="J277" s="20" t="s">
        <v>103</v>
      </c>
      <c r="K277" s="20" t="s">
        <v>146</v>
      </c>
      <c r="L277" s="18">
        <f t="shared" si="7"/>
        <v>0</v>
      </c>
      <c r="M277" s="27"/>
      <c r="N277" s="25"/>
    </row>
    <row r="278" ht="15.75" customHeight="1">
      <c r="A278" s="10" t="s">
        <v>3417</v>
      </c>
      <c r="B278" s="10" t="s">
        <v>1888</v>
      </c>
      <c r="C278" s="13" t="str">
        <f t="array" ref="C278">IFERROR(INDEX('간병신청대장'!$B:$B,MATCH($B278,'간병신청대장'!$A:$A,0)),"")</f>
        <v>유수분</v>
      </c>
      <c r="D278" s="10" t="s">
        <v>592</v>
      </c>
      <c r="E278" s="10" t="s">
        <v>816</v>
      </c>
      <c r="F278" s="20" t="s">
        <v>595</v>
      </c>
      <c r="G278" s="10">
        <v>10.0</v>
      </c>
      <c r="H278" s="8">
        <v>144000.0</v>
      </c>
      <c r="I278" s="8">
        <v>1440000.0</v>
      </c>
      <c r="J278" s="20" t="s">
        <v>103</v>
      </c>
      <c r="K278" s="20" t="s">
        <v>146</v>
      </c>
      <c r="L278" s="18">
        <f t="shared" si="7"/>
        <v>0</v>
      </c>
      <c r="M278" s="27"/>
      <c r="N278" s="25"/>
    </row>
    <row r="279" ht="15.75" customHeight="1">
      <c r="A279" s="10" t="s">
        <v>3421</v>
      </c>
      <c r="B279" s="10" t="s">
        <v>1888</v>
      </c>
      <c r="C279" s="13" t="str">
        <f t="array" ref="C279">IFERROR(INDEX('간병신청대장'!$B:$B,MATCH($B279,'간병신청대장'!$A:$A,0)),"")</f>
        <v>유수분</v>
      </c>
      <c r="D279" s="10" t="s">
        <v>112</v>
      </c>
      <c r="E279" s="10" t="s">
        <v>836</v>
      </c>
      <c r="F279" s="20" t="s">
        <v>113</v>
      </c>
      <c r="G279" s="10">
        <v>10.0</v>
      </c>
      <c r="H279" s="8">
        <v>144000.0</v>
      </c>
      <c r="I279" s="8">
        <v>1440000.0</v>
      </c>
      <c r="J279" s="20" t="s">
        <v>103</v>
      </c>
      <c r="K279" s="20" t="s">
        <v>146</v>
      </c>
      <c r="L279" s="18">
        <f t="shared" si="7"/>
        <v>0</v>
      </c>
      <c r="M279" s="27"/>
      <c r="N279" s="25"/>
    </row>
    <row r="280" ht="15.75" customHeight="1">
      <c r="A280" s="10" t="s">
        <v>3432</v>
      </c>
      <c r="B280" s="10" t="s">
        <v>1888</v>
      </c>
      <c r="C280" s="13" t="str">
        <f t="array" ref="C280">IFERROR(INDEX('간병신청대장'!$B:$B,MATCH($B280,'간병신청대장'!$A:$A,0)),"")</f>
        <v>유수분</v>
      </c>
      <c r="D280" s="10" t="s">
        <v>194</v>
      </c>
      <c r="E280" s="10" t="s">
        <v>849</v>
      </c>
      <c r="F280" s="20" t="s">
        <v>629</v>
      </c>
      <c r="G280" s="10">
        <v>11.0</v>
      </c>
      <c r="H280" s="18">
        <v>144000.0</v>
      </c>
      <c r="I280" s="18">
        <v>1584000.0</v>
      </c>
      <c r="J280" s="10" t="s">
        <v>103</v>
      </c>
      <c r="K280" s="10" t="s">
        <v>146</v>
      </c>
      <c r="L280" s="18">
        <f t="shared" si="7"/>
        <v>0</v>
      </c>
      <c r="M280" s="23"/>
      <c r="N280" s="34" t="s">
        <v>3436</v>
      </c>
    </row>
    <row r="281" ht="15.75" customHeight="1">
      <c r="A281" s="10" t="s">
        <v>3438</v>
      </c>
      <c r="B281" s="10" t="s">
        <v>1888</v>
      </c>
      <c r="C281" s="13" t="str">
        <f t="array" ref="C281">IFERROR(INDEX('간병신청대장'!$B:$B,MATCH($B281,'간병신청대장'!$A:$A,0)),"")</f>
        <v>유수분</v>
      </c>
      <c r="D281" s="10" t="s">
        <v>622</v>
      </c>
      <c r="E281" s="10" t="s">
        <v>1052</v>
      </c>
      <c r="F281" s="20" t="s">
        <v>645</v>
      </c>
      <c r="G281" s="10">
        <v>10.0</v>
      </c>
      <c r="H281" s="8">
        <v>144000.0</v>
      </c>
      <c r="I281" s="8">
        <v>1440000.0</v>
      </c>
      <c r="J281" s="20" t="s">
        <v>103</v>
      </c>
      <c r="K281" s="20" t="s">
        <v>146</v>
      </c>
      <c r="L281" s="18">
        <f t="shared" si="7"/>
        <v>0</v>
      </c>
      <c r="M281" s="23"/>
      <c r="N281" s="34" t="s">
        <v>3444</v>
      </c>
    </row>
    <row r="282" ht="15.75" customHeight="1">
      <c r="A282" s="10" t="s">
        <v>3445</v>
      </c>
      <c r="B282" s="10" t="s">
        <v>1900</v>
      </c>
      <c r="C282" s="13" t="str">
        <f t="array" ref="C282">IFERROR(INDEX('간병신청대장'!$B:$B,MATCH($B282,'간병신청대장'!$A:$A,0)),"")</f>
        <v>송영록</v>
      </c>
      <c r="D282" s="10" t="s">
        <v>281</v>
      </c>
      <c r="E282" s="10" t="s">
        <v>2072</v>
      </c>
      <c r="F282" s="20" t="s">
        <v>557</v>
      </c>
      <c r="G282" s="10">
        <v>9.0</v>
      </c>
      <c r="H282" s="18">
        <v>144000.0</v>
      </c>
      <c r="I282" s="18">
        <v>1296000.0</v>
      </c>
      <c r="J282" s="10" t="s">
        <v>103</v>
      </c>
      <c r="K282" s="10" t="s">
        <v>146</v>
      </c>
      <c r="L282" s="18">
        <f t="shared" si="7"/>
        <v>0</v>
      </c>
      <c r="M282" s="27"/>
      <c r="N282" s="25"/>
    </row>
    <row r="283" ht="15.75" customHeight="1">
      <c r="A283" s="10" t="s">
        <v>3448</v>
      </c>
      <c r="B283" s="10" t="s">
        <v>1900</v>
      </c>
      <c r="C283" s="13" t="str">
        <f t="array" ref="C283">IFERROR(INDEX('간병신청대장'!$B:$B,MATCH($B283,'간병신청대장'!$A:$A,0)),"")</f>
        <v>송영록</v>
      </c>
      <c r="D283" s="10" t="s">
        <v>567</v>
      </c>
      <c r="E283" s="10" t="s">
        <v>1910</v>
      </c>
      <c r="F283" s="20" t="s">
        <v>2873</v>
      </c>
      <c r="G283" s="10">
        <v>10.0</v>
      </c>
      <c r="H283" s="18">
        <v>144000.0</v>
      </c>
      <c r="I283" s="18">
        <v>1440000.0</v>
      </c>
      <c r="J283" s="10" t="s">
        <v>103</v>
      </c>
      <c r="K283" s="10" t="s">
        <v>146</v>
      </c>
      <c r="L283" s="18">
        <f t="shared" si="7"/>
        <v>0</v>
      </c>
      <c r="M283" s="27"/>
      <c r="N283" s="25"/>
    </row>
    <row r="284" ht="15.75" customHeight="1">
      <c r="A284" s="10" t="s">
        <v>3458</v>
      </c>
      <c r="B284" s="10" t="s">
        <v>1913</v>
      </c>
      <c r="C284" s="13" t="str">
        <f t="array" ref="C284">IFERROR(INDEX('간병신청대장'!$B:$B,MATCH($B284,'간병신청대장'!$A:$A,0)),"")</f>
        <v>김덕순</v>
      </c>
      <c r="D284" s="10" t="s">
        <v>281</v>
      </c>
      <c r="E284" s="10" t="s">
        <v>3460</v>
      </c>
      <c r="F284" s="20" t="s">
        <v>557</v>
      </c>
      <c r="G284" s="10">
        <v>10.0</v>
      </c>
      <c r="H284" s="8">
        <v>144000.0</v>
      </c>
      <c r="I284" s="18">
        <f>G284*H284</f>
        <v>1440000</v>
      </c>
      <c r="J284" s="20" t="s">
        <v>103</v>
      </c>
      <c r="K284" s="20" t="s">
        <v>146</v>
      </c>
      <c r="L284" s="18">
        <f t="shared" si="7"/>
        <v>0</v>
      </c>
      <c r="M284" s="23"/>
      <c r="N284" s="26" t="s">
        <v>3464</v>
      </c>
    </row>
    <row r="285" ht="34.5" customHeight="1">
      <c r="A285" s="10" t="s">
        <v>3468</v>
      </c>
      <c r="B285" s="10" t="s">
        <v>1930</v>
      </c>
      <c r="C285" s="13" t="str">
        <f t="array" ref="C285">IFERROR(INDEX('간병신청대장'!$B:$B,MATCH($B285,'간병신청대장'!$A:$A,0)),"")</f>
        <v>이담</v>
      </c>
      <c r="D285" s="10" t="s">
        <v>281</v>
      </c>
      <c r="E285" s="10" t="s">
        <v>3470</v>
      </c>
      <c r="F285" s="20" t="s">
        <v>557</v>
      </c>
      <c r="G285" s="10">
        <v>9.0</v>
      </c>
      <c r="H285" s="8">
        <v>129000.0</v>
      </c>
      <c r="I285" s="18"/>
      <c r="J285" s="20" t="s">
        <v>103</v>
      </c>
      <c r="K285" s="10" t="s">
        <v>104</v>
      </c>
      <c r="L285" s="18">
        <f t="shared" si="7"/>
        <v>1161000</v>
      </c>
      <c r="M285" s="23" t="s">
        <v>3089</v>
      </c>
      <c r="N285" s="24" t="s">
        <v>3471</v>
      </c>
    </row>
    <row r="286" ht="15.75" customHeight="1">
      <c r="A286" s="10" t="s">
        <v>3472</v>
      </c>
      <c r="B286" s="10" t="s">
        <v>1930</v>
      </c>
      <c r="C286" s="13" t="str">
        <f t="array" ref="C286">IFERROR(INDEX('간병신청대장'!$B:$B,MATCH($B286,'간병신청대장'!$A:$A,0)),"")</f>
        <v>이담</v>
      </c>
      <c r="D286" s="10" t="s">
        <v>592</v>
      </c>
      <c r="E286" s="10" t="s">
        <v>3481</v>
      </c>
      <c r="F286" s="20" t="s">
        <v>1935</v>
      </c>
      <c r="G286" s="10">
        <v>3.0</v>
      </c>
      <c r="H286" s="18">
        <v>129000.0</v>
      </c>
      <c r="I286" s="18">
        <v>387000.0</v>
      </c>
      <c r="J286" s="10" t="s">
        <v>103</v>
      </c>
      <c r="K286" s="10" t="s">
        <v>146</v>
      </c>
      <c r="L286" s="18">
        <f t="shared" si="7"/>
        <v>0</v>
      </c>
      <c r="M286" s="27"/>
      <c r="N286" s="43"/>
    </row>
    <row r="287" ht="15.75" customHeight="1">
      <c r="A287" s="10" t="s">
        <v>3482</v>
      </c>
      <c r="B287" s="10" t="s">
        <v>1939</v>
      </c>
      <c r="C287" s="13" t="str">
        <f t="array" ref="C287">IFERROR(INDEX('간병신청대장'!$B:$B,MATCH($B287,'간병신청대장'!$A:$A,0)),"")</f>
        <v>이담</v>
      </c>
      <c r="D287" s="10" t="s">
        <v>592</v>
      </c>
      <c r="E287" s="10" t="s">
        <v>1943</v>
      </c>
      <c r="F287" s="20" t="s">
        <v>2934</v>
      </c>
      <c r="G287" s="10">
        <v>11.0</v>
      </c>
      <c r="H287" s="18">
        <v>129000.0</v>
      </c>
      <c r="I287" s="18">
        <v>1419000.0</v>
      </c>
      <c r="J287" s="10" t="s">
        <v>103</v>
      </c>
      <c r="K287" s="10" t="s">
        <v>146</v>
      </c>
      <c r="L287" s="18">
        <f t="shared" si="7"/>
        <v>0</v>
      </c>
      <c r="M287" s="23"/>
      <c r="N287" s="34" t="s">
        <v>3484</v>
      </c>
    </row>
    <row r="288" ht="15.75" customHeight="1">
      <c r="A288" s="10" t="s">
        <v>3485</v>
      </c>
      <c r="B288" s="10" t="s">
        <v>1946</v>
      </c>
      <c r="C288" s="13" t="str">
        <f t="array" ref="C288">IFERROR(INDEX('간병신청대장'!$B:$B,MATCH($B288,'간병신청대장'!$A:$A,0)),"")</f>
        <v>김영호</v>
      </c>
      <c r="D288" s="10" t="s">
        <v>281</v>
      </c>
      <c r="E288" s="10" t="s">
        <v>475</v>
      </c>
      <c r="F288" s="20" t="s">
        <v>557</v>
      </c>
      <c r="G288" s="10">
        <v>7.0</v>
      </c>
      <c r="H288" s="8">
        <v>144000.0</v>
      </c>
      <c r="I288" s="18"/>
      <c r="J288" s="20" t="s">
        <v>103</v>
      </c>
      <c r="K288" s="10" t="s">
        <v>104</v>
      </c>
      <c r="L288" s="18">
        <f t="shared" si="7"/>
        <v>1008000</v>
      </c>
      <c r="M288" s="23" t="s">
        <v>108</v>
      </c>
      <c r="N288" s="24" t="s">
        <v>3491</v>
      </c>
    </row>
    <row r="289" ht="15.75" customHeight="1">
      <c r="A289" s="10" t="s">
        <v>3492</v>
      </c>
      <c r="B289" s="10" t="s">
        <v>1946</v>
      </c>
      <c r="C289" s="13" t="str">
        <f t="array" ref="C289">IFERROR(INDEX('간병신청대장'!$B:$B,MATCH($B289,'간병신청대장'!$A:$A,0)),"")</f>
        <v>김영호</v>
      </c>
      <c r="D289" s="10" t="s">
        <v>567</v>
      </c>
      <c r="E289" s="10" t="s">
        <v>1960</v>
      </c>
      <c r="F289" s="20" t="s">
        <v>1935</v>
      </c>
      <c r="G289" s="10">
        <v>1.0</v>
      </c>
      <c r="H289" s="8">
        <v>144000.0</v>
      </c>
      <c r="I289" s="18"/>
      <c r="J289" s="20" t="s">
        <v>103</v>
      </c>
      <c r="K289" s="10" t="s">
        <v>104</v>
      </c>
      <c r="L289" s="18">
        <f t="shared" si="7"/>
        <v>144000</v>
      </c>
      <c r="M289" s="23" t="s">
        <v>108</v>
      </c>
      <c r="N289" s="24" t="s">
        <v>3491</v>
      </c>
    </row>
    <row r="290" ht="35.25" customHeight="1">
      <c r="A290" s="57" t="s">
        <v>3503</v>
      </c>
      <c r="B290" s="57" t="s">
        <v>1963</v>
      </c>
      <c r="C290" s="72" t="str">
        <f t="array" ref="C290">IFERROR(INDEX('간병신청대장'!$B:$B,MATCH($B290,'간병신청대장'!$A:$A,0)),"")</f>
        <v>김원섭</v>
      </c>
      <c r="D290" s="57" t="s">
        <v>281</v>
      </c>
      <c r="E290" s="57" t="s">
        <v>2072</v>
      </c>
      <c r="F290" s="59" t="s">
        <v>557</v>
      </c>
      <c r="G290" s="57">
        <v>8.0</v>
      </c>
      <c r="H290" s="73">
        <v>134000.0</v>
      </c>
      <c r="I290" s="74">
        <f t="shared" ref="I290:I311" si="16">G290*H290</f>
        <v>1072000</v>
      </c>
      <c r="J290" s="59" t="s">
        <v>103</v>
      </c>
      <c r="K290" s="59" t="s">
        <v>146</v>
      </c>
      <c r="L290" s="74">
        <f t="shared" si="7"/>
        <v>0</v>
      </c>
      <c r="M290" s="75"/>
      <c r="N290" s="76" t="s">
        <v>3514</v>
      </c>
    </row>
    <row r="291" ht="33.75" customHeight="1">
      <c r="A291" s="57" t="s">
        <v>3515</v>
      </c>
      <c r="B291" s="57" t="s">
        <v>1963</v>
      </c>
      <c r="C291" s="72" t="str">
        <f t="array" ref="C291">IFERROR(INDEX('간병신청대장'!$B:$B,MATCH($B291,'간병신청대장'!$A:$A,0)),"")</f>
        <v>김원섭</v>
      </c>
      <c r="D291" s="57" t="s">
        <v>567</v>
      </c>
      <c r="E291" s="57" t="s">
        <v>3524</v>
      </c>
      <c r="F291" s="59" t="s">
        <v>2873</v>
      </c>
      <c r="G291" s="57">
        <v>9.0</v>
      </c>
      <c r="H291" s="73">
        <v>134000.0</v>
      </c>
      <c r="I291" s="74">
        <f t="shared" si="16"/>
        <v>1206000</v>
      </c>
      <c r="J291" s="59" t="s">
        <v>103</v>
      </c>
      <c r="K291" s="59" t="s">
        <v>146</v>
      </c>
      <c r="L291" s="74">
        <f t="shared" si="7"/>
        <v>0</v>
      </c>
      <c r="M291" s="75"/>
      <c r="N291" s="77" t="s">
        <v>3525</v>
      </c>
    </row>
    <row r="292" ht="15.75" customHeight="1">
      <c r="A292" s="10" t="s">
        <v>3527</v>
      </c>
      <c r="B292" s="10" t="s">
        <v>1972</v>
      </c>
      <c r="C292" s="13" t="str">
        <f t="array" ref="C292">IFERROR(INDEX('간병신청대장'!$B:$B,MATCH($B292,'간병신청대장'!$A:$A,0)),"")</f>
        <v>조현숙</v>
      </c>
      <c r="D292" s="10" t="s">
        <v>281</v>
      </c>
      <c r="E292" s="10" t="s">
        <v>458</v>
      </c>
      <c r="F292" s="20" t="s">
        <v>557</v>
      </c>
      <c r="G292" s="10">
        <v>4.0</v>
      </c>
      <c r="H292" s="8">
        <v>140000.0</v>
      </c>
      <c r="I292" s="18">
        <f t="shared" si="16"/>
        <v>560000</v>
      </c>
      <c r="J292" s="20" t="s">
        <v>103</v>
      </c>
      <c r="K292" s="20" t="s">
        <v>146</v>
      </c>
      <c r="L292" s="18">
        <f t="shared" si="7"/>
        <v>0</v>
      </c>
      <c r="M292" s="23"/>
      <c r="N292" s="34" t="s">
        <v>3532</v>
      </c>
    </row>
    <row r="293" ht="15.75" customHeight="1">
      <c r="A293" s="10" t="s">
        <v>3533</v>
      </c>
      <c r="B293" s="10" t="s">
        <v>1996</v>
      </c>
      <c r="C293" s="13" t="str">
        <f t="array" ref="C293">IFERROR(INDEX('간병신청대장'!$B:$B,MATCH($B293,'간병신청대장'!$A:$A,0)),"")</f>
        <v>박정숙</v>
      </c>
      <c r="D293" s="10" t="s">
        <v>281</v>
      </c>
      <c r="E293" s="10" t="s">
        <v>2255</v>
      </c>
      <c r="F293" s="20" t="s">
        <v>1646</v>
      </c>
      <c r="G293" s="10">
        <v>8.0</v>
      </c>
      <c r="H293" s="8">
        <v>144000.0</v>
      </c>
      <c r="I293" s="18">
        <f t="shared" si="16"/>
        <v>1152000</v>
      </c>
      <c r="J293" s="20" t="s">
        <v>103</v>
      </c>
      <c r="K293" s="20" t="s">
        <v>146</v>
      </c>
      <c r="L293" s="18">
        <f t="shared" si="7"/>
        <v>0</v>
      </c>
      <c r="M293" s="23"/>
      <c r="N293" s="26"/>
    </row>
    <row r="294" ht="15.75" customHeight="1">
      <c r="A294" s="10" t="s">
        <v>3537</v>
      </c>
      <c r="B294" s="10" t="s">
        <v>1996</v>
      </c>
      <c r="C294" s="13" t="str">
        <f t="array" ref="C294">IFERROR(INDEX('간병신청대장'!$B:$B,MATCH($B294,'간병신청대장'!$A:$A,0)),"")</f>
        <v>박정숙</v>
      </c>
      <c r="D294" s="10" t="s">
        <v>567</v>
      </c>
      <c r="E294" s="10" t="s">
        <v>2003</v>
      </c>
      <c r="F294" s="20" t="s">
        <v>1646</v>
      </c>
      <c r="G294" s="10">
        <v>6.0</v>
      </c>
      <c r="H294" s="8">
        <v>144000.0</v>
      </c>
      <c r="I294" s="18">
        <f t="shared" si="16"/>
        <v>864000</v>
      </c>
      <c r="J294" s="20" t="s">
        <v>103</v>
      </c>
      <c r="K294" s="20" t="s">
        <v>146</v>
      </c>
      <c r="L294" s="18">
        <f t="shared" si="7"/>
        <v>0</v>
      </c>
      <c r="M294" s="23"/>
      <c r="N294" s="34" t="s">
        <v>3546</v>
      </c>
    </row>
    <row r="295" ht="15.75" customHeight="1">
      <c r="A295" s="10" t="s">
        <v>3547</v>
      </c>
      <c r="B295" s="10" t="s">
        <v>2006</v>
      </c>
      <c r="C295" s="13" t="str">
        <f t="array" ref="C295">IFERROR(INDEX('간병신청대장'!$B:$B,MATCH($B295,'간병신청대장'!$A:$A,0)),"")</f>
        <v>김성수</v>
      </c>
      <c r="D295" s="10" t="s">
        <v>281</v>
      </c>
      <c r="E295" s="10" t="s">
        <v>3550</v>
      </c>
      <c r="F295" s="20" t="s">
        <v>557</v>
      </c>
      <c r="G295" s="10">
        <v>3.0</v>
      </c>
      <c r="H295" s="8">
        <v>135000.0</v>
      </c>
      <c r="I295" s="18">
        <f t="shared" si="16"/>
        <v>405000</v>
      </c>
      <c r="J295" s="20" t="s">
        <v>103</v>
      </c>
      <c r="K295" s="20" t="s">
        <v>146</v>
      </c>
      <c r="L295" s="18">
        <f t="shared" si="7"/>
        <v>0</v>
      </c>
      <c r="M295" s="37"/>
      <c r="N295" s="34" t="s">
        <v>3558</v>
      </c>
    </row>
    <row r="296" ht="15.75" customHeight="1">
      <c r="A296" s="10" t="s">
        <v>3559</v>
      </c>
      <c r="B296" s="10" t="s">
        <v>2006</v>
      </c>
      <c r="C296" s="13" t="str">
        <f t="array" ref="C296">IFERROR(INDEX('간병신청대장'!$B:$B,MATCH($B296,'간병신청대장'!$A:$A,0)),"")</f>
        <v>김성수</v>
      </c>
      <c r="D296" s="10" t="s">
        <v>567</v>
      </c>
      <c r="E296" s="10" t="s">
        <v>1910</v>
      </c>
      <c r="F296" s="20" t="s">
        <v>2873</v>
      </c>
      <c r="G296" s="10">
        <v>9.0</v>
      </c>
      <c r="H296" s="8">
        <v>135000.0</v>
      </c>
      <c r="I296" s="18">
        <f t="shared" si="16"/>
        <v>1215000</v>
      </c>
      <c r="J296" s="20" t="s">
        <v>103</v>
      </c>
      <c r="K296" s="20" t="s">
        <v>146</v>
      </c>
      <c r="L296" s="18">
        <f t="shared" si="7"/>
        <v>0</v>
      </c>
      <c r="M296" s="37"/>
      <c r="N296" s="34" t="s">
        <v>3564</v>
      </c>
    </row>
    <row r="297" ht="15.75" customHeight="1">
      <c r="A297" s="10" t="s">
        <v>3565</v>
      </c>
      <c r="B297" s="10" t="s">
        <v>2018</v>
      </c>
      <c r="C297" s="13" t="str">
        <f t="array" ref="C297">IFERROR(INDEX('간병신청대장'!$B:$B,MATCH($B297,'간병신청대장'!$A:$A,0)),"")</f>
        <v>김성수</v>
      </c>
      <c r="D297" s="10" t="s">
        <v>592</v>
      </c>
      <c r="E297" s="10" t="s">
        <v>2528</v>
      </c>
      <c r="F297" s="20" t="s">
        <v>595</v>
      </c>
      <c r="G297" s="10">
        <v>10.0</v>
      </c>
      <c r="H297" s="8">
        <v>135000.0</v>
      </c>
      <c r="I297" s="18">
        <f t="shared" si="16"/>
        <v>1350000</v>
      </c>
      <c r="J297" s="20" t="s">
        <v>103</v>
      </c>
      <c r="K297" s="20" t="s">
        <v>146</v>
      </c>
      <c r="L297" s="18">
        <f t="shared" si="7"/>
        <v>0</v>
      </c>
      <c r="M297" s="37"/>
      <c r="N297" s="34" t="s">
        <v>3575</v>
      </c>
    </row>
    <row r="298" ht="15.75" customHeight="1">
      <c r="A298" s="10" t="s">
        <v>3576</v>
      </c>
      <c r="B298" s="10" t="s">
        <v>2018</v>
      </c>
      <c r="C298" s="13" t="str">
        <f t="array" ref="C298">IFERROR(INDEX('간병신청대장'!$B:$B,MATCH($B298,'간병신청대장'!$A:$A,0)),"")</f>
        <v>김성수</v>
      </c>
      <c r="D298" s="10" t="s">
        <v>112</v>
      </c>
      <c r="E298" s="10" t="s">
        <v>2284</v>
      </c>
      <c r="F298" s="20" t="s">
        <v>113</v>
      </c>
      <c r="G298" s="10">
        <v>10.0</v>
      </c>
      <c r="H298" s="8">
        <v>135000.0</v>
      </c>
      <c r="I298" s="18">
        <f t="shared" si="16"/>
        <v>1350000</v>
      </c>
      <c r="J298" s="20" t="s">
        <v>103</v>
      </c>
      <c r="K298" s="20" t="s">
        <v>146</v>
      </c>
      <c r="L298" s="18">
        <f t="shared" si="7"/>
        <v>0</v>
      </c>
      <c r="M298" s="37"/>
      <c r="N298" s="34" t="s">
        <v>3586</v>
      </c>
    </row>
    <row r="299" ht="15.75" customHeight="1">
      <c r="A299" s="10" t="s">
        <v>3587</v>
      </c>
      <c r="B299" s="10" t="s">
        <v>2018</v>
      </c>
      <c r="C299" s="13" t="str">
        <f t="array" ref="C299">IFERROR(INDEX('간병신청대장'!$B:$B,MATCH($B299,'간병신청대장'!$A:$A,0)),"")</f>
        <v>김성수</v>
      </c>
      <c r="D299" s="10" t="s">
        <v>194</v>
      </c>
      <c r="E299" s="10" t="s">
        <v>2412</v>
      </c>
      <c r="F299" s="20" t="s">
        <v>629</v>
      </c>
      <c r="G299" s="10">
        <v>11.0</v>
      </c>
      <c r="H299" s="8">
        <v>135000.0</v>
      </c>
      <c r="I299" s="18">
        <f t="shared" si="16"/>
        <v>1485000</v>
      </c>
      <c r="J299" s="20" t="s">
        <v>103</v>
      </c>
      <c r="K299" s="20" t="s">
        <v>146</v>
      </c>
      <c r="L299" s="18">
        <f t="shared" si="7"/>
        <v>0</v>
      </c>
      <c r="M299" s="37"/>
      <c r="N299" s="34" t="s">
        <v>3586</v>
      </c>
    </row>
    <row r="300" ht="15.75" customHeight="1">
      <c r="A300" s="10" t="s">
        <v>3593</v>
      </c>
      <c r="B300" s="10" t="s">
        <v>2018</v>
      </c>
      <c r="C300" s="13" t="str">
        <f t="array" ref="C300">IFERROR(INDEX('간병신청대장'!$B:$B,MATCH($B300,'간병신청대장'!$A:$A,0)),"")</f>
        <v>김성수</v>
      </c>
      <c r="D300" s="10" t="s">
        <v>622</v>
      </c>
      <c r="E300" s="10" t="s">
        <v>2026</v>
      </c>
      <c r="F300" s="20" t="s">
        <v>868</v>
      </c>
      <c r="G300" s="10">
        <v>7.0</v>
      </c>
      <c r="H300" s="8">
        <v>135000.0</v>
      </c>
      <c r="I300" s="18">
        <f t="shared" si="16"/>
        <v>945000</v>
      </c>
      <c r="J300" s="20" t="s">
        <v>103</v>
      </c>
      <c r="K300" s="20" t="s">
        <v>146</v>
      </c>
      <c r="L300" s="18">
        <f t="shared" si="7"/>
        <v>0</v>
      </c>
      <c r="M300" s="37"/>
      <c r="N300" s="34" t="s">
        <v>3601</v>
      </c>
    </row>
    <row r="301" ht="15.75" customHeight="1">
      <c r="A301" s="10" t="s">
        <v>3602</v>
      </c>
      <c r="B301" s="10" t="s">
        <v>2029</v>
      </c>
      <c r="C301" s="13" t="str">
        <f t="array" ref="C301">IFERROR(INDEX('간병신청대장'!$B:$B,MATCH($B301,'간병신청대장'!$A:$A,0)),"")</f>
        <v>위필환</v>
      </c>
      <c r="D301" s="10" t="s">
        <v>281</v>
      </c>
      <c r="E301" s="10" t="s">
        <v>1674</v>
      </c>
      <c r="F301" s="20" t="s">
        <v>791</v>
      </c>
      <c r="G301" s="10">
        <v>4.0</v>
      </c>
      <c r="H301" s="8">
        <v>144000.0</v>
      </c>
      <c r="I301" s="18">
        <f t="shared" si="16"/>
        <v>576000</v>
      </c>
      <c r="J301" s="20" t="s">
        <v>103</v>
      </c>
      <c r="K301" s="20" t="s">
        <v>146</v>
      </c>
      <c r="L301" s="18">
        <f t="shared" si="7"/>
        <v>0</v>
      </c>
      <c r="M301" s="23"/>
      <c r="N301" s="26" t="s">
        <v>3611</v>
      </c>
    </row>
    <row r="302" ht="15.75" customHeight="1">
      <c r="A302" s="10" t="s">
        <v>3612</v>
      </c>
      <c r="B302" s="10" t="s">
        <v>2039</v>
      </c>
      <c r="C302" s="13" t="str">
        <f t="array" ref="C302">IFERROR(INDEX('간병신청대장'!$B:$B,MATCH($B302,'간병신청대장'!$A:$A,0)),"")</f>
        <v>하성임</v>
      </c>
      <c r="D302" s="10" t="s">
        <v>567</v>
      </c>
      <c r="E302" s="10" t="s">
        <v>557</v>
      </c>
      <c r="F302" s="20" t="s">
        <v>3614</v>
      </c>
      <c r="G302" s="10">
        <v>3.0</v>
      </c>
      <c r="H302" s="8">
        <v>86000.0</v>
      </c>
      <c r="I302" s="18">
        <f t="shared" si="16"/>
        <v>258000</v>
      </c>
      <c r="J302" s="10" t="s">
        <v>103</v>
      </c>
      <c r="K302" s="10" t="s">
        <v>146</v>
      </c>
      <c r="L302" s="18">
        <f t="shared" si="7"/>
        <v>0</v>
      </c>
      <c r="M302" s="27"/>
      <c r="N302" s="25"/>
    </row>
    <row r="303" ht="15.75" customHeight="1">
      <c r="A303" s="10" t="s">
        <v>3615</v>
      </c>
      <c r="B303" s="10" t="s">
        <v>2048</v>
      </c>
      <c r="C303" s="13" t="str">
        <f t="array" ref="C303">IFERROR(INDEX('간병신청대장'!$B:$B,MATCH($B303,'간병신청대장'!$A:$A,0)),"")</f>
        <v>하성임</v>
      </c>
      <c r="D303" s="10" t="s">
        <v>622</v>
      </c>
      <c r="E303" s="10" t="s">
        <v>2054</v>
      </c>
      <c r="F303" s="20" t="s">
        <v>3078</v>
      </c>
      <c r="G303" s="20">
        <v>8.0</v>
      </c>
      <c r="H303" s="8">
        <v>86000.0</v>
      </c>
      <c r="I303" s="18">
        <f t="shared" si="16"/>
        <v>688000</v>
      </c>
      <c r="J303" s="10" t="s">
        <v>103</v>
      </c>
      <c r="K303" s="10" t="s">
        <v>146</v>
      </c>
      <c r="L303" s="18">
        <f t="shared" si="7"/>
        <v>0</v>
      </c>
      <c r="M303" s="27"/>
      <c r="N303" s="25"/>
    </row>
    <row r="304" ht="15.75" customHeight="1">
      <c r="A304" s="10" t="s">
        <v>3620</v>
      </c>
      <c r="B304" s="10" t="s">
        <v>2067</v>
      </c>
      <c r="C304" s="13" t="str">
        <f t="array" ref="C304">IFERROR(INDEX('간병신청대장'!$B:$B,MATCH($B304,'간병신청대장'!$A:$A,0)),"")</f>
        <v>김용식</v>
      </c>
      <c r="D304" s="10" t="s">
        <v>281</v>
      </c>
      <c r="E304" s="10" t="s">
        <v>2072</v>
      </c>
      <c r="F304" s="20" t="s">
        <v>1935</v>
      </c>
      <c r="G304" s="10">
        <v>1.0</v>
      </c>
      <c r="H304" s="8">
        <v>144000.0</v>
      </c>
      <c r="I304" s="18">
        <f t="shared" si="16"/>
        <v>144000</v>
      </c>
      <c r="J304" s="20" t="s">
        <v>103</v>
      </c>
      <c r="K304" s="20" t="s">
        <v>146</v>
      </c>
      <c r="L304" s="18">
        <f t="shared" si="7"/>
        <v>0</v>
      </c>
      <c r="M304" s="23"/>
      <c r="N304" s="26" t="s">
        <v>3623</v>
      </c>
    </row>
    <row r="305" ht="15.75" customHeight="1">
      <c r="A305" s="10" t="s">
        <v>3624</v>
      </c>
      <c r="B305" s="10" t="s">
        <v>2082</v>
      </c>
      <c r="C305" s="13" t="str">
        <f t="array" ref="C305">IFERROR(INDEX('간병신청대장'!$B:$B,MATCH($B305,'간병신청대장'!$A:$A,0)),"")</f>
        <v>홍정숙</v>
      </c>
      <c r="D305" s="10" t="s">
        <v>592</v>
      </c>
      <c r="E305" s="10" t="s">
        <v>2088</v>
      </c>
      <c r="F305" s="20" t="s">
        <v>3633</v>
      </c>
      <c r="G305" s="10">
        <v>8.0</v>
      </c>
      <c r="H305" s="8">
        <v>169000.0</v>
      </c>
      <c r="I305" s="18">
        <f t="shared" si="16"/>
        <v>1352000</v>
      </c>
      <c r="J305" s="10" t="s">
        <v>103</v>
      </c>
      <c r="K305" s="10" t="s">
        <v>146</v>
      </c>
      <c r="L305" s="18">
        <f t="shared" si="7"/>
        <v>0</v>
      </c>
      <c r="M305" s="27"/>
      <c r="N305" s="25"/>
    </row>
    <row r="306" ht="15.75" customHeight="1">
      <c r="A306" s="10" t="s">
        <v>3636</v>
      </c>
      <c r="B306" s="10" t="s">
        <v>2091</v>
      </c>
      <c r="C306" s="13" t="str">
        <f t="array" ref="C306">IFERROR(INDEX('간병신청대장'!$B:$B,MATCH($B306,'간병신청대장'!$A:$A,0)),"")</f>
        <v>홍정숙</v>
      </c>
      <c r="D306" s="10" t="s">
        <v>592</v>
      </c>
      <c r="E306" s="10" t="s">
        <v>3643</v>
      </c>
      <c r="F306" s="20" t="s">
        <v>595</v>
      </c>
      <c r="G306" s="10">
        <v>9.0</v>
      </c>
      <c r="H306" s="8">
        <v>169000.0</v>
      </c>
      <c r="I306" s="18">
        <f t="shared" si="16"/>
        <v>1521000</v>
      </c>
      <c r="J306" s="10" t="s">
        <v>103</v>
      </c>
      <c r="K306" s="10" t="s">
        <v>146</v>
      </c>
      <c r="L306" s="18">
        <f t="shared" si="7"/>
        <v>0</v>
      </c>
      <c r="M306" s="27"/>
      <c r="N306" s="25"/>
    </row>
    <row r="307" ht="15.75" customHeight="1">
      <c r="A307" s="10" t="s">
        <v>3649</v>
      </c>
      <c r="B307" s="10" t="s">
        <v>2091</v>
      </c>
      <c r="C307" s="13" t="str">
        <f t="array" ref="C307">IFERROR(INDEX('간병신청대장'!$B:$B,MATCH($B307,'간병신청대장'!$A:$A,0)),"")</f>
        <v>홍정숙</v>
      </c>
      <c r="D307" s="10" t="s">
        <v>112</v>
      </c>
      <c r="E307" s="10" t="s">
        <v>3651</v>
      </c>
      <c r="F307" s="20" t="s">
        <v>113</v>
      </c>
      <c r="G307" s="10">
        <v>10.0</v>
      </c>
      <c r="H307" s="8">
        <v>169000.0</v>
      </c>
      <c r="I307" s="18">
        <f t="shared" si="16"/>
        <v>1690000</v>
      </c>
      <c r="J307" s="10" t="s">
        <v>103</v>
      </c>
      <c r="K307" s="10" t="s">
        <v>146</v>
      </c>
      <c r="L307" s="18">
        <f t="shared" si="7"/>
        <v>0</v>
      </c>
      <c r="M307" s="27"/>
      <c r="N307" s="25"/>
    </row>
    <row r="308" ht="15.75" customHeight="1">
      <c r="A308" s="10" t="s">
        <v>3658</v>
      </c>
      <c r="B308" s="10" t="s">
        <v>2091</v>
      </c>
      <c r="C308" s="13" t="str">
        <f t="array" ref="C308">IFERROR(INDEX('간병신청대장'!$B:$B,MATCH($B308,'간병신청대장'!$A:$A,0)),"")</f>
        <v>홍정숙</v>
      </c>
      <c r="D308" s="10" t="s">
        <v>194</v>
      </c>
      <c r="E308" s="10" t="s">
        <v>3661</v>
      </c>
      <c r="F308" s="20" t="s">
        <v>629</v>
      </c>
      <c r="G308" s="10">
        <v>11.0</v>
      </c>
      <c r="H308" s="8">
        <v>169000.0</v>
      </c>
      <c r="I308" s="18">
        <f t="shared" si="16"/>
        <v>1859000</v>
      </c>
      <c r="J308" s="10" t="s">
        <v>103</v>
      </c>
      <c r="K308" s="10" t="s">
        <v>146</v>
      </c>
      <c r="L308" s="18">
        <f t="shared" si="7"/>
        <v>0</v>
      </c>
      <c r="M308" s="27"/>
      <c r="N308" s="25"/>
    </row>
    <row r="309" ht="15.75" customHeight="1">
      <c r="A309" s="10" t="s">
        <v>3663</v>
      </c>
      <c r="B309" s="10" t="s">
        <v>2091</v>
      </c>
      <c r="C309" s="13" t="str">
        <f t="array" ref="C309">IFERROR(INDEX('간병신청대장'!$B:$B,MATCH($B309,'간병신청대장'!$A:$A,0)),"")</f>
        <v>홍정숙</v>
      </c>
      <c r="D309" s="10" t="s">
        <v>622</v>
      </c>
      <c r="E309" s="10" t="s">
        <v>3665</v>
      </c>
      <c r="F309" s="20" t="s">
        <v>645</v>
      </c>
      <c r="G309" s="10">
        <v>10.0</v>
      </c>
      <c r="H309" s="8">
        <v>169000.0</v>
      </c>
      <c r="I309" s="18">
        <f t="shared" si="16"/>
        <v>1690000</v>
      </c>
      <c r="J309" s="10" t="s">
        <v>103</v>
      </c>
      <c r="K309" s="10" t="s">
        <v>146</v>
      </c>
      <c r="L309" s="18">
        <f t="shared" si="7"/>
        <v>0</v>
      </c>
      <c r="M309" s="23"/>
      <c r="N309" s="26" t="s">
        <v>3668</v>
      </c>
    </row>
    <row r="310" ht="15.75" customHeight="1">
      <c r="A310" s="10" t="s">
        <v>3671</v>
      </c>
      <c r="B310" s="10" t="s">
        <v>2098</v>
      </c>
      <c r="C310" s="13" t="str">
        <f t="array" ref="C310">IFERROR(INDEX('간병신청대장'!$B:$B,MATCH($B310,'간병신청대장'!$A:$A,0)),"")</f>
        <v>이정완</v>
      </c>
      <c r="D310" s="10" t="s">
        <v>567</v>
      </c>
      <c r="E310" s="10" t="s">
        <v>3677</v>
      </c>
      <c r="F310" s="20" t="s">
        <v>2873</v>
      </c>
      <c r="G310" s="10">
        <v>3.0</v>
      </c>
      <c r="H310" s="8">
        <v>140000.0</v>
      </c>
      <c r="I310" s="18">
        <f t="shared" si="16"/>
        <v>420000</v>
      </c>
      <c r="J310" s="20" t="s">
        <v>103</v>
      </c>
      <c r="K310" s="20" t="s">
        <v>146</v>
      </c>
      <c r="L310" s="18">
        <f t="shared" si="7"/>
        <v>0</v>
      </c>
      <c r="M310" s="23"/>
      <c r="N310" s="34" t="s">
        <v>3687</v>
      </c>
    </row>
    <row r="311" ht="15.75" customHeight="1">
      <c r="A311" s="10" t="s">
        <v>3688</v>
      </c>
      <c r="B311" s="10" t="s">
        <v>2106</v>
      </c>
      <c r="C311" s="13" t="str">
        <f t="array" ref="C311">IFERROR(INDEX('간병신청대장'!$B:$B,MATCH($B311,'간병신청대장'!$A:$A,0)),"")</f>
        <v>이정완</v>
      </c>
      <c r="D311" s="10" t="s">
        <v>592</v>
      </c>
      <c r="E311" s="10" t="s">
        <v>2187</v>
      </c>
      <c r="F311" s="20" t="s">
        <v>3691</v>
      </c>
      <c r="G311" s="20">
        <v>4.0</v>
      </c>
      <c r="H311" s="8">
        <v>140000.0</v>
      </c>
      <c r="I311" s="18">
        <f t="shared" si="16"/>
        <v>560000</v>
      </c>
      <c r="J311" s="20" t="s">
        <v>103</v>
      </c>
      <c r="K311" s="20" t="s">
        <v>146</v>
      </c>
      <c r="L311" s="18">
        <f t="shared" si="7"/>
        <v>0</v>
      </c>
      <c r="M311" s="23"/>
      <c r="N311" s="34" t="s">
        <v>3692</v>
      </c>
    </row>
    <row r="312" ht="15.75" customHeight="1">
      <c r="A312" s="10" t="s">
        <v>3693</v>
      </c>
      <c r="B312" s="10" t="s">
        <v>2117</v>
      </c>
      <c r="C312" s="13" t="str">
        <f t="array" ref="C312">IFERROR(INDEX('간병신청대장'!$B:$B,MATCH($B312,'간병신청대장'!$A:$A,0)),"")</f>
        <v>이정완</v>
      </c>
      <c r="D312" s="10" t="s">
        <v>592</v>
      </c>
      <c r="E312" s="10" t="s">
        <v>3695</v>
      </c>
      <c r="F312" s="20" t="s">
        <v>3696</v>
      </c>
      <c r="G312" s="10">
        <v>1.0</v>
      </c>
      <c r="H312" s="8">
        <v>140000.0</v>
      </c>
      <c r="I312" s="18"/>
      <c r="J312" s="20" t="s">
        <v>103</v>
      </c>
      <c r="K312" s="10" t="s">
        <v>104</v>
      </c>
      <c r="L312" s="18">
        <f t="shared" si="7"/>
        <v>140000</v>
      </c>
      <c r="M312" s="23" t="s">
        <v>3089</v>
      </c>
      <c r="N312" s="24" t="s">
        <v>3697</v>
      </c>
    </row>
    <row r="313" ht="15.75" customHeight="1">
      <c r="A313" s="10" t="s">
        <v>3698</v>
      </c>
      <c r="B313" s="10" t="s">
        <v>2139</v>
      </c>
      <c r="C313" s="13" t="str">
        <f t="array" ref="C313">IFERROR(INDEX('간병신청대장'!$B:$B,MATCH($B313,'간병신청대장'!$A:$A,0)),"")</f>
        <v>이정완</v>
      </c>
      <c r="D313" s="10" t="s">
        <v>592</v>
      </c>
      <c r="E313" s="20" t="s">
        <v>3708</v>
      </c>
      <c r="F313" s="20" t="s">
        <v>3696</v>
      </c>
      <c r="G313" s="20">
        <v>1.0</v>
      </c>
      <c r="H313" s="8">
        <v>140000.0</v>
      </c>
      <c r="I313" s="18">
        <f t="shared" ref="I313:I318" si="17">G313*H313</f>
        <v>140000</v>
      </c>
      <c r="J313" s="20" t="s">
        <v>103</v>
      </c>
      <c r="K313" s="20" t="s">
        <v>146</v>
      </c>
      <c r="L313" s="18">
        <f t="shared" si="7"/>
        <v>0</v>
      </c>
      <c r="M313" s="23"/>
      <c r="N313" s="34" t="s">
        <v>3715</v>
      </c>
    </row>
    <row r="314" ht="15.75" customHeight="1">
      <c r="A314" s="10" t="s">
        <v>3717</v>
      </c>
      <c r="B314" s="10" t="s">
        <v>2152</v>
      </c>
      <c r="C314" s="13" t="str">
        <f t="array" ref="C314">IFERROR(INDEX('간병신청대장'!$B:$B,MATCH($B314,'간병신청대장'!$A:$A,0)),"")</f>
        <v>노다은</v>
      </c>
      <c r="D314" s="10" t="s">
        <v>592</v>
      </c>
      <c r="E314" s="10" t="s">
        <v>1367</v>
      </c>
      <c r="F314" s="20" t="s">
        <v>3234</v>
      </c>
      <c r="G314" s="10">
        <v>13.0</v>
      </c>
      <c r="H314" s="8">
        <v>169000.0</v>
      </c>
      <c r="I314" s="18">
        <f t="shared" si="17"/>
        <v>2197000</v>
      </c>
      <c r="J314" s="20" t="s">
        <v>103</v>
      </c>
      <c r="K314" s="20" t="s">
        <v>146</v>
      </c>
      <c r="L314" s="18">
        <f t="shared" si="7"/>
        <v>0</v>
      </c>
      <c r="M314" s="23"/>
      <c r="N314" s="26" t="s">
        <v>3721</v>
      </c>
    </row>
    <row r="315" ht="15.75" customHeight="1">
      <c r="A315" s="10" t="s">
        <v>3722</v>
      </c>
      <c r="B315" s="10" t="s">
        <v>2162</v>
      </c>
      <c r="C315" s="13" t="str">
        <f t="array" ref="C315">IFERROR(INDEX('간병신청대장'!$B:$B,MATCH($B315,'간병신청대장'!$A:$A,0)),"")</f>
        <v>정영수</v>
      </c>
      <c r="D315" s="10" t="s">
        <v>112</v>
      </c>
      <c r="E315" s="10" t="s">
        <v>2178</v>
      </c>
      <c r="F315" s="20" t="s">
        <v>569</v>
      </c>
      <c r="G315" s="10">
        <v>2.0</v>
      </c>
      <c r="H315" s="8">
        <v>155000.0</v>
      </c>
      <c r="I315" s="18">
        <f t="shared" si="17"/>
        <v>310000</v>
      </c>
      <c r="J315" s="10" t="s">
        <v>103</v>
      </c>
      <c r="K315" s="10" t="s">
        <v>146</v>
      </c>
      <c r="L315" s="18">
        <f t="shared" si="7"/>
        <v>0</v>
      </c>
      <c r="M315" s="27"/>
      <c r="N315" s="25"/>
    </row>
    <row r="316" ht="15.75" customHeight="1">
      <c r="A316" s="10" t="s">
        <v>3724</v>
      </c>
      <c r="B316" s="10" t="s">
        <v>2181</v>
      </c>
      <c r="C316" s="13" t="str">
        <f t="array" ref="C316">IFERROR(INDEX('간병신청대장'!$B:$B,MATCH($B316,'간병신청대장'!$A:$A,0)),"")</f>
        <v>정영수</v>
      </c>
      <c r="D316" s="10" t="s">
        <v>592</v>
      </c>
      <c r="E316" s="10" t="s">
        <v>2187</v>
      </c>
      <c r="F316" s="20" t="s">
        <v>3691</v>
      </c>
      <c r="G316" s="10">
        <v>3.0</v>
      </c>
      <c r="H316" s="8">
        <v>155000.0</v>
      </c>
      <c r="I316" s="18">
        <f t="shared" si="17"/>
        <v>465000</v>
      </c>
      <c r="J316" s="10" t="s">
        <v>103</v>
      </c>
      <c r="K316" s="10" t="s">
        <v>146</v>
      </c>
      <c r="L316" s="18">
        <f t="shared" si="7"/>
        <v>0</v>
      </c>
      <c r="M316" s="27"/>
      <c r="N316" s="25"/>
    </row>
    <row r="317" ht="15.75" customHeight="1">
      <c r="A317" s="10" t="s">
        <v>3728</v>
      </c>
      <c r="B317" s="10" t="s">
        <v>2190</v>
      </c>
      <c r="C317" s="13" t="str">
        <f t="array" ref="C317">IFERROR(INDEX('간병신청대장'!$B:$B,MATCH($B317,'간병신청대장'!$A:$A,0)),"")</f>
        <v>정영수</v>
      </c>
      <c r="D317" s="10" t="s">
        <v>592</v>
      </c>
      <c r="E317" s="10" t="s">
        <v>3731</v>
      </c>
      <c r="F317" s="20" t="s">
        <v>595</v>
      </c>
      <c r="G317" s="10">
        <v>7.0</v>
      </c>
      <c r="H317" s="8">
        <v>155000.0</v>
      </c>
      <c r="I317" s="18">
        <f t="shared" si="17"/>
        <v>1085000</v>
      </c>
      <c r="J317" s="10" t="s">
        <v>103</v>
      </c>
      <c r="K317" s="10" t="s">
        <v>146</v>
      </c>
      <c r="L317" s="18">
        <f t="shared" si="7"/>
        <v>0</v>
      </c>
      <c r="M317" s="27"/>
      <c r="N317" s="25"/>
    </row>
    <row r="318" ht="15.75" customHeight="1">
      <c r="A318" s="10" t="s">
        <v>3738</v>
      </c>
      <c r="B318" s="10" t="s">
        <v>2190</v>
      </c>
      <c r="C318" s="13" t="str">
        <f t="array" ref="C318">IFERROR(INDEX('간병신청대장'!$B:$B,MATCH($B318,'간병신청대장'!$A:$A,0)),"")</f>
        <v>정영수</v>
      </c>
      <c r="D318" s="10" t="s">
        <v>112</v>
      </c>
      <c r="E318" s="10" t="s">
        <v>3741</v>
      </c>
      <c r="F318" s="20" t="s">
        <v>2194</v>
      </c>
      <c r="G318" s="10">
        <v>6.0</v>
      </c>
      <c r="H318" s="8">
        <v>155000.0</v>
      </c>
      <c r="I318" s="18">
        <f t="shared" si="17"/>
        <v>930000</v>
      </c>
      <c r="J318" s="10" t="s">
        <v>103</v>
      </c>
      <c r="K318" s="10" t="s">
        <v>146</v>
      </c>
      <c r="L318" s="18">
        <f t="shared" si="7"/>
        <v>0</v>
      </c>
      <c r="M318" s="27"/>
      <c r="N318" s="25"/>
    </row>
    <row r="319" ht="15.75" customHeight="1">
      <c r="A319" s="10" t="s">
        <v>3744</v>
      </c>
      <c r="B319" s="10" t="s">
        <v>2197</v>
      </c>
      <c r="C319" s="13" t="str">
        <f t="array" ref="C319">IFERROR(INDEX('간병신청대장'!$B:$B,MATCH($B319,'간병신청대장'!$A:$A,0)),"")</f>
        <v>차미임</v>
      </c>
      <c r="D319" s="10" t="s">
        <v>592</v>
      </c>
      <c r="E319" s="10" t="s">
        <v>3747</v>
      </c>
      <c r="F319" s="20" t="s">
        <v>595</v>
      </c>
      <c r="G319" s="10">
        <v>9.0</v>
      </c>
      <c r="H319" s="8">
        <v>140000.0</v>
      </c>
      <c r="I319" s="8">
        <v>1260000.0</v>
      </c>
      <c r="J319" s="20" t="s">
        <v>103</v>
      </c>
      <c r="K319" s="20" t="s">
        <v>146</v>
      </c>
      <c r="L319" s="18">
        <f t="shared" si="7"/>
        <v>0</v>
      </c>
      <c r="M319" s="27"/>
      <c r="N319" s="25"/>
    </row>
    <row r="320" ht="15.75" customHeight="1">
      <c r="A320" s="10" t="s">
        <v>3749</v>
      </c>
      <c r="B320" s="10" t="s">
        <v>2197</v>
      </c>
      <c r="C320" s="13" t="str">
        <f t="array" ref="C320">IFERROR(INDEX('간병신청대장'!$B:$B,MATCH($B320,'간병신청대장'!$A:$A,0)),"")</f>
        <v>차미임</v>
      </c>
      <c r="D320" s="10" t="s">
        <v>112</v>
      </c>
      <c r="E320" s="10" t="s">
        <v>3745</v>
      </c>
      <c r="F320" s="20" t="s">
        <v>113</v>
      </c>
      <c r="G320" s="10">
        <v>10.0</v>
      </c>
      <c r="H320" s="8">
        <v>140000.0</v>
      </c>
      <c r="I320" s="8">
        <v>1400000.0</v>
      </c>
      <c r="J320" s="20" t="s">
        <v>103</v>
      </c>
      <c r="K320" s="20" t="s">
        <v>146</v>
      </c>
      <c r="L320" s="18">
        <f t="shared" si="7"/>
        <v>0</v>
      </c>
      <c r="M320" s="27"/>
      <c r="N320" s="25"/>
    </row>
    <row r="321" ht="15.75" customHeight="1">
      <c r="A321" s="10" t="s">
        <v>3751</v>
      </c>
      <c r="B321" s="10" t="s">
        <v>2197</v>
      </c>
      <c r="C321" s="13" t="str">
        <f t="array" ref="C321">IFERROR(INDEX('간병신청대장'!$B:$B,MATCH($B321,'간병신청대장'!$A:$A,0)),"")</f>
        <v>차미임</v>
      </c>
      <c r="D321" s="10" t="s">
        <v>194</v>
      </c>
      <c r="E321" s="10" t="s">
        <v>3761</v>
      </c>
      <c r="F321" s="37" t="s">
        <v>855</v>
      </c>
      <c r="G321" s="37">
        <v>9.0</v>
      </c>
      <c r="H321" s="8">
        <v>140000.0</v>
      </c>
      <c r="I321" s="8">
        <v>1260000.0</v>
      </c>
      <c r="J321" s="20" t="s">
        <v>103</v>
      </c>
      <c r="K321" s="20" t="s">
        <v>146</v>
      </c>
      <c r="L321" s="18">
        <f t="shared" si="7"/>
        <v>0</v>
      </c>
      <c r="M321" s="23"/>
      <c r="N321" s="34" t="s">
        <v>3764</v>
      </c>
    </row>
    <row r="322" ht="15.75" customHeight="1">
      <c r="A322" s="10" t="s">
        <v>3765</v>
      </c>
      <c r="B322" s="10" t="s">
        <v>2214</v>
      </c>
      <c r="C322" s="13" t="str">
        <f t="array" ref="C322">IFERROR(INDEX('간병신청대장'!$B:$B,MATCH($B322,'간병신청대장'!$A:$A,0)),"")</f>
        <v>유승백</v>
      </c>
      <c r="D322" s="10" t="s">
        <v>592</v>
      </c>
      <c r="E322" s="10" t="s">
        <v>3312</v>
      </c>
      <c r="F322" s="20" t="s">
        <v>595</v>
      </c>
      <c r="G322" s="10">
        <v>9.0</v>
      </c>
      <c r="H322" s="8">
        <v>129000.0</v>
      </c>
      <c r="I322" s="18">
        <v>1296000.0</v>
      </c>
      <c r="J322" s="10" t="s">
        <v>103</v>
      </c>
      <c r="K322" s="10" t="s">
        <v>146</v>
      </c>
      <c r="L322" s="18">
        <f t="shared" si="7"/>
        <v>0</v>
      </c>
      <c r="M322" s="27"/>
      <c r="N322" s="25"/>
    </row>
    <row r="323" ht="15.75" customHeight="1">
      <c r="A323" s="10" t="s">
        <v>3768</v>
      </c>
      <c r="B323" s="10" t="s">
        <v>2214</v>
      </c>
      <c r="C323" s="13" t="str">
        <f t="array" ref="C323">IFERROR(INDEX('간병신청대장'!$B:$B,MATCH($B323,'간병신청대장'!$A:$A,0)),"")</f>
        <v>유승백</v>
      </c>
      <c r="D323" s="10" t="s">
        <v>112</v>
      </c>
      <c r="E323" s="10" t="s">
        <v>3315</v>
      </c>
      <c r="F323" s="20" t="s">
        <v>113</v>
      </c>
      <c r="G323" s="10">
        <v>9.0</v>
      </c>
      <c r="H323" s="8">
        <v>129000.0</v>
      </c>
      <c r="I323" s="8">
        <v>1290000.0</v>
      </c>
      <c r="J323" s="20" t="s">
        <v>103</v>
      </c>
      <c r="K323" s="20" t="s">
        <v>146</v>
      </c>
      <c r="L323" s="18">
        <f t="shared" si="7"/>
        <v>0</v>
      </c>
      <c r="M323" s="27"/>
      <c r="N323" s="25"/>
    </row>
    <row r="324" ht="15.75" customHeight="1">
      <c r="A324" s="10" t="s">
        <v>3771</v>
      </c>
      <c r="B324" s="10" t="s">
        <v>2214</v>
      </c>
      <c r="C324" s="13" t="str">
        <f t="array" ref="C324">IFERROR(INDEX('간병신청대장'!$B:$B,MATCH($B324,'간병신청대장'!$A:$A,0)),"")</f>
        <v>유승백</v>
      </c>
      <c r="D324" s="10" t="s">
        <v>622</v>
      </c>
      <c r="E324" s="10" t="s">
        <v>645</v>
      </c>
      <c r="F324" s="20" t="s">
        <v>645</v>
      </c>
      <c r="G324" s="10">
        <v>10.0</v>
      </c>
      <c r="H324" s="35">
        <v>129000.0</v>
      </c>
      <c r="I324" s="8">
        <v>1290000.0</v>
      </c>
      <c r="J324" s="20" t="s">
        <v>103</v>
      </c>
      <c r="K324" s="20" t="s">
        <v>146</v>
      </c>
      <c r="L324" s="18">
        <f t="shared" si="7"/>
        <v>0</v>
      </c>
      <c r="M324" s="23"/>
      <c r="N324" s="34" t="s">
        <v>3777</v>
      </c>
    </row>
    <row r="325" ht="15.75" customHeight="1">
      <c r="A325" s="10" t="s">
        <v>3778</v>
      </c>
      <c r="B325" s="10" t="s">
        <v>2222</v>
      </c>
      <c r="C325" s="13" t="str">
        <f t="array" ref="C325">IFERROR(INDEX('간병신청대장'!$B:$B,MATCH($B325,'간병신청대장'!$A:$A,0)),"")</f>
        <v>김시훈</v>
      </c>
      <c r="D325" s="10" t="s">
        <v>592</v>
      </c>
      <c r="E325" s="10" t="s">
        <v>2229</v>
      </c>
      <c r="F325" s="20" t="s">
        <v>2194</v>
      </c>
      <c r="G325" s="10">
        <v>4.0</v>
      </c>
      <c r="H325" s="18">
        <v>144000.0</v>
      </c>
      <c r="I325" s="18">
        <v>576000.0</v>
      </c>
      <c r="J325" s="10" t="s">
        <v>103</v>
      </c>
      <c r="K325" s="10" t="s">
        <v>146</v>
      </c>
      <c r="L325" s="18">
        <f t="shared" si="7"/>
        <v>0</v>
      </c>
      <c r="M325" s="27"/>
      <c r="N325" s="25"/>
    </row>
    <row r="326" ht="15.75" customHeight="1">
      <c r="A326" s="10" t="s">
        <v>3782</v>
      </c>
      <c r="B326" s="10" t="s">
        <v>2232</v>
      </c>
      <c r="C326" s="13" t="str">
        <f t="array" ref="C326">IFERROR(INDEX('간병신청대장'!$B:$B,MATCH($B326,'간병신청대장'!$A:$A,0)),"")</f>
        <v>김철재</v>
      </c>
      <c r="D326" s="10" t="s">
        <v>112</v>
      </c>
      <c r="E326" s="10" t="s">
        <v>3770</v>
      </c>
      <c r="F326" s="20" t="s">
        <v>113</v>
      </c>
      <c r="G326" s="10">
        <v>7.0</v>
      </c>
      <c r="H326" s="18">
        <v>140000.0</v>
      </c>
      <c r="I326" s="18">
        <v>980000.0</v>
      </c>
      <c r="J326" s="10" t="s">
        <v>103</v>
      </c>
      <c r="K326" s="10" t="s">
        <v>146</v>
      </c>
      <c r="L326" s="18">
        <f t="shared" si="7"/>
        <v>0</v>
      </c>
      <c r="M326" s="27"/>
      <c r="N326" s="25"/>
    </row>
    <row r="327" ht="15.75" customHeight="1">
      <c r="A327" s="10" t="s">
        <v>3785</v>
      </c>
      <c r="B327" s="10" t="s">
        <v>2232</v>
      </c>
      <c r="C327" s="13" t="str">
        <f t="array" ref="C327">IFERROR(INDEX('간병신청대장'!$B:$B,MATCH($B327,'간병신청대장'!$A:$A,0)),"")</f>
        <v>김철재</v>
      </c>
      <c r="D327" s="10" t="s">
        <v>194</v>
      </c>
      <c r="E327" s="10" t="s">
        <v>3773</v>
      </c>
      <c r="F327" s="20" t="s">
        <v>629</v>
      </c>
      <c r="G327" s="20">
        <v>12.0</v>
      </c>
      <c r="H327" s="8">
        <v>140000.0</v>
      </c>
      <c r="I327" s="8">
        <v>1680000.0</v>
      </c>
      <c r="J327" s="20" t="s">
        <v>103</v>
      </c>
      <c r="K327" s="20" t="s">
        <v>146</v>
      </c>
      <c r="L327" s="18">
        <f t="shared" si="7"/>
        <v>0</v>
      </c>
      <c r="M327" s="27"/>
      <c r="N327" s="25"/>
    </row>
    <row r="328" ht="15.75" customHeight="1">
      <c r="A328" s="10" t="s">
        <v>3790</v>
      </c>
      <c r="B328" s="10" t="s">
        <v>2232</v>
      </c>
      <c r="C328" s="13" t="str">
        <f t="array" ref="C328">IFERROR(INDEX('간병신청대장'!$B:$B,MATCH($B328,'간병신청대장'!$A:$A,0)),"")</f>
        <v>김철재</v>
      </c>
      <c r="D328" s="10" t="s">
        <v>622</v>
      </c>
      <c r="E328" s="10" t="s">
        <v>3775</v>
      </c>
      <c r="F328" s="20" t="s">
        <v>645</v>
      </c>
      <c r="G328" s="10">
        <v>10.0</v>
      </c>
      <c r="H328" s="8">
        <v>140000.0</v>
      </c>
      <c r="I328" s="8">
        <v>1400000.0</v>
      </c>
      <c r="J328" s="20" t="s">
        <v>103</v>
      </c>
      <c r="K328" s="20" t="s">
        <v>146</v>
      </c>
      <c r="L328" s="18">
        <f t="shared" si="7"/>
        <v>0</v>
      </c>
      <c r="M328" s="23"/>
      <c r="N328" s="26" t="s">
        <v>3799</v>
      </c>
    </row>
    <row r="329" ht="15.75" customHeight="1">
      <c r="A329" s="10" t="s">
        <v>3800</v>
      </c>
      <c r="B329" s="10" t="s">
        <v>2244</v>
      </c>
      <c r="C329" s="13" t="str">
        <f t="array" ref="C329">IFERROR(INDEX('간병신청대장'!$B:$B,MATCH($B329,'간병신청대장'!$A:$A,0)),"")</f>
        <v>구상순</v>
      </c>
      <c r="D329" s="10" t="s">
        <v>592</v>
      </c>
      <c r="E329" s="10" t="s">
        <v>2250</v>
      </c>
      <c r="F329" s="20" t="s">
        <v>2194</v>
      </c>
      <c r="G329" s="10">
        <v>4.0</v>
      </c>
      <c r="H329" s="35">
        <v>135000.0</v>
      </c>
      <c r="I329" s="18">
        <f t="shared" ref="I329:I330" si="18">G329*H329</f>
        <v>540000</v>
      </c>
      <c r="J329" s="20" t="s">
        <v>103</v>
      </c>
      <c r="K329" s="20" t="s">
        <v>146</v>
      </c>
      <c r="L329" s="18">
        <f t="shared" si="7"/>
        <v>0</v>
      </c>
      <c r="M329" s="23"/>
      <c r="N329" s="34" t="s">
        <v>3810</v>
      </c>
    </row>
    <row r="330" ht="15.75" customHeight="1">
      <c r="A330" s="10" t="s">
        <v>3811</v>
      </c>
      <c r="B330" s="10" t="s">
        <v>2271</v>
      </c>
      <c r="C330" s="13" t="str">
        <f t="array" ref="C330">IFERROR(INDEX('간병신청대장'!$B:$B,MATCH($B330,'간병신청대장'!$A:$A,0)),"")</f>
        <v>이춘남</v>
      </c>
      <c r="D330" s="10" t="s">
        <v>112</v>
      </c>
      <c r="E330" s="10" t="s">
        <v>1002</v>
      </c>
      <c r="F330" s="20" t="s">
        <v>113</v>
      </c>
      <c r="G330" s="10">
        <v>2.0</v>
      </c>
      <c r="H330" s="8">
        <v>144000.0</v>
      </c>
      <c r="I330" s="18">
        <f t="shared" si="18"/>
        <v>288000</v>
      </c>
      <c r="J330" s="20" t="s">
        <v>103</v>
      </c>
      <c r="K330" s="20" t="s">
        <v>146</v>
      </c>
      <c r="L330" s="18">
        <f t="shared" si="7"/>
        <v>0</v>
      </c>
      <c r="M330" s="23"/>
      <c r="N330" s="26" t="s">
        <v>3815</v>
      </c>
    </row>
    <row r="331" ht="36.0" customHeight="1">
      <c r="A331" s="46" t="s">
        <v>3817</v>
      </c>
      <c r="B331" s="46" t="s">
        <v>2291</v>
      </c>
      <c r="C331" s="47" t="str">
        <f t="array" ref="C331">IFERROR(INDEX('간병신청대장'!$B:$B,MATCH($B331,'간병신청대장'!$A:$A,0)),"")</f>
        <v>윤광자</v>
      </c>
      <c r="D331" s="46" t="s">
        <v>194</v>
      </c>
      <c r="E331" s="46" t="s">
        <v>3820</v>
      </c>
      <c r="F331" s="48" t="s">
        <v>629</v>
      </c>
      <c r="G331" s="46">
        <v>9.0</v>
      </c>
      <c r="H331" s="49">
        <v>144000.0</v>
      </c>
      <c r="I331" s="50"/>
      <c r="J331" s="48" t="s">
        <v>3821</v>
      </c>
      <c r="K331" s="46" t="s">
        <v>104</v>
      </c>
      <c r="L331" s="50">
        <f t="shared" si="7"/>
        <v>1296000</v>
      </c>
      <c r="M331" s="53"/>
      <c r="N331" s="82" t="s">
        <v>3823</v>
      </c>
    </row>
    <row r="332" ht="36.0" customHeight="1">
      <c r="A332" s="46" t="s">
        <v>3824</v>
      </c>
      <c r="B332" s="46" t="s">
        <v>2291</v>
      </c>
      <c r="C332" s="47" t="str">
        <f t="array" ref="C332">IFERROR(INDEX('간병신청대장'!$B:$B,MATCH($B332,'간병신청대장'!$A:$A,0)),"")</f>
        <v>윤광자</v>
      </c>
      <c r="D332" s="46" t="s">
        <v>622</v>
      </c>
      <c r="E332" s="46" t="s">
        <v>3788</v>
      </c>
      <c r="F332" s="48" t="s">
        <v>645</v>
      </c>
      <c r="G332" s="46">
        <v>10.0</v>
      </c>
      <c r="H332" s="49">
        <v>144000.0</v>
      </c>
      <c r="I332" s="50"/>
      <c r="J332" s="48" t="s">
        <v>3821</v>
      </c>
      <c r="K332" s="46" t="s">
        <v>104</v>
      </c>
      <c r="L332" s="50">
        <f t="shared" si="7"/>
        <v>1440000</v>
      </c>
      <c r="M332" s="53"/>
      <c r="N332" s="55"/>
    </row>
    <row r="333" ht="15.75" customHeight="1">
      <c r="A333" s="10" t="s">
        <v>3835</v>
      </c>
      <c r="B333" s="10" t="s">
        <v>2347</v>
      </c>
      <c r="C333" s="13" t="str">
        <f t="array" ref="C333">IFERROR(INDEX('간병신청대장'!$B:$B,MATCH($B333,'간병신청대장'!$A:$A,0)),"")</f>
        <v>박정란</v>
      </c>
      <c r="D333" s="10" t="s">
        <v>194</v>
      </c>
      <c r="E333" s="10" t="s">
        <v>2412</v>
      </c>
      <c r="F333" s="20" t="s">
        <v>629</v>
      </c>
      <c r="G333" s="10">
        <v>10.0</v>
      </c>
      <c r="H333" s="8">
        <v>144000.0</v>
      </c>
      <c r="I333" s="8">
        <v>1485000.0</v>
      </c>
      <c r="J333" s="20" t="s">
        <v>103</v>
      </c>
      <c r="K333" s="37" t="s">
        <v>146</v>
      </c>
      <c r="L333" s="18">
        <f t="shared" si="7"/>
        <v>0</v>
      </c>
      <c r="M333" s="23"/>
      <c r="N333" s="34" t="s">
        <v>3841</v>
      </c>
    </row>
    <row r="334" ht="15.75" customHeight="1">
      <c r="A334" s="10" t="s">
        <v>3843</v>
      </c>
      <c r="B334" s="10" t="s">
        <v>2368</v>
      </c>
      <c r="C334" s="13" t="str">
        <f t="array" ref="C334">IFERROR(INDEX('간병신청대장'!$B:$B,MATCH($B334,'간병신청대장'!$A:$A,0)),"")</f>
        <v>나도선</v>
      </c>
      <c r="D334" s="10" t="s">
        <v>194</v>
      </c>
      <c r="E334" s="10" t="s">
        <v>2529</v>
      </c>
      <c r="F334" s="20" t="s">
        <v>629</v>
      </c>
      <c r="G334" s="10">
        <v>15.0</v>
      </c>
      <c r="H334" s="8">
        <v>144000.0</v>
      </c>
      <c r="I334" s="8">
        <v>1485000.0</v>
      </c>
      <c r="J334" s="20" t="s">
        <v>103</v>
      </c>
      <c r="K334" s="37" t="s">
        <v>146</v>
      </c>
      <c r="L334" s="18">
        <f t="shared" si="7"/>
        <v>0</v>
      </c>
      <c r="M334" s="23"/>
      <c r="N334" s="34" t="s">
        <v>3848</v>
      </c>
    </row>
    <row r="335" ht="15.75" customHeight="1">
      <c r="A335" s="10" t="s">
        <v>3851</v>
      </c>
      <c r="B335" s="10" t="s">
        <v>2391</v>
      </c>
      <c r="C335" s="13" t="str">
        <f t="array" ref="C335">IFERROR(INDEX('간병신청대장'!$B:$B,MATCH($B335,'간병신청대장'!$A:$A,0)),"")</f>
        <v>김일순</v>
      </c>
      <c r="D335" s="10" t="s">
        <v>194</v>
      </c>
      <c r="E335" s="10" t="s">
        <v>2397</v>
      </c>
      <c r="F335" s="20" t="s">
        <v>2054</v>
      </c>
      <c r="G335" s="10">
        <v>2.0</v>
      </c>
      <c r="H335" s="8">
        <v>144000.0</v>
      </c>
      <c r="I335" s="35">
        <v>288000.0</v>
      </c>
      <c r="J335" s="37" t="s">
        <v>103</v>
      </c>
      <c r="K335" s="20" t="s">
        <v>146</v>
      </c>
      <c r="L335" s="18">
        <f t="shared" si="7"/>
        <v>0</v>
      </c>
      <c r="M335" s="23"/>
      <c r="N335" s="26" t="s">
        <v>3862</v>
      </c>
    </row>
    <row r="336" ht="15.75" customHeight="1">
      <c r="A336" s="10" t="s">
        <v>3863</v>
      </c>
      <c r="B336" s="10" t="s">
        <v>2399</v>
      </c>
      <c r="C336" s="13" t="str">
        <f t="array" ref="C336">IFERROR(INDEX('간병신청대장'!$B:$B,MATCH($B336,'간병신청대장'!$A:$A,0)),"")</f>
        <v>홍표승</v>
      </c>
      <c r="D336" s="10" t="s">
        <v>194</v>
      </c>
      <c r="E336" s="10" t="s">
        <v>3866</v>
      </c>
      <c r="F336" s="20" t="s">
        <v>629</v>
      </c>
      <c r="G336" s="10">
        <v>8.0</v>
      </c>
      <c r="H336" s="35">
        <v>144000.0</v>
      </c>
      <c r="I336" s="18">
        <f>G336*H336</f>
        <v>1152000</v>
      </c>
      <c r="J336" s="20" t="s">
        <v>103</v>
      </c>
      <c r="K336" s="20" t="s">
        <v>146</v>
      </c>
      <c r="L336" s="18">
        <f t="shared" si="7"/>
        <v>0</v>
      </c>
      <c r="M336" s="23"/>
      <c r="N336" s="34" t="s">
        <v>3876</v>
      </c>
    </row>
    <row r="337" ht="15.75" customHeight="1">
      <c r="A337" s="10" t="s">
        <v>3877</v>
      </c>
      <c r="B337" s="10" t="s">
        <v>2416</v>
      </c>
      <c r="C337" s="13" t="str">
        <f t="array" ref="C337">IFERROR(INDEX('간병신청대장'!$B:$B,MATCH($B337,'간병신청대장'!$A:$A,0)),"")</f>
        <v>김순종</v>
      </c>
      <c r="D337" s="10" t="s">
        <v>194</v>
      </c>
      <c r="E337" s="10" t="s">
        <v>2423</v>
      </c>
      <c r="F337" s="20" t="s">
        <v>100</v>
      </c>
      <c r="G337" s="10">
        <v>19.0</v>
      </c>
      <c r="H337" s="18">
        <v>169000.0</v>
      </c>
      <c r="I337" s="18">
        <v>3211000.0</v>
      </c>
      <c r="J337" s="10" t="s">
        <v>103</v>
      </c>
      <c r="K337" s="10" t="s">
        <v>146</v>
      </c>
      <c r="L337" s="18">
        <f t="shared" si="7"/>
        <v>0</v>
      </c>
      <c r="M337" s="27"/>
      <c r="N337" s="25"/>
    </row>
    <row r="338" ht="15.75" customHeight="1">
      <c r="A338" s="10" t="s">
        <v>3885</v>
      </c>
      <c r="B338" s="10" t="s">
        <v>2458</v>
      </c>
      <c r="C338" s="13" t="str">
        <f t="array" ref="C338">IFERROR(INDEX('간병신청대장'!$B:$B,MATCH($B338,'간병신청대장'!$A:$A,0)),"")</f>
        <v>김리아</v>
      </c>
      <c r="D338" s="10" t="s">
        <v>194</v>
      </c>
      <c r="E338" s="10" t="s">
        <v>3893</v>
      </c>
      <c r="F338" s="20" t="s">
        <v>2063</v>
      </c>
      <c r="G338" s="10">
        <v>4.0</v>
      </c>
      <c r="H338" s="8">
        <v>144000.0</v>
      </c>
      <c r="I338" s="8">
        <v>576000.0</v>
      </c>
      <c r="J338" s="20" t="s">
        <v>103</v>
      </c>
      <c r="K338" s="20" t="s">
        <v>146</v>
      </c>
      <c r="L338" s="18">
        <f t="shared" si="7"/>
        <v>0</v>
      </c>
      <c r="M338" s="23"/>
      <c r="N338" s="26" t="s">
        <v>3896</v>
      </c>
    </row>
    <row r="339" ht="15.75" customHeight="1">
      <c r="A339" s="10" t="s">
        <v>3897</v>
      </c>
      <c r="B339" s="10" t="s">
        <v>2464</v>
      </c>
      <c r="C339" s="13" t="str">
        <f t="array" ref="C339">IFERROR(INDEX('간병신청대장'!$B:$B,MATCH($B339,'간병신청대장'!$A:$A,0)),"")</f>
        <v>김막례</v>
      </c>
      <c r="D339" s="10" t="s">
        <v>622</v>
      </c>
      <c r="E339" s="10" t="s">
        <v>2433</v>
      </c>
      <c r="F339" s="20" t="s">
        <v>868</v>
      </c>
      <c r="G339" s="10">
        <v>14.0</v>
      </c>
      <c r="H339" s="18">
        <v>144000.0</v>
      </c>
      <c r="I339" s="18">
        <v>2016000.0</v>
      </c>
      <c r="J339" s="10" t="s">
        <v>103</v>
      </c>
      <c r="K339" s="10" t="s">
        <v>146</v>
      </c>
      <c r="L339" s="18">
        <f t="shared" si="7"/>
        <v>0</v>
      </c>
      <c r="M339" s="23"/>
      <c r="N339" s="26" t="s">
        <v>3905</v>
      </c>
    </row>
    <row r="340" ht="15.75" customHeight="1">
      <c r="A340" s="10" t="s">
        <v>3906</v>
      </c>
      <c r="B340" s="10" t="s">
        <v>2479</v>
      </c>
      <c r="C340" s="31" t="s">
        <v>3907</v>
      </c>
      <c r="D340" s="10" t="s">
        <v>622</v>
      </c>
      <c r="E340" s="10" t="s">
        <v>2488</v>
      </c>
      <c r="F340" s="23" t="s">
        <v>3908</v>
      </c>
      <c r="G340" s="20">
        <v>7.0</v>
      </c>
      <c r="H340" s="8">
        <v>144000.0</v>
      </c>
      <c r="I340" s="18">
        <f t="shared" ref="I340:I342" si="19">G340*H340</f>
        <v>1008000</v>
      </c>
      <c r="J340" s="20" t="s">
        <v>103</v>
      </c>
      <c r="K340" s="20" t="s">
        <v>146</v>
      </c>
      <c r="L340" s="18">
        <f t="shared" si="7"/>
        <v>0</v>
      </c>
      <c r="M340" s="23"/>
      <c r="N340" s="34" t="s">
        <v>3909</v>
      </c>
    </row>
    <row r="341" ht="15.75" customHeight="1">
      <c r="A341" s="10" t="s">
        <v>3910</v>
      </c>
      <c r="B341" s="10" t="s">
        <v>2517</v>
      </c>
      <c r="C341" s="13" t="str">
        <f t="array" ref="C341">IFERROR(INDEX('간병신청대장'!$B:$B,MATCH($B341,'간병신청대장'!$A:$A,0)),"")</f>
        <v>고경진</v>
      </c>
      <c r="D341" s="10" t="s">
        <v>622</v>
      </c>
      <c r="E341" s="10" t="s">
        <v>2530</v>
      </c>
      <c r="F341" s="20" t="s">
        <v>3078</v>
      </c>
      <c r="G341" s="10">
        <v>5.0</v>
      </c>
      <c r="H341" s="8">
        <v>135000.0</v>
      </c>
      <c r="I341" s="18">
        <f t="shared" si="19"/>
        <v>675000</v>
      </c>
      <c r="J341" s="20" t="s">
        <v>103</v>
      </c>
      <c r="K341" s="20" t="s">
        <v>146</v>
      </c>
      <c r="L341" s="18">
        <f t="shared" si="7"/>
        <v>0</v>
      </c>
      <c r="M341" s="23"/>
      <c r="N341" s="34" t="s">
        <v>3920</v>
      </c>
    </row>
    <row r="342" ht="15.75" customHeight="1">
      <c r="A342" s="10" t="s">
        <v>3921</v>
      </c>
      <c r="B342" s="10" t="s">
        <v>2532</v>
      </c>
      <c r="C342" s="13" t="str">
        <f t="array" ref="C342">IFERROR(INDEX('간병신청대장'!$B:$B,MATCH($B342,'간병신청대장'!$A:$A,0)),"")</f>
        <v>김진숙</v>
      </c>
      <c r="D342" s="10" t="s">
        <v>622</v>
      </c>
      <c r="E342" s="10" t="s">
        <v>2594</v>
      </c>
      <c r="F342" s="20" t="s">
        <v>3932</v>
      </c>
      <c r="G342" s="10">
        <v>4.0</v>
      </c>
      <c r="H342" s="8">
        <v>144000.0</v>
      </c>
      <c r="I342" s="18">
        <f t="shared" si="19"/>
        <v>576000</v>
      </c>
      <c r="J342" s="20" t="s">
        <v>103</v>
      </c>
      <c r="K342" s="20" t="s">
        <v>146</v>
      </c>
      <c r="L342" s="18">
        <f t="shared" si="7"/>
        <v>0</v>
      </c>
      <c r="M342" s="23"/>
      <c r="N342" s="26" t="s">
        <v>3934</v>
      </c>
    </row>
    <row r="343" ht="15.75" customHeight="1">
      <c r="A343" s="10" t="s">
        <v>3935</v>
      </c>
      <c r="B343" s="10" t="s">
        <v>2544</v>
      </c>
      <c r="C343" s="13" t="str">
        <f t="array" ref="C343">IFERROR(INDEX('간병신청대장'!$B:$B,MATCH($B343,'간병신청대장'!$A:$A,0)),"")</f>
        <v>곽상헌</v>
      </c>
      <c r="D343" s="10" t="s">
        <v>622</v>
      </c>
      <c r="E343" s="10" t="s">
        <v>2559</v>
      </c>
      <c r="F343" s="20" t="s">
        <v>3932</v>
      </c>
      <c r="G343" s="10">
        <v>4.0</v>
      </c>
      <c r="H343" s="18">
        <v>142000.0</v>
      </c>
      <c r="I343" s="18"/>
      <c r="J343" s="10" t="s">
        <v>377</v>
      </c>
      <c r="K343" s="10" t="s">
        <v>104</v>
      </c>
      <c r="L343" s="18">
        <f t="shared" si="7"/>
        <v>568000</v>
      </c>
      <c r="M343" s="23" t="s">
        <v>108</v>
      </c>
      <c r="N343" s="24" t="s">
        <v>3948</v>
      </c>
    </row>
    <row r="344" ht="15.75" customHeight="1">
      <c r="A344" s="10" t="s">
        <v>3949</v>
      </c>
      <c r="B344" s="10" t="s">
        <v>2571</v>
      </c>
      <c r="C344" s="13" t="str">
        <f t="array" ref="C344">IFERROR(INDEX('간병신청대장'!$B:$B,MATCH($B344,'간병신청대장'!$A:$A,0)),"")</f>
        <v>설아림</v>
      </c>
      <c r="D344" s="10" t="s">
        <v>622</v>
      </c>
      <c r="E344" s="10" t="s">
        <v>2488</v>
      </c>
      <c r="F344" s="20" t="s">
        <v>3932</v>
      </c>
      <c r="G344" s="10">
        <v>4.0</v>
      </c>
      <c r="H344" s="8">
        <v>144000.0</v>
      </c>
      <c r="I344" s="18">
        <f>G344*H344</f>
        <v>576000</v>
      </c>
      <c r="J344" s="20" t="s">
        <v>103</v>
      </c>
      <c r="K344" s="20" t="s">
        <v>146</v>
      </c>
      <c r="L344" s="18">
        <f t="shared" si="7"/>
        <v>0</v>
      </c>
      <c r="M344" s="23"/>
      <c r="N344" s="26" t="s">
        <v>3956</v>
      </c>
    </row>
    <row r="345" ht="15.75" customHeight="1">
      <c r="A345" s="10" t="s">
        <v>3957</v>
      </c>
      <c r="B345" s="10" t="s">
        <v>2588</v>
      </c>
      <c r="C345" s="13" t="str">
        <f t="array" ref="C345">IFERROR(INDEX('간병신청대장'!$B:$B,MATCH($B345,'간병신청대장'!$A:$A,0)),"")</f>
        <v>장옥영</v>
      </c>
      <c r="D345" s="10" t="s">
        <v>622</v>
      </c>
      <c r="E345" s="10" t="s">
        <v>2595</v>
      </c>
      <c r="F345" s="20" t="s">
        <v>3932</v>
      </c>
      <c r="G345" s="10">
        <v>5.0</v>
      </c>
      <c r="H345" s="18">
        <v>142000.0</v>
      </c>
      <c r="I345" s="18"/>
      <c r="J345" s="10" t="s">
        <v>377</v>
      </c>
      <c r="K345" s="10" t="s">
        <v>104</v>
      </c>
      <c r="L345" s="18">
        <f t="shared" si="7"/>
        <v>710000</v>
      </c>
      <c r="M345" s="23" t="s">
        <v>108</v>
      </c>
      <c r="N345" s="24" t="s">
        <v>3965</v>
      </c>
    </row>
    <row r="346" ht="15.75" customHeight="1">
      <c r="A346" s="10" t="s">
        <v>3966</v>
      </c>
      <c r="B346" s="20" t="s">
        <v>2609</v>
      </c>
      <c r="C346" s="13" t="str">
        <f t="array" ref="C346">IFERROR(INDEX('간병신청대장'!$B:$B,MATCH($B346,'간병신청대장'!$A:$A,0)),"")</f>
        <v>정대석</v>
      </c>
      <c r="D346" s="10" t="s">
        <v>622</v>
      </c>
      <c r="E346" s="10" t="s">
        <v>3969</v>
      </c>
      <c r="F346" s="20" t="s">
        <v>3932</v>
      </c>
      <c r="G346" s="10">
        <v>4.0</v>
      </c>
      <c r="H346" s="8">
        <v>135000.0</v>
      </c>
      <c r="I346" s="18"/>
      <c r="J346" s="20" t="s">
        <v>103</v>
      </c>
      <c r="K346" s="37" t="s">
        <v>614</v>
      </c>
      <c r="L346" s="18">
        <f t="shared" si="7"/>
        <v>0</v>
      </c>
      <c r="M346" s="23"/>
      <c r="N346" s="34" t="s">
        <v>3970</v>
      </c>
    </row>
    <row r="347" ht="15.75" customHeight="1">
      <c r="A347" s="10" t="s">
        <v>3971</v>
      </c>
      <c r="B347" s="20" t="s">
        <v>63</v>
      </c>
      <c r="C347" s="13" t="str">
        <f t="array" ref="C347">IFERROR(INDEX('간병신청대장'!$B:$B,MATCH($B347,'간병신청대장'!$A:$A,0)),"")</f>
        <v>김옥경</v>
      </c>
      <c r="D347" s="20" t="s">
        <v>3979</v>
      </c>
      <c r="E347" s="20" t="s">
        <v>3704</v>
      </c>
      <c r="F347" s="20"/>
      <c r="G347" s="20">
        <v>2.0</v>
      </c>
      <c r="H347" s="8">
        <v>86000.0</v>
      </c>
      <c r="I347" s="18"/>
      <c r="J347" s="20" t="s">
        <v>103</v>
      </c>
      <c r="K347" s="10" t="s">
        <v>146</v>
      </c>
      <c r="L347" s="18">
        <f t="shared" si="7"/>
        <v>0</v>
      </c>
      <c r="M347" s="27"/>
      <c r="N347" s="25"/>
    </row>
    <row r="348" ht="15.75" customHeight="1">
      <c r="A348" s="10" t="s">
        <v>3981</v>
      </c>
      <c r="B348" s="20" t="s">
        <v>121</v>
      </c>
      <c r="C348" s="13" t="str">
        <f t="array" ref="C348">IFERROR(INDEX('간병신청대장'!$B:$B,MATCH($B348,'간병신청대장'!$A:$A,0)),"")</f>
        <v>박지원</v>
      </c>
      <c r="D348" s="20" t="s">
        <v>3982</v>
      </c>
      <c r="E348" s="20" t="s">
        <v>3983</v>
      </c>
      <c r="F348" s="20"/>
      <c r="G348" s="20">
        <v>8.0</v>
      </c>
      <c r="H348" s="8">
        <v>86000.0</v>
      </c>
      <c r="I348" s="18"/>
      <c r="J348" s="20" t="s">
        <v>103</v>
      </c>
      <c r="K348" s="10" t="s">
        <v>146</v>
      </c>
      <c r="L348" s="18">
        <f t="shared" si="7"/>
        <v>0</v>
      </c>
      <c r="M348" s="27"/>
      <c r="N348" s="25"/>
    </row>
    <row r="349" ht="15.75" customHeight="1">
      <c r="A349" s="10" t="s">
        <v>3985</v>
      </c>
      <c r="B349" s="20" t="s">
        <v>356</v>
      </c>
      <c r="C349" s="13" t="str">
        <f t="array" ref="C349">IFERROR(INDEX('간병신청대장'!$B:$B,MATCH($B349,'간병신청대장'!$A:$A,0)),"")</f>
        <v>이윤진</v>
      </c>
      <c r="D349" s="20" t="s">
        <v>3991</v>
      </c>
      <c r="E349" s="20" t="s">
        <v>3993</v>
      </c>
      <c r="F349" s="20"/>
      <c r="G349" s="20">
        <v>3.0</v>
      </c>
      <c r="H349" s="8">
        <v>86000.0</v>
      </c>
      <c r="I349" s="18"/>
      <c r="J349" s="20" t="s">
        <v>103</v>
      </c>
      <c r="K349" s="10" t="s">
        <v>146</v>
      </c>
      <c r="L349" s="18">
        <f t="shared" si="7"/>
        <v>0</v>
      </c>
      <c r="M349" s="27"/>
      <c r="N349" s="25"/>
    </row>
    <row r="350" ht="15.75" customHeight="1">
      <c r="A350" s="10" t="s">
        <v>4001</v>
      </c>
      <c r="B350" s="20" t="s">
        <v>333</v>
      </c>
      <c r="C350" s="13" t="str">
        <f t="array" ref="C350">IFERROR(INDEX('간병신청대장'!$B:$B,MATCH($B350,'간병신청대장'!$A:$A,0)),"")</f>
        <v>김진선</v>
      </c>
      <c r="D350" s="20" t="s">
        <v>238</v>
      </c>
      <c r="E350" s="10" t="s">
        <v>351</v>
      </c>
      <c r="F350" s="20" t="s">
        <v>739</v>
      </c>
      <c r="G350" s="20">
        <v>2.0</v>
      </c>
      <c r="H350" s="8"/>
      <c r="I350" s="18"/>
      <c r="J350" s="20" t="s">
        <v>103</v>
      </c>
      <c r="K350" s="10" t="s">
        <v>146</v>
      </c>
      <c r="L350" s="18">
        <f t="shared" si="7"/>
        <v>0</v>
      </c>
      <c r="M350" s="23"/>
      <c r="N350" s="26" t="s">
        <v>4012</v>
      </c>
    </row>
    <row r="351" ht="15.75" customHeight="1">
      <c r="A351" s="10" t="s">
        <v>4016</v>
      </c>
      <c r="B351" s="20" t="s">
        <v>353</v>
      </c>
      <c r="C351" s="13" t="str">
        <f t="array" ref="C351">IFERROR(INDEX('간병신청대장'!$B:$B,MATCH($B351,'간병신청대장'!$A:$A,0)),"")</f>
        <v>김진선</v>
      </c>
      <c r="D351" s="20" t="s">
        <v>238</v>
      </c>
      <c r="E351" s="10" t="s">
        <v>368</v>
      </c>
      <c r="F351" s="20" t="s">
        <v>739</v>
      </c>
      <c r="G351" s="20">
        <v>4.0</v>
      </c>
      <c r="H351" s="8"/>
      <c r="I351" s="18"/>
      <c r="J351" s="20" t="s">
        <v>103</v>
      </c>
      <c r="K351" s="10" t="s">
        <v>146</v>
      </c>
      <c r="L351" s="18">
        <f t="shared" si="7"/>
        <v>0</v>
      </c>
      <c r="M351" s="23"/>
      <c r="N351" s="26" t="s">
        <v>4012</v>
      </c>
    </row>
    <row r="352" ht="15.75" customHeight="1">
      <c r="A352" s="10" t="s">
        <v>4021</v>
      </c>
      <c r="B352" s="20" t="s">
        <v>386</v>
      </c>
      <c r="C352" s="13" t="str">
        <f t="array" ref="C352">IFERROR(INDEX('간병신청대장'!$B:$B,MATCH($B352,'간병신청대장'!$A:$A,0)),"")</f>
        <v>김진선</v>
      </c>
      <c r="D352" s="20" t="s">
        <v>261</v>
      </c>
      <c r="E352" s="10" t="s">
        <v>401</v>
      </c>
      <c r="F352" s="20" t="s">
        <v>739</v>
      </c>
      <c r="G352" s="20">
        <v>4.0</v>
      </c>
      <c r="H352" s="8"/>
      <c r="I352" s="18"/>
      <c r="J352" s="20" t="s">
        <v>103</v>
      </c>
      <c r="K352" s="10" t="s">
        <v>146</v>
      </c>
      <c r="L352" s="18">
        <f t="shared" si="7"/>
        <v>0</v>
      </c>
      <c r="M352" s="23"/>
      <c r="N352" s="26" t="s">
        <v>4012</v>
      </c>
    </row>
    <row r="353" ht="15.75" customHeight="1">
      <c r="A353" s="10" t="s">
        <v>4025</v>
      </c>
      <c r="B353" s="20" t="s">
        <v>833</v>
      </c>
      <c r="C353" s="13" t="str">
        <f t="array" ref="C353">IFERROR(INDEX('간병신청대장'!$B:$B,MATCH($B353,'간병신청대장'!$A:$A,0)),"")</f>
        <v>조용운</v>
      </c>
      <c r="D353" s="20" t="s">
        <v>95</v>
      </c>
      <c r="E353" s="10" t="s">
        <v>843</v>
      </c>
      <c r="F353" s="20" t="s">
        <v>233</v>
      </c>
      <c r="G353" s="20">
        <v>4.0</v>
      </c>
      <c r="H353" s="8"/>
      <c r="I353" s="18"/>
      <c r="J353" s="20" t="s">
        <v>103</v>
      </c>
      <c r="K353" s="10" t="s">
        <v>146</v>
      </c>
      <c r="L353" s="18">
        <f t="shared" si="7"/>
        <v>0</v>
      </c>
      <c r="M353" s="23"/>
      <c r="N353" s="26" t="s">
        <v>4012</v>
      </c>
    </row>
    <row r="354" ht="15.75" customHeight="1">
      <c r="A354" s="10" t="s">
        <v>4037</v>
      </c>
      <c r="B354" s="20" t="s">
        <v>867</v>
      </c>
      <c r="C354" s="13" t="str">
        <f t="array" ref="C354">IFERROR(INDEX('간병신청대장'!$B:$B,MATCH($B354,'간병신청대장'!$A:$A,0)),"")</f>
        <v>조용운</v>
      </c>
      <c r="D354" s="20" t="s">
        <v>204</v>
      </c>
      <c r="E354" s="10" t="s">
        <v>872</v>
      </c>
      <c r="F354" s="20" t="s">
        <v>4048</v>
      </c>
      <c r="G354" s="20">
        <v>9.0</v>
      </c>
      <c r="H354" s="8"/>
      <c r="I354" s="18"/>
      <c r="J354" s="20" t="s">
        <v>103</v>
      </c>
      <c r="K354" s="10" t="s">
        <v>146</v>
      </c>
      <c r="L354" s="18">
        <f t="shared" si="7"/>
        <v>0</v>
      </c>
      <c r="M354" s="23"/>
      <c r="N354" s="26" t="s">
        <v>4012</v>
      </c>
    </row>
    <row r="355" ht="15.75" customHeight="1">
      <c r="A355" s="10" t="s">
        <v>4049</v>
      </c>
      <c r="B355" s="20" t="s">
        <v>980</v>
      </c>
      <c r="C355" s="13" t="str">
        <f t="array" ref="C355">IFERROR(INDEX('간병신청대장'!$B:$B,MATCH($B355,'간병신청대장'!$A:$A,0)),"")</f>
        <v>최경희</v>
      </c>
      <c r="D355" s="10" t="s">
        <v>149</v>
      </c>
      <c r="E355" s="10" t="s">
        <v>996</v>
      </c>
      <c r="F355" s="20" t="s">
        <v>240</v>
      </c>
      <c r="G355" s="20">
        <v>2.0</v>
      </c>
      <c r="H355" s="8"/>
      <c r="I355" s="18"/>
      <c r="J355" s="20" t="s">
        <v>103</v>
      </c>
      <c r="K355" s="10" t="s">
        <v>146</v>
      </c>
      <c r="L355" s="18">
        <f t="shared" si="7"/>
        <v>0</v>
      </c>
      <c r="M355" s="23"/>
      <c r="N355" s="26" t="s">
        <v>4012</v>
      </c>
    </row>
    <row r="356" ht="15.75" customHeight="1">
      <c r="A356" s="10" t="s">
        <v>4060</v>
      </c>
      <c r="B356" s="20" t="s">
        <v>1000</v>
      </c>
      <c r="C356" s="13" t="str">
        <f t="array" ref="C356">IFERROR(INDEX('간병신청대장'!$B:$B,MATCH($B356,'간병신청대장'!$A:$A,0)),"")</f>
        <v>최경희</v>
      </c>
      <c r="D356" s="10" t="s">
        <v>238</v>
      </c>
      <c r="E356" s="10" t="s">
        <v>1008</v>
      </c>
      <c r="F356" s="20" t="s">
        <v>240</v>
      </c>
      <c r="G356" s="20">
        <v>4.0</v>
      </c>
      <c r="H356" s="8"/>
      <c r="I356" s="18"/>
      <c r="J356" s="20" t="s">
        <v>103</v>
      </c>
      <c r="K356" s="10" t="s">
        <v>146</v>
      </c>
      <c r="L356" s="18">
        <f t="shared" si="7"/>
        <v>0</v>
      </c>
      <c r="M356" s="23"/>
      <c r="N356" s="26" t="s">
        <v>4012</v>
      </c>
    </row>
    <row r="357" ht="15.75" customHeight="1">
      <c r="A357" s="10" t="s">
        <v>4064</v>
      </c>
      <c r="B357" s="20" t="s">
        <v>2333</v>
      </c>
      <c r="C357" s="13" t="str">
        <f t="array" ref="C357">IFERROR(INDEX('간병신청대장'!$B:$B,MATCH($B357,'간병신청대장'!$A:$A,0)),"")</f>
        <v>박정란</v>
      </c>
      <c r="D357" s="10" t="s">
        <v>112</v>
      </c>
      <c r="E357" s="10" t="s">
        <v>2344</v>
      </c>
      <c r="F357" s="20" t="s">
        <v>629</v>
      </c>
      <c r="G357" s="20">
        <v>1.0</v>
      </c>
      <c r="H357" s="8"/>
      <c r="I357" s="18"/>
      <c r="J357" s="20" t="s">
        <v>103</v>
      </c>
      <c r="K357" s="10" t="s">
        <v>146</v>
      </c>
      <c r="L357" s="18">
        <f t="shared" si="7"/>
        <v>0</v>
      </c>
      <c r="M357" s="23"/>
      <c r="N357" s="26" t="s">
        <v>4012</v>
      </c>
    </row>
    <row r="358" ht="15.75" customHeight="1">
      <c r="A358" s="10" t="s">
        <v>4067</v>
      </c>
      <c r="B358" s="20" t="s">
        <v>2357</v>
      </c>
      <c r="C358" s="13" t="str">
        <f t="array" ref="C358">IFERROR(INDEX('간병신청대장'!$B:$B,MATCH($B358,'간병신청대장'!$A:$A,0)),"")</f>
        <v>나도선</v>
      </c>
      <c r="D358" s="10" t="s">
        <v>194</v>
      </c>
      <c r="E358" s="10" t="s">
        <v>3828</v>
      </c>
      <c r="F358" s="20" t="s">
        <v>629</v>
      </c>
      <c r="G358" s="20">
        <v>4.0</v>
      </c>
      <c r="H358" s="8">
        <v>144000.0</v>
      </c>
      <c r="I358" s="18">
        <f t="shared" ref="I358:I359" si="20">G358*H358</f>
        <v>576000</v>
      </c>
      <c r="J358" s="20" t="s">
        <v>103</v>
      </c>
      <c r="K358" s="10" t="s">
        <v>146</v>
      </c>
      <c r="L358" s="18">
        <f t="shared" si="7"/>
        <v>0</v>
      </c>
      <c r="M358" s="23"/>
      <c r="N358" s="26" t="s">
        <v>4012</v>
      </c>
    </row>
    <row r="359" ht="15.75" customHeight="1">
      <c r="A359" s="10" t="s">
        <v>4071</v>
      </c>
      <c r="B359" s="10" t="s">
        <v>203</v>
      </c>
      <c r="C359" s="13" t="str">
        <f t="array" ref="C359">IFERROR(INDEX('간병신청대장'!$B:$B,MATCH($B359,'간병신청대장'!$A:$A,0)),"")</f>
        <v>심윤주 </v>
      </c>
      <c r="D359" s="20" t="s">
        <v>3791</v>
      </c>
      <c r="E359" s="20" t="str">
        <f t="array" ref="E359">IFERROR(INDEX('간병비지급'!$F:$F,MATCH($B359,'간병비지급'!$B:$B,0)),"")</f>
        <v>2026.04.10 07:00</v>
      </c>
      <c r="F359" s="20" t="s">
        <v>290</v>
      </c>
      <c r="G359" s="20">
        <v>10.0</v>
      </c>
      <c r="H359" s="18">
        <v>124000.0</v>
      </c>
      <c r="I359" s="18">
        <f t="shared" si="20"/>
        <v>1240000</v>
      </c>
      <c r="J359" s="10" t="s">
        <v>103</v>
      </c>
      <c r="K359" s="20" t="s">
        <v>614</v>
      </c>
      <c r="L359" s="18">
        <f t="shared" si="7"/>
        <v>0</v>
      </c>
      <c r="M359" s="23"/>
      <c r="N359" s="34" t="s">
        <v>4080</v>
      </c>
    </row>
    <row r="360" ht="15.75" customHeight="1">
      <c r="A360" s="10" t="s">
        <v>4081</v>
      </c>
      <c r="B360" s="20" t="s">
        <v>2618</v>
      </c>
      <c r="C360" s="13" t="str">
        <f t="array" ref="C360">IFERROR(INDEX('간병신청대장'!$B:$B,MATCH($B360,'간병신청대장'!$A:$A,0)),"")</f>
        <v>이기흥</v>
      </c>
      <c r="D360" s="20" t="s">
        <v>3791</v>
      </c>
      <c r="E360" s="20" t="s">
        <v>2628</v>
      </c>
      <c r="F360" s="20" t="s">
        <v>4092</v>
      </c>
      <c r="G360" s="20">
        <f t="array" ref="G360">IFERROR(INDEX('간병비지급'!$G:$G,MATCH($B360,'간병비지급'!$B:$B,0)),"")</f>
        <v>9</v>
      </c>
      <c r="H360" s="18">
        <v>142000.0</v>
      </c>
      <c r="I360" s="63"/>
      <c r="J360" s="27" t="s">
        <v>377</v>
      </c>
      <c r="K360" s="10" t="s">
        <v>104</v>
      </c>
      <c r="L360" s="18">
        <f t="shared" si="7"/>
        <v>1278000</v>
      </c>
      <c r="M360" s="23" t="s">
        <v>108</v>
      </c>
      <c r="N360" s="24" t="s">
        <v>4102</v>
      </c>
    </row>
    <row r="361" ht="15.75" customHeight="1">
      <c r="A361" s="10" t="s">
        <v>4103</v>
      </c>
      <c r="B361" s="10" t="s">
        <v>2571</v>
      </c>
      <c r="C361" s="13" t="str">
        <f t="array" ref="C361">IFERROR(INDEX('간병신청대장'!$B:$B,MATCH($B361,'간병신청대장'!$A:$A,0)),"")</f>
        <v>설아림</v>
      </c>
      <c r="D361" s="20" t="s">
        <v>3791</v>
      </c>
      <c r="E361" s="20" t="s">
        <v>3932</v>
      </c>
      <c r="F361" s="20" t="s">
        <v>3932</v>
      </c>
      <c r="G361" s="20">
        <v>4.0</v>
      </c>
      <c r="H361" s="8">
        <v>144000.0</v>
      </c>
      <c r="I361" s="18">
        <f t="shared" ref="I361:I365" si="21">G361*H361</f>
        <v>576000</v>
      </c>
      <c r="J361" s="20" t="s">
        <v>103</v>
      </c>
      <c r="K361" s="20" t="s">
        <v>146</v>
      </c>
      <c r="L361" s="18">
        <f t="shared" si="7"/>
        <v>0</v>
      </c>
      <c r="M361" s="23"/>
      <c r="N361" s="34" t="s">
        <v>4113</v>
      </c>
    </row>
    <row r="362" ht="15.75" customHeight="1">
      <c r="A362" s="10" t="s">
        <v>4114</v>
      </c>
      <c r="B362" s="10" t="s">
        <v>2571</v>
      </c>
      <c r="C362" s="13" t="str">
        <f t="array" ref="C362">IFERROR(INDEX('간병신청대장'!$B:$B,MATCH($B362,'간병신청대장'!$A:$A,0)),"")</f>
        <v>설아림</v>
      </c>
      <c r="D362" s="20" t="s">
        <v>3791</v>
      </c>
      <c r="E362" s="20" t="s">
        <v>3987</v>
      </c>
      <c r="F362" s="20" t="s">
        <v>4003</v>
      </c>
      <c r="G362" s="20">
        <v>4.0</v>
      </c>
      <c r="H362" s="8">
        <v>144000.0</v>
      </c>
      <c r="I362" s="18">
        <f t="shared" si="21"/>
        <v>576000</v>
      </c>
      <c r="J362" s="20" t="s">
        <v>103</v>
      </c>
      <c r="K362" s="20" t="s">
        <v>146</v>
      </c>
      <c r="L362" s="18">
        <f t="shared" si="7"/>
        <v>0</v>
      </c>
      <c r="M362" s="23"/>
      <c r="N362" s="34" t="s">
        <v>4115</v>
      </c>
    </row>
    <row r="363" ht="15.75" customHeight="1">
      <c r="A363" s="10" t="s">
        <v>4116</v>
      </c>
      <c r="B363" s="10" t="s">
        <v>2673</v>
      </c>
      <c r="C363" s="13" t="str">
        <f t="array" ref="C363">IFERROR(INDEX('간병신청대장'!$B:$B,MATCH($B363,'간병신청대장'!$A:$A,0)),"")</f>
        <v>원용연</v>
      </c>
      <c r="D363" s="20" t="s">
        <v>3791</v>
      </c>
      <c r="E363" s="20" t="s">
        <v>3987</v>
      </c>
      <c r="F363" s="20" t="s">
        <v>4003</v>
      </c>
      <c r="G363" s="20">
        <v>4.0</v>
      </c>
      <c r="H363" s="8">
        <v>144000.0</v>
      </c>
      <c r="I363" s="18">
        <f t="shared" si="21"/>
        <v>576000</v>
      </c>
      <c r="J363" s="20" t="s">
        <v>103</v>
      </c>
      <c r="K363" s="20" t="s">
        <v>146</v>
      </c>
      <c r="L363" s="18">
        <f t="shared" si="7"/>
        <v>0</v>
      </c>
      <c r="M363" s="23"/>
      <c r="N363" s="34" t="s">
        <v>4124</v>
      </c>
    </row>
    <row r="364" ht="15.75" customHeight="1">
      <c r="A364" s="10" t="s">
        <v>4125</v>
      </c>
      <c r="B364" s="10" t="s">
        <v>1036</v>
      </c>
      <c r="C364" s="13" t="str">
        <f t="array" ref="C364">IFERROR(INDEX('간병신청대장'!$B:$B,MATCH($B364,'간병신청대장'!$A:$A,0)),"")</f>
        <v>최경희</v>
      </c>
      <c r="D364" s="20" t="s">
        <v>3791</v>
      </c>
      <c r="E364" s="20" t="s">
        <v>4003</v>
      </c>
      <c r="F364" s="20" t="s">
        <v>4003</v>
      </c>
      <c r="G364" s="20">
        <v>8.0</v>
      </c>
      <c r="H364" s="8">
        <v>144000.0</v>
      </c>
      <c r="I364" s="18">
        <f t="shared" si="21"/>
        <v>1152000</v>
      </c>
      <c r="J364" s="20" t="s">
        <v>103</v>
      </c>
      <c r="K364" s="20" t="s">
        <v>146</v>
      </c>
      <c r="L364" s="18">
        <f t="shared" si="7"/>
        <v>0</v>
      </c>
      <c r="M364" s="23"/>
      <c r="N364" s="34" t="s">
        <v>4136</v>
      </c>
      <c r="P364" s="40" t="s">
        <v>4137</v>
      </c>
    </row>
    <row r="365" ht="15.75" customHeight="1">
      <c r="A365" s="10" t="s">
        <v>4138</v>
      </c>
      <c r="B365" s="10" t="s">
        <v>203</v>
      </c>
      <c r="C365" s="13" t="str">
        <f t="array" ref="C365">IFERROR(INDEX('간병신청대장'!$B:$B,MATCH($B365,'간병신청대장'!$A:$A,0)),"")</f>
        <v>심윤주 </v>
      </c>
      <c r="D365" s="20" t="s">
        <v>3791</v>
      </c>
      <c r="E365" s="20" t="s">
        <v>4005</v>
      </c>
      <c r="F365" s="20" t="s">
        <v>4003</v>
      </c>
      <c r="G365" s="20">
        <v>10.0</v>
      </c>
      <c r="H365" s="18">
        <v>124000.0</v>
      </c>
      <c r="I365" s="18">
        <f t="shared" si="21"/>
        <v>1240000</v>
      </c>
      <c r="J365" s="10" t="s">
        <v>103</v>
      </c>
      <c r="K365" s="20" t="s">
        <v>614</v>
      </c>
      <c r="L365" s="18">
        <f t="shared" si="7"/>
        <v>0</v>
      </c>
      <c r="M365" s="23"/>
      <c r="N365" s="34" t="s">
        <v>4141</v>
      </c>
    </row>
    <row r="366" ht="15.75" customHeight="1">
      <c r="A366" s="10" t="s">
        <v>4142</v>
      </c>
      <c r="B366" s="10" t="s">
        <v>1090</v>
      </c>
      <c r="C366" s="13" t="str">
        <f t="array" ref="C366">IFERROR(INDEX('간병신청대장'!$B:$B,MATCH($B366,'간병신청대장'!$A:$A,0)),"")</f>
        <v>지영희</v>
      </c>
      <c r="D366" s="20" t="s">
        <v>3791</v>
      </c>
      <c r="E366" s="20" t="s">
        <v>4003</v>
      </c>
      <c r="F366" s="87" t="s">
        <v>4092</v>
      </c>
      <c r="G366" s="20">
        <v>10.0</v>
      </c>
      <c r="H366" s="8">
        <v>135000.0</v>
      </c>
      <c r="I366" s="36"/>
      <c r="J366" s="37" t="s">
        <v>103</v>
      </c>
      <c r="K366" s="20" t="s">
        <v>104</v>
      </c>
      <c r="L366" s="18">
        <f t="shared" si="7"/>
        <v>1350000</v>
      </c>
      <c r="M366" s="23" t="s">
        <v>596</v>
      </c>
      <c r="N366" s="88" t="s">
        <v>4151</v>
      </c>
    </row>
    <row r="367" ht="15.75" customHeight="1">
      <c r="A367" s="10" t="s">
        <v>4152</v>
      </c>
      <c r="B367" s="10" t="s">
        <v>2490</v>
      </c>
      <c r="C367" s="13" t="str">
        <f t="array" ref="C367">IFERROR(INDEX('간병신청대장'!$B:$B,MATCH($B367,'간병신청대장'!$A:$A,0)),"")</f>
        <v>송영경</v>
      </c>
      <c r="D367" s="20" t="s">
        <v>3791</v>
      </c>
      <c r="E367" s="20" t="s">
        <v>4003</v>
      </c>
      <c r="F367" s="87" t="s">
        <v>4164</v>
      </c>
      <c r="G367" s="20">
        <v>10.0</v>
      </c>
      <c r="H367" s="8">
        <v>144000.0</v>
      </c>
      <c r="I367" s="8">
        <f t="shared" ref="I367:I369" si="22">G367*H367</f>
        <v>1440000</v>
      </c>
      <c r="J367" s="20" t="s">
        <v>103</v>
      </c>
      <c r="K367" s="20" t="s">
        <v>146</v>
      </c>
      <c r="L367" s="18">
        <f t="shared" si="7"/>
        <v>0</v>
      </c>
      <c r="M367" s="23"/>
      <c r="N367" s="34" t="s">
        <v>4166</v>
      </c>
    </row>
    <row r="368" ht="15.75" customHeight="1">
      <c r="A368" s="10" t="s">
        <v>4167</v>
      </c>
      <c r="B368" s="10" t="s">
        <v>1244</v>
      </c>
      <c r="C368" s="13" t="str">
        <f t="array" ref="C368">IFERROR(INDEX('간병신청대장'!$B:$B,MATCH($B368,'간병신청대장'!$A:$A,0)),"")</f>
        <v>문영해</v>
      </c>
      <c r="D368" s="20" t="s">
        <v>3791</v>
      </c>
      <c r="E368" s="20" t="s">
        <v>4003</v>
      </c>
      <c r="F368" s="87" t="s">
        <v>4092</v>
      </c>
      <c r="G368" s="20">
        <v>10.0</v>
      </c>
      <c r="H368" s="8">
        <v>144000.0</v>
      </c>
      <c r="I368" s="8">
        <f t="shared" si="22"/>
        <v>1440000</v>
      </c>
      <c r="J368" s="20" t="s">
        <v>103</v>
      </c>
      <c r="K368" s="20" t="s">
        <v>146</v>
      </c>
      <c r="L368" s="18">
        <f t="shared" si="7"/>
        <v>0</v>
      </c>
      <c r="M368" s="23"/>
      <c r="N368" s="32"/>
    </row>
    <row r="369" ht="15.75" customHeight="1">
      <c r="A369" s="10" t="s">
        <v>4171</v>
      </c>
      <c r="B369" s="10" t="s">
        <v>1434</v>
      </c>
      <c r="C369" s="13" t="str">
        <f t="array" ref="C369">IFERROR(INDEX('간병신청대장'!$B:$B,MATCH($B369,'간병신청대장'!$A:$A,0)),"")</f>
        <v>김국선</v>
      </c>
      <c r="D369" s="20" t="s">
        <v>3791</v>
      </c>
      <c r="E369" s="20" t="s">
        <v>4003</v>
      </c>
      <c r="F369" s="87" t="s">
        <v>4092</v>
      </c>
      <c r="G369" s="20">
        <v>10.0</v>
      </c>
      <c r="H369" s="8">
        <v>144000.0</v>
      </c>
      <c r="I369" s="8">
        <f t="shared" si="22"/>
        <v>1440000</v>
      </c>
      <c r="J369" s="20" t="s">
        <v>103</v>
      </c>
      <c r="K369" s="20" t="s">
        <v>146</v>
      </c>
      <c r="L369" s="18">
        <f t="shared" si="7"/>
        <v>0</v>
      </c>
      <c r="M369" s="27"/>
      <c r="N369" s="25"/>
    </row>
    <row r="370" ht="15.75" customHeight="1">
      <c r="A370" s="10" t="s">
        <v>4182</v>
      </c>
      <c r="B370" s="10" t="s">
        <v>1370</v>
      </c>
      <c r="C370" s="13" t="str">
        <f t="array" ref="C370">IFERROR(INDEX('간병신청대장'!$B:$B,MATCH($B370,'간병신청대장'!$A:$A,0)),"")</f>
        <v>구성란</v>
      </c>
      <c r="D370" s="20" t="s">
        <v>3791</v>
      </c>
      <c r="E370" s="20" t="s">
        <v>4003</v>
      </c>
      <c r="F370" s="87" t="s">
        <v>4092</v>
      </c>
      <c r="G370" s="20">
        <v>10.0</v>
      </c>
      <c r="H370" s="8">
        <v>129000.0</v>
      </c>
      <c r="I370" s="18"/>
      <c r="J370" s="20" t="s">
        <v>103</v>
      </c>
      <c r="K370" s="10" t="s">
        <v>104</v>
      </c>
      <c r="L370" s="18">
        <f t="shared" si="7"/>
        <v>1290000</v>
      </c>
      <c r="M370" s="23" t="s">
        <v>3089</v>
      </c>
      <c r="N370" s="24" t="s">
        <v>2320</v>
      </c>
    </row>
    <row r="371" ht="15.75" customHeight="1">
      <c r="A371" s="10" t="s">
        <v>4195</v>
      </c>
      <c r="B371" s="10" t="s">
        <v>1551</v>
      </c>
      <c r="C371" s="13" t="str">
        <f t="array" ref="C371">IFERROR(INDEX('간병신청대장'!$B:$B,MATCH($B371,'간병신청대장'!$A:$A,0)),"")</f>
        <v>이재철</v>
      </c>
      <c r="D371" s="20" t="s">
        <v>3791</v>
      </c>
      <c r="E371" s="20" t="s">
        <v>4003</v>
      </c>
      <c r="F371" s="87" t="s">
        <v>4092</v>
      </c>
      <c r="G371" s="20">
        <v>10.0</v>
      </c>
      <c r="H371" s="8">
        <v>144000.0</v>
      </c>
      <c r="I371" s="36">
        <f t="shared" ref="I371:I373" si="23">G371*H371</f>
        <v>1440000</v>
      </c>
      <c r="J371" s="37" t="s">
        <v>103</v>
      </c>
      <c r="K371" s="20" t="s">
        <v>146</v>
      </c>
      <c r="L371" s="18">
        <f t="shared" si="7"/>
        <v>0</v>
      </c>
      <c r="M371" s="23"/>
      <c r="N371" s="32" t="s">
        <v>4204</v>
      </c>
    </row>
    <row r="372" ht="15.75" customHeight="1">
      <c r="A372" s="10" t="s">
        <v>4205</v>
      </c>
      <c r="B372" s="10" t="s">
        <v>1774</v>
      </c>
      <c r="C372" s="13" t="str">
        <f t="array" ref="C372">IFERROR(INDEX('간병신청대장'!$B:$B,MATCH($B372,'간병신청대장'!$A:$A,0)),"")</f>
        <v>이향주</v>
      </c>
      <c r="D372" s="20" t="s">
        <v>3791</v>
      </c>
      <c r="E372" s="20" t="s">
        <v>4003</v>
      </c>
      <c r="F372" s="20" t="s">
        <v>4216</v>
      </c>
      <c r="G372" s="20">
        <v>8.0</v>
      </c>
      <c r="H372" s="8">
        <v>144000.0</v>
      </c>
      <c r="I372" s="8">
        <f t="shared" si="23"/>
        <v>1152000</v>
      </c>
      <c r="J372" s="23" t="s">
        <v>103</v>
      </c>
      <c r="K372" s="20" t="s">
        <v>146</v>
      </c>
      <c r="L372" s="18">
        <f t="shared" si="7"/>
        <v>0</v>
      </c>
      <c r="M372" s="23"/>
      <c r="N372" s="34" t="s">
        <v>3309</v>
      </c>
    </row>
    <row r="373" ht="15.75" customHeight="1">
      <c r="A373" s="10" t="s">
        <v>4217</v>
      </c>
      <c r="B373" s="10" t="s">
        <v>1888</v>
      </c>
      <c r="C373" s="13" t="str">
        <f t="array" ref="C373">IFERROR(INDEX('간병신청대장'!$B:$B,MATCH($B373,'간병신청대장'!$A:$A,0)),"")</f>
        <v>유수분</v>
      </c>
      <c r="D373" s="20" t="s">
        <v>3791</v>
      </c>
      <c r="E373" s="20" t="s">
        <v>4003</v>
      </c>
      <c r="F373" s="87" t="s">
        <v>4092</v>
      </c>
      <c r="G373" s="20">
        <v>10.0</v>
      </c>
      <c r="H373" s="8">
        <v>144000.0</v>
      </c>
      <c r="I373" s="18">
        <f t="shared" si="23"/>
        <v>1440000</v>
      </c>
      <c r="J373" s="20" t="s">
        <v>103</v>
      </c>
      <c r="K373" s="20" t="s">
        <v>146</v>
      </c>
      <c r="L373" s="18">
        <f t="shared" si="7"/>
        <v>0</v>
      </c>
      <c r="M373" s="23"/>
      <c r="N373" s="34" t="s">
        <v>4219</v>
      </c>
    </row>
    <row r="374" ht="15.75" customHeight="1">
      <c r="A374" s="10" t="s">
        <v>4220</v>
      </c>
      <c r="B374" s="10" t="s">
        <v>2075</v>
      </c>
      <c r="C374" s="13" t="str">
        <f t="array" ref="C374">IFERROR(INDEX('간병신청대장'!$B:$B,MATCH($B374,'간병신청대장'!$A:$A,0)),"")</f>
        <v>김용식</v>
      </c>
      <c r="D374" s="20" t="s">
        <v>3791</v>
      </c>
      <c r="E374" s="20" t="s">
        <v>4003</v>
      </c>
      <c r="F374" s="87" t="s">
        <v>4216</v>
      </c>
      <c r="G374" s="20">
        <v>10.0</v>
      </c>
      <c r="H374" s="8">
        <v>144000.0</v>
      </c>
      <c r="I374" s="18"/>
      <c r="J374" s="20" t="s">
        <v>103</v>
      </c>
      <c r="K374" s="10" t="s">
        <v>104</v>
      </c>
      <c r="L374" s="18">
        <f t="shared" si="7"/>
        <v>1440000</v>
      </c>
      <c r="M374" s="23" t="s">
        <v>4228</v>
      </c>
      <c r="N374" s="25"/>
    </row>
    <row r="375" ht="15.75" customHeight="1">
      <c r="A375" s="10" t="s">
        <v>4229</v>
      </c>
      <c r="B375" s="10" t="s">
        <v>2214</v>
      </c>
      <c r="C375" s="13" t="str">
        <f t="array" ref="C375">IFERROR(INDEX('간병신청대장'!$B:$B,MATCH($B375,'간병신청대장'!$A:$A,0)),"")</f>
        <v>유승백</v>
      </c>
      <c r="D375" s="20" t="s">
        <v>3791</v>
      </c>
      <c r="E375" s="20" t="s">
        <v>4003</v>
      </c>
      <c r="F375" s="87" t="s">
        <v>4216</v>
      </c>
      <c r="G375" s="20">
        <v>9.0</v>
      </c>
      <c r="H375" s="35">
        <v>129000.0</v>
      </c>
      <c r="I375" s="8">
        <f t="shared" ref="I375:I379" si="24">G375*H375</f>
        <v>1161000</v>
      </c>
      <c r="J375" s="20" t="s">
        <v>103</v>
      </c>
      <c r="K375" s="20" t="s">
        <v>146</v>
      </c>
      <c r="L375" s="18">
        <f t="shared" si="7"/>
        <v>0</v>
      </c>
      <c r="M375" s="23"/>
      <c r="N375" s="34" t="s">
        <v>4235</v>
      </c>
    </row>
    <row r="376" ht="28.5" customHeight="1">
      <c r="A376" s="10" t="s">
        <v>4236</v>
      </c>
      <c r="B376" s="10" t="s">
        <v>2232</v>
      </c>
      <c r="C376" s="13" t="str">
        <f t="array" ref="C376">IFERROR(INDEX('간병신청대장'!$B:$B,MATCH($B376,'간병신청대장'!$A:$A,0)),"")</f>
        <v>김철재</v>
      </c>
      <c r="D376" s="20" t="s">
        <v>3791</v>
      </c>
      <c r="E376" s="20" t="s">
        <v>4005</v>
      </c>
      <c r="F376" s="87" t="s">
        <v>4092</v>
      </c>
      <c r="G376" s="20">
        <v>10.0</v>
      </c>
      <c r="H376" s="8">
        <v>140000.0</v>
      </c>
      <c r="I376" s="18">
        <f t="shared" si="24"/>
        <v>1400000</v>
      </c>
      <c r="J376" s="20" t="s">
        <v>103</v>
      </c>
      <c r="K376" s="20" t="s">
        <v>146</v>
      </c>
      <c r="L376" s="18">
        <f t="shared" si="7"/>
        <v>0</v>
      </c>
      <c r="M376" s="23"/>
      <c r="N376" s="34" t="s">
        <v>4250</v>
      </c>
    </row>
    <row r="377" ht="15.75" customHeight="1">
      <c r="A377" s="10" t="s">
        <v>4251</v>
      </c>
      <c r="B377" s="20" t="s">
        <v>2609</v>
      </c>
      <c r="C377" s="13" t="str">
        <f t="array" ref="C377">IFERROR(INDEX('간병신청대장'!$B:$B,MATCH($B377,'간병신청대장'!$A:$A,0)),"")</f>
        <v>정대석</v>
      </c>
      <c r="D377" s="20" t="s">
        <v>3791</v>
      </c>
      <c r="E377" s="20" t="str">
        <f t="array" ref="E377">IFERROR(INDEX('간병인배정'!$M:$M,MATCH($B377,'간병인배정'!$B:$B,0)),"")</f>
        <v>2026.08.19.10:40</v>
      </c>
      <c r="F377" s="87" t="s">
        <v>4092</v>
      </c>
      <c r="G377" s="20">
        <v>13.0</v>
      </c>
      <c r="H377" s="8">
        <v>135000.0</v>
      </c>
      <c r="I377" s="8">
        <f t="shared" si="24"/>
        <v>1755000</v>
      </c>
      <c r="J377" s="20" t="s">
        <v>103</v>
      </c>
      <c r="K377" s="20" t="s">
        <v>146</v>
      </c>
      <c r="L377" s="18">
        <f t="shared" si="7"/>
        <v>0</v>
      </c>
      <c r="M377" s="23"/>
      <c r="N377" s="26" t="s">
        <v>4265</v>
      </c>
    </row>
    <row r="378" ht="15.75" customHeight="1">
      <c r="A378" s="10" t="s">
        <v>4267</v>
      </c>
      <c r="B378" s="10" t="s">
        <v>2091</v>
      </c>
      <c r="C378" s="13" t="str">
        <f t="array" ref="C378">IFERROR(INDEX('간병신청대장'!$B:$B,MATCH($B378,'간병신청대장'!$A:$A,0)),"")</f>
        <v>홍정숙</v>
      </c>
      <c r="D378" s="20" t="s">
        <v>3791</v>
      </c>
      <c r="E378" s="20" t="s">
        <v>4003</v>
      </c>
      <c r="F378" s="87" t="s">
        <v>4092</v>
      </c>
      <c r="G378" s="20">
        <v>10.0</v>
      </c>
      <c r="H378" s="8">
        <v>169000.0</v>
      </c>
      <c r="I378" s="8">
        <f t="shared" si="24"/>
        <v>1690000</v>
      </c>
      <c r="J378" s="20" t="s">
        <v>103</v>
      </c>
      <c r="K378" s="20" t="s">
        <v>146</v>
      </c>
      <c r="L378" s="18">
        <f t="shared" si="7"/>
        <v>0</v>
      </c>
      <c r="M378" s="27"/>
      <c r="N378" s="25"/>
    </row>
    <row r="379" ht="15.75" customHeight="1">
      <c r="A379" s="10" t="s">
        <v>4276</v>
      </c>
      <c r="B379" s="10" t="s">
        <v>2631</v>
      </c>
      <c r="C379" s="13" t="str">
        <f t="array" ref="C379">IFERROR(INDEX('간병신청대장'!$B:$B,MATCH($B379,'간병신청대장'!$A:$A,0)),"")</f>
        <v>강종미</v>
      </c>
      <c r="D379" s="20" t="s">
        <v>3791</v>
      </c>
      <c r="E379" s="20" t="s">
        <v>4003</v>
      </c>
      <c r="F379" s="87" t="s">
        <v>4155</v>
      </c>
      <c r="G379" s="20">
        <v>9.0</v>
      </c>
      <c r="H379" s="8">
        <v>135000.0</v>
      </c>
      <c r="I379" s="18">
        <f t="shared" si="24"/>
        <v>1215000</v>
      </c>
      <c r="J379" s="20" t="s">
        <v>103</v>
      </c>
      <c r="K379" s="20" t="s">
        <v>146</v>
      </c>
      <c r="L379" s="18">
        <f t="shared" si="7"/>
        <v>0</v>
      </c>
      <c r="M379" s="23"/>
      <c r="N379" s="26" t="s">
        <v>4284</v>
      </c>
    </row>
    <row r="380" ht="15.75" customHeight="1">
      <c r="A380" s="10" t="s">
        <v>4285</v>
      </c>
      <c r="B380" s="10" t="s">
        <v>2663</v>
      </c>
      <c r="C380" s="13" t="str">
        <f t="array" ref="C380">IFERROR(INDEX('간병신청대장'!$B:$B,MATCH($B380,'간병신청대장'!$A:$A,0)),"")</f>
        <v>이원주</v>
      </c>
      <c r="D380" s="20" t="s">
        <v>3791</v>
      </c>
      <c r="E380" s="20" t="str">
        <f t="array" ref="E380">IFERROR(INDEX('간병인배정'!$M:$M,MATCH($B380,'간병인배정'!$B:$B,0)),"")</f>
        <v>2026.08.21 17:00</v>
      </c>
      <c r="F380" s="87" t="s">
        <v>1053</v>
      </c>
      <c r="G380" s="20">
        <v>3.0</v>
      </c>
      <c r="H380" s="18">
        <v>142000.0</v>
      </c>
      <c r="I380" s="63"/>
      <c r="J380" s="27" t="s">
        <v>377</v>
      </c>
      <c r="K380" s="10" t="s">
        <v>104</v>
      </c>
      <c r="L380" s="18">
        <f t="shared" si="7"/>
        <v>426000</v>
      </c>
      <c r="M380" s="23" t="s">
        <v>596</v>
      </c>
      <c r="N380" s="24" t="s">
        <v>4310</v>
      </c>
    </row>
    <row r="381" ht="15.75" customHeight="1">
      <c r="A381" s="10" t="s">
        <v>4311</v>
      </c>
      <c r="B381" s="10" t="s">
        <v>2794</v>
      </c>
      <c r="C381" s="13" t="str">
        <f t="array" ref="C381">IFERROR(INDEX('간병신청대장'!$B:$B,MATCH($B381,'간병신청대장'!$A:$A,0)),"")</f>
        <v>곽은정</v>
      </c>
      <c r="D381" s="20" t="s">
        <v>3791</v>
      </c>
      <c r="E381" s="20" t="str">
        <f t="array" ref="E381">IFERROR(INDEX('간병인배정'!$M:$M,MATCH($B381,'간병인배정'!$B:$B,0)),"")</f>
        <v>2026.08.19 18:00</v>
      </c>
      <c r="F381" s="87" t="s">
        <v>4092</v>
      </c>
      <c r="G381" s="20">
        <v>7.0</v>
      </c>
      <c r="H381" s="8">
        <v>86000.0</v>
      </c>
      <c r="I381" s="63"/>
      <c r="J381" s="23" t="s">
        <v>103</v>
      </c>
      <c r="K381" s="10" t="s">
        <v>104</v>
      </c>
      <c r="L381" s="18">
        <f t="shared" si="7"/>
        <v>602000</v>
      </c>
      <c r="M381" s="23" t="s">
        <v>108</v>
      </c>
      <c r="N381" s="24" t="s">
        <v>4324</v>
      </c>
    </row>
    <row r="382" ht="15.75" customHeight="1">
      <c r="A382" s="10" t="s">
        <v>4325</v>
      </c>
      <c r="B382" s="20" t="s">
        <v>2713</v>
      </c>
      <c r="C382" s="13" t="str">
        <f t="array" ref="C382">IFERROR(INDEX('간병신청대장'!$B:$B,MATCH($B382,'간병신청대장'!$A:$A,0)),"")</f>
        <v>김홍철</v>
      </c>
      <c r="D382" s="20" t="s">
        <v>3791</v>
      </c>
      <c r="E382" s="20" t="s">
        <v>2728</v>
      </c>
      <c r="F382" s="87" t="s">
        <v>4092</v>
      </c>
      <c r="G382" s="20">
        <v>2.0</v>
      </c>
      <c r="H382" s="8">
        <v>169000.0</v>
      </c>
      <c r="I382" s="36"/>
      <c r="J382" s="37" t="s">
        <v>103</v>
      </c>
      <c r="K382" s="10" t="s">
        <v>104</v>
      </c>
      <c r="L382" s="18">
        <f t="shared" si="7"/>
        <v>338000</v>
      </c>
      <c r="M382" s="23" t="s">
        <v>108</v>
      </c>
      <c r="N382" s="24" t="s">
        <v>4334</v>
      </c>
    </row>
    <row r="383" ht="15.75" customHeight="1">
      <c r="A383" s="10" t="s">
        <v>4335</v>
      </c>
      <c r="B383" s="10" t="s">
        <v>1370</v>
      </c>
      <c r="C383" s="13" t="str">
        <f t="array" ref="C383">IFERROR(INDEX('간병신청대장'!$B:$B,MATCH($B383,'간병신청대장'!$A:$A,0)),"")</f>
        <v>구성란</v>
      </c>
      <c r="D383" s="20" t="s">
        <v>3791</v>
      </c>
      <c r="E383" s="20" t="s">
        <v>1377</v>
      </c>
      <c r="F383" s="64" t="s">
        <v>1053</v>
      </c>
      <c r="G383" s="64">
        <v>4.0</v>
      </c>
      <c r="H383" s="8">
        <v>129000.0</v>
      </c>
      <c r="I383" s="18"/>
      <c r="J383" s="20" t="s">
        <v>103</v>
      </c>
      <c r="K383" s="10" t="s">
        <v>104</v>
      </c>
      <c r="L383" s="18">
        <f t="shared" si="7"/>
        <v>516000</v>
      </c>
      <c r="M383" s="94" t="s">
        <v>3089</v>
      </c>
      <c r="N383" s="95" t="s">
        <v>2320</v>
      </c>
    </row>
    <row r="384" ht="15.75" customHeight="1">
      <c r="A384" s="10" t="s">
        <v>4344</v>
      </c>
      <c r="B384" s="10" t="s">
        <v>203</v>
      </c>
      <c r="C384" s="13" t="str">
        <f t="array" ref="C384">IFERROR(INDEX('간병신청대장'!$B:$B,MATCH($B384,'간병신청대장'!$A:$A,0)),"")</f>
        <v>심윤주 </v>
      </c>
      <c r="D384" s="20" t="s">
        <v>3791</v>
      </c>
      <c r="E384" s="20" t="s">
        <v>4153</v>
      </c>
      <c r="F384" s="64" t="s">
        <v>1053</v>
      </c>
      <c r="G384" s="64">
        <v>4.0</v>
      </c>
      <c r="H384" s="18">
        <v>124000.0</v>
      </c>
      <c r="I384" s="18">
        <f>G384*H384</f>
        <v>496000</v>
      </c>
      <c r="J384" s="10" t="s">
        <v>103</v>
      </c>
      <c r="K384" s="20" t="s">
        <v>146</v>
      </c>
      <c r="L384" s="18">
        <f t="shared" si="7"/>
        <v>0</v>
      </c>
      <c r="M384" s="94"/>
      <c r="N384" s="96" t="s">
        <v>4357</v>
      </c>
    </row>
    <row r="385" ht="15.75" customHeight="1">
      <c r="A385" s="10" t="s">
        <v>4360</v>
      </c>
      <c r="B385" s="57" t="s">
        <v>2702</v>
      </c>
      <c r="C385" s="58" t="s">
        <v>2704</v>
      </c>
      <c r="D385" s="20" t="s">
        <v>3791</v>
      </c>
      <c r="E385" s="20" t="s">
        <v>4155</v>
      </c>
      <c r="F385" s="64" t="s">
        <v>1053</v>
      </c>
      <c r="G385" s="64">
        <v>2.0</v>
      </c>
      <c r="H385" s="18">
        <v>142000.0</v>
      </c>
      <c r="I385" s="63"/>
      <c r="J385" s="27" t="s">
        <v>377</v>
      </c>
      <c r="K385" s="10" t="s">
        <v>104</v>
      </c>
      <c r="L385" s="18">
        <f t="shared" si="7"/>
        <v>284000</v>
      </c>
      <c r="M385" s="94" t="s">
        <v>3089</v>
      </c>
      <c r="N385" s="95" t="s">
        <v>4362</v>
      </c>
    </row>
    <row r="386" ht="15.75" customHeight="1">
      <c r="A386" s="10" t="s">
        <v>4363</v>
      </c>
      <c r="B386" s="10" t="s">
        <v>2426</v>
      </c>
      <c r="C386" s="13" t="str">
        <f t="array" ref="C386">IFERROR(INDEX('간병신청대장'!$B:$B,MATCH($B386,'간병신청대장'!$A:$A,0)),"")</f>
        <v>안운자</v>
      </c>
      <c r="D386" s="20" t="s">
        <v>3791</v>
      </c>
      <c r="E386" s="20" t="s">
        <v>4155</v>
      </c>
      <c r="F386" s="87" t="s">
        <v>4216</v>
      </c>
      <c r="G386" s="64">
        <v>16.0</v>
      </c>
      <c r="H386" s="8">
        <v>155000.0</v>
      </c>
      <c r="I386" s="18"/>
      <c r="J386" s="20" t="s">
        <v>103</v>
      </c>
      <c r="K386" s="10" t="s">
        <v>104</v>
      </c>
      <c r="L386" s="18">
        <f t="shared" si="7"/>
        <v>2480000</v>
      </c>
      <c r="M386" s="94"/>
      <c r="N386" s="95" t="s">
        <v>4373</v>
      </c>
    </row>
    <row r="387" ht="15.75" customHeight="1">
      <c r="A387" s="10" t="s">
        <v>4374</v>
      </c>
      <c r="B387" s="20" t="s">
        <v>2609</v>
      </c>
      <c r="C387" s="13" t="str">
        <f t="array" ref="C387">IFERROR(INDEX('간병신청대장'!$B:$B,MATCH($B387,'간병신청대장'!$A:$A,0)),"")</f>
        <v>정대석</v>
      </c>
      <c r="D387" s="20" t="s">
        <v>3791</v>
      </c>
      <c r="E387" s="20" t="str">
        <f t="array" ref="E387">IFERROR(INDEX('간병인배정'!$M:$M,MATCH($B387,'간병인배정'!$B:$B,0)),"")</f>
        <v>2026.08.19.10:40</v>
      </c>
      <c r="F387" s="87" t="s">
        <v>4092</v>
      </c>
      <c r="G387" s="64">
        <v>1.0</v>
      </c>
      <c r="H387" s="8">
        <v>135000.0</v>
      </c>
      <c r="I387" s="18">
        <f>G387*H387</f>
        <v>135000</v>
      </c>
      <c r="J387" s="20" t="s">
        <v>103</v>
      </c>
      <c r="K387" s="20" t="s">
        <v>614</v>
      </c>
      <c r="L387" s="18">
        <f t="shared" si="7"/>
        <v>0</v>
      </c>
      <c r="M387" s="94" t="s">
        <v>4332</v>
      </c>
      <c r="N387" s="96" t="s">
        <v>4395</v>
      </c>
    </row>
    <row r="388" ht="15.75" customHeight="1">
      <c r="A388" s="10" t="s">
        <v>4396</v>
      </c>
      <c r="B388" s="10" t="s">
        <v>564</v>
      </c>
      <c r="C388" s="13" t="str">
        <f t="array" ref="C388">IFERROR(INDEX('간병신청대장'!$B:$B,MATCH($B388,'간병신청대장'!$A:$A,0)),"")</f>
        <v>전남영</v>
      </c>
      <c r="D388" s="20" t="s">
        <v>3791</v>
      </c>
      <c r="E388" s="20" t="s">
        <v>645</v>
      </c>
      <c r="F388" s="87" t="s">
        <v>645</v>
      </c>
      <c r="G388" s="20">
        <v>10.0</v>
      </c>
      <c r="H388" s="8">
        <v>135000.0</v>
      </c>
      <c r="I388" s="63"/>
      <c r="J388" s="23" t="s">
        <v>103</v>
      </c>
      <c r="K388" s="10" t="s">
        <v>104</v>
      </c>
      <c r="L388" s="18">
        <f t="shared" si="7"/>
        <v>1350000</v>
      </c>
      <c r="M388" s="94" t="s">
        <v>3089</v>
      </c>
      <c r="N388" s="95" t="s">
        <v>4408</v>
      </c>
    </row>
    <row r="389" ht="15.75" customHeight="1">
      <c r="A389" s="10" t="s">
        <v>4410</v>
      </c>
      <c r="B389" s="10" t="s">
        <v>564</v>
      </c>
      <c r="C389" s="13" t="str">
        <f t="array" ref="C389">IFERROR(INDEX('간병신청대장'!$B:$B,MATCH($B389,'간병신청대장'!$A:$A,0)),"")</f>
        <v>전남영</v>
      </c>
      <c r="D389" s="20" t="s">
        <v>3791</v>
      </c>
      <c r="E389" s="20" t="s">
        <v>4003</v>
      </c>
      <c r="F389" s="20" t="s">
        <v>4312</v>
      </c>
      <c r="G389" s="20">
        <v>8.0</v>
      </c>
      <c r="H389" s="8">
        <v>135000.0</v>
      </c>
      <c r="I389" s="63"/>
      <c r="J389" s="23" t="s">
        <v>103</v>
      </c>
      <c r="K389" s="10" t="s">
        <v>104</v>
      </c>
      <c r="L389" s="18">
        <f t="shared" si="7"/>
        <v>1080000</v>
      </c>
      <c r="M389" s="94" t="s">
        <v>3089</v>
      </c>
      <c r="N389" s="95" t="s">
        <v>4422</v>
      </c>
    </row>
    <row r="390" ht="15.75" customHeight="1">
      <c r="A390" s="10" t="s">
        <v>4423</v>
      </c>
      <c r="B390" s="20" t="s">
        <v>2713</v>
      </c>
      <c r="C390" s="64" t="s">
        <v>2817</v>
      </c>
      <c r="D390" s="20" t="s">
        <v>3791</v>
      </c>
      <c r="E390" s="20" t="s">
        <v>1053</v>
      </c>
      <c r="F390" s="20" t="s">
        <v>3696</v>
      </c>
      <c r="G390" s="20">
        <v>3.0</v>
      </c>
      <c r="H390" s="8">
        <v>169000.0</v>
      </c>
      <c r="I390" s="63"/>
      <c r="J390" s="23" t="s">
        <v>103</v>
      </c>
      <c r="K390" s="10" t="s">
        <v>104</v>
      </c>
      <c r="L390" s="18">
        <f t="shared" si="7"/>
        <v>507000</v>
      </c>
      <c r="M390" s="94" t="s">
        <v>108</v>
      </c>
      <c r="N390" s="95" t="s">
        <v>4427</v>
      </c>
    </row>
    <row r="391" ht="15.75" customHeight="1">
      <c r="A391" s="10" t="s">
        <v>4428</v>
      </c>
      <c r="B391" s="10" t="s">
        <v>2562</v>
      </c>
      <c r="C391" s="13" t="str">
        <f t="array" ref="C391">IFERROR(INDEX('간병신청대장'!$B:$B,MATCH($B391,'간병신청대장'!$A:$A,0)),"")</f>
        <v>곽상헌</v>
      </c>
      <c r="D391" s="20" t="s">
        <v>3791</v>
      </c>
      <c r="E391" s="20" t="s">
        <v>1053</v>
      </c>
      <c r="F391" s="87" t="s">
        <v>4216</v>
      </c>
      <c r="G391" s="64">
        <v>14.0</v>
      </c>
      <c r="H391" s="8">
        <v>144000.0</v>
      </c>
      <c r="I391" s="105"/>
      <c r="J391" s="23" t="s">
        <v>103</v>
      </c>
      <c r="K391" s="10" t="s">
        <v>104</v>
      </c>
      <c r="L391" s="18">
        <f t="shared" si="7"/>
        <v>2016000</v>
      </c>
      <c r="M391" s="94" t="s">
        <v>108</v>
      </c>
      <c r="N391" s="95" t="s">
        <v>4435</v>
      </c>
    </row>
    <row r="392" ht="15.75" customHeight="1">
      <c r="A392" s="10" t="s">
        <v>4436</v>
      </c>
      <c r="B392" s="10" t="s">
        <v>2075</v>
      </c>
      <c r="C392" s="13" t="str">
        <f t="array" ref="C392">IFERROR(INDEX('간병신청대장'!$B:$B,MATCH($B392,'간병신청대장'!$A:$A,0)),"")</f>
        <v>김용식</v>
      </c>
      <c r="D392" s="20" t="s">
        <v>3791</v>
      </c>
      <c r="E392" s="20" t="s">
        <v>4216</v>
      </c>
      <c r="F392" s="87" t="s">
        <v>4216</v>
      </c>
      <c r="G392" s="64">
        <v>6.0</v>
      </c>
      <c r="H392" s="8">
        <v>144000.0</v>
      </c>
      <c r="I392" s="85"/>
      <c r="J392" s="20" t="s">
        <v>103</v>
      </c>
      <c r="K392" s="10" t="s">
        <v>104</v>
      </c>
      <c r="L392" s="18">
        <f t="shared" si="7"/>
        <v>864000</v>
      </c>
      <c r="M392" s="94" t="s">
        <v>596</v>
      </c>
      <c r="N392" s="95" t="s">
        <v>4445</v>
      </c>
    </row>
    <row r="393" ht="15.75" customHeight="1">
      <c r="A393" s="10" t="s">
        <v>4446</v>
      </c>
      <c r="B393" s="10" t="s">
        <v>2056</v>
      </c>
      <c r="C393" s="13" t="str">
        <f t="array" ref="C393">IFERROR(INDEX('간병신청대장'!$B:$B,MATCH($B393,'간병신청대장'!$A:$A,0)),"")</f>
        <v>하성임</v>
      </c>
      <c r="D393" s="20" t="s">
        <v>3791</v>
      </c>
      <c r="E393" s="20" t="s">
        <v>645</v>
      </c>
      <c r="F393" s="87" t="s">
        <v>4164</v>
      </c>
      <c r="G393" s="64">
        <v>14.0</v>
      </c>
      <c r="H393" s="8">
        <v>86000.0</v>
      </c>
      <c r="I393" s="8">
        <f t="shared" ref="I393:I400" si="25">G393*H393</f>
        <v>1204000</v>
      </c>
      <c r="J393" s="23" t="s">
        <v>103</v>
      </c>
      <c r="K393" s="20" t="s">
        <v>146</v>
      </c>
      <c r="L393" s="18">
        <f t="shared" si="7"/>
        <v>0</v>
      </c>
      <c r="M393" s="94"/>
      <c r="N393" s="83" t="s">
        <v>4453</v>
      </c>
    </row>
    <row r="394" ht="15.75" customHeight="1">
      <c r="A394" s="10" t="s">
        <v>4454</v>
      </c>
      <c r="B394" s="10" t="s">
        <v>2317</v>
      </c>
      <c r="C394" s="13" t="str">
        <f t="array" ref="C394">IFERROR(INDEX('간병신청대장'!$B:$B,MATCH($B394,'간병신청대장'!$A:$A,0)),"")</f>
        <v>윤경자</v>
      </c>
      <c r="D394" s="20" t="s">
        <v>194</v>
      </c>
      <c r="E394" s="20" t="str">
        <f t="array" ref="E394">IFERROR(INDEX('간병인배정'!$M:$M,MATCH($B394,'간병인배정'!$B:$B,0)),"")</f>
        <v>2026.07.24 09:00</v>
      </c>
      <c r="F394" s="64" t="s">
        <v>100</v>
      </c>
      <c r="G394" s="64">
        <v>9.0</v>
      </c>
      <c r="H394" s="83">
        <v>86000.0</v>
      </c>
      <c r="I394" s="8">
        <f t="shared" si="25"/>
        <v>774000</v>
      </c>
      <c r="J394" s="20" t="s">
        <v>103</v>
      </c>
      <c r="K394" s="20" t="s">
        <v>146</v>
      </c>
      <c r="L394" s="18">
        <f t="shared" si="7"/>
        <v>0</v>
      </c>
      <c r="M394" s="108"/>
      <c r="N394" s="85"/>
    </row>
    <row r="395" ht="15.75" customHeight="1">
      <c r="A395" s="10" t="s">
        <v>4475</v>
      </c>
      <c r="B395" s="10" t="s">
        <v>2378</v>
      </c>
      <c r="C395" s="13" t="str">
        <f t="array" ref="C395">IFERROR(INDEX('간병신청대장'!$B:$B,MATCH($B395,'간병신청대장'!$A:$A,0)),"")</f>
        <v>임형순</v>
      </c>
      <c r="D395" s="20" t="s">
        <v>4206</v>
      </c>
      <c r="E395" s="20" t="str">
        <f t="array" ref="E395">IFERROR(INDEX('간병인배정'!$M:$M,MATCH($B395,'간병인배정'!$B:$B,0)),"")</f>
        <v>2026.07.31 11:00</v>
      </c>
      <c r="F395" s="64"/>
      <c r="G395" s="64">
        <v>5.0</v>
      </c>
      <c r="H395" s="83">
        <v>86000.0</v>
      </c>
      <c r="I395" s="8">
        <f t="shared" si="25"/>
        <v>430000</v>
      </c>
      <c r="J395" s="20" t="s">
        <v>103</v>
      </c>
      <c r="K395" s="20" t="s">
        <v>146</v>
      </c>
      <c r="L395" s="18">
        <f t="shared" si="7"/>
        <v>0</v>
      </c>
      <c r="M395" s="108"/>
      <c r="N395" s="85"/>
    </row>
    <row r="396" ht="15.75" customHeight="1">
      <c r="A396" s="10" t="s">
        <v>4484</v>
      </c>
      <c r="B396" s="10" t="s">
        <v>2281</v>
      </c>
      <c r="C396" s="13" t="str">
        <f t="array" ref="C396">IFERROR(INDEX('간병신청대장'!$B:$B,MATCH($B396,'간병신청대장'!$A:$A,0)),"")</f>
        <v>최영자</v>
      </c>
      <c r="D396" s="20" t="s">
        <v>4206</v>
      </c>
      <c r="E396" s="20" t="str">
        <f t="array" ref="E396">IFERROR(INDEX('간병인배정'!$M:$M,MATCH($B396,'간병인배정'!$B:$B,0)),"")</f>
        <v/>
      </c>
      <c r="F396" s="64"/>
      <c r="G396" s="64">
        <v>6.0</v>
      </c>
      <c r="H396" s="83">
        <v>86000.0</v>
      </c>
      <c r="I396" s="8">
        <f t="shared" si="25"/>
        <v>516000</v>
      </c>
      <c r="J396" s="20" t="s">
        <v>103</v>
      </c>
      <c r="K396" s="20" t="s">
        <v>146</v>
      </c>
      <c r="L396" s="18">
        <f t="shared" si="7"/>
        <v>0</v>
      </c>
      <c r="M396" s="108"/>
      <c r="N396" s="85"/>
    </row>
    <row r="397" ht="15.75" customHeight="1">
      <c r="A397" s="10" t="s">
        <v>4497</v>
      </c>
      <c r="B397" s="10" t="s">
        <v>2508</v>
      </c>
      <c r="C397" s="64" t="s">
        <v>4094</v>
      </c>
      <c r="D397" s="64" t="s">
        <v>3791</v>
      </c>
      <c r="E397" s="10" t="s">
        <v>2514</v>
      </c>
      <c r="F397" s="64" t="s">
        <v>3932</v>
      </c>
      <c r="G397" s="64">
        <v>12.0</v>
      </c>
      <c r="H397" s="111">
        <v>140000.0</v>
      </c>
      <c r="I397" s="8">
        <f t="shared" si="25"/>
        <v>1680000</v>
      </c>
      <c r="J397" s="37" t="s">
        <v>103</v>
      </c>
      <c r="K397" s="20" t="s">
        <v>146</v>
      </c>
      <c r="L397" s="18">
        <f t="shared" si="7"/>
        <v>0</v>
      </c>
      <c r="M397" s="94"/>
      <c r="N397" s="83" t="s">
        <v>4499</v>
      </c>
    </row>
    <row r="398" ht="15.75" customHeight="1">
      <c r="A398" s="10" t="s">
        <v>4500</v>
      </c>
      <c r="B398" s="10" t="s">
        <v>2490</v>
      </c>
      <c r="C398" s="13" t="str">
        <f t="array" ref="C398">IFERROR(INDEX('간병신청대장'!$B:$B,MATCH($B398,'간병신청대장'!$A:$A,0)),"")</f>
        <v>송영경</v>
      </c>
      <c r="D398" s="20" t="s">
        <v>622</v>
      </c>
      <c r="E398" s="10" t="s">
        <v>2594</v>
      </c>
      <c r="F398" s="87" t="s">
        <v>4092</v>
      </c>
      <c r="G398" s="64">
        <v>11.0</v>
      </c>
      <c r="H398" s="111">
        <v>144000.0</v>
      </c>
      <c r="I398" s="8">
        <f t="shared" si="25"/>
        <v>1584000</v>
      </c>
      <c r="J398" s="20" t="s">
        <v>103</v>
      </c>
      <c r="K398" s="20" t="s">
        <v>146</v>
      </c>
      <c r="L398" s="18">
        <f t="shared" si="7"/>
        <v>0</v>
      </c>
      <c r="M398" s="94"/>
      <c r="N398" s="96" t="s">
        <v>4511</v>
      </c>
    </row>
    <row r="399" ht="15.75" customHeight="1">
      <c r="A399" s="10" t="s">
        <v>4512</v>
      </c>
      <c r="B399" s="10" t="s">
        <v>2368</v>
      </c>
      <c r="C399" s="13" t="str">
        <f t="array" ref="C399">IFERROR(INDEX('간병신청대장'!$B:$B,MATCH($B399,'간병신청대장'!$A:$A,0)),"")</f>
        <v>나도선</v>
      </c>
      <c r="D399" s="64" t="s">
        <v>3791</v>
      </c>
      <c r="E399" s="20" t="s">
        <v>2374</v>
      </c>
      <c r="F399" s="87" t="s">
        <v>4092</v>
      </c>
      <c r="G399" s="64">
        <v>22.0</v>
      </c>
      <c r="H399" s="111">
        <v>144000.0</v>
      </c>
      <c r="I399" s="8">
        <f t="shared" si="25"/>
        <v>3168000</v>
      </c>
      <c r="J399" s="20" t="s">
        <v>103</v>
      </c>
      <c r="K399" s="20" t="s">
        <v>146</v>
      </c>
      <c r="L399" s="18">
        <f t="shared" si="7"/>
        <v>0</v>
      </c>
      <c r="M399" s="94"/>
      <c r="N399" s="96" t="s">
        <v>4515</v>
      </c>
    </row>
    <row r="400" ht="15.75" customHeight="1">
      <c r="A400" s="10" t="s">
        <v>4517</v>
      </c>
      <c r="B400" s="20" t="s">
        <v>2673</v>
      </c>
      <c r="C400" s="13" t="str">
        <f t="array" ref="C400">IFERROR(INDEX('간병신청대장'!$B:$B,MATCH($B400,'간병신청대장'!$A:$A,0)),"")</f>
        <v>원용연</v>
      </c>
      <c r="D400" s="64" t="s">
        <v>3791</v>
      </c>
      <c r="E400" s="20" t="s">
        <v>2740</v>
      </c>
      <c r="F400" s="87" t="s">
        <v>4164</v>
      </c>
      <c r="G400" s="64">
        <v>6.0</v>
      </c>
      <c r="H400" s="111">
        <v>144000.0</v>
      </c>
      <c r="I400" s="8">
        <f t="shared" si="25"/>
        <v>864000</v>
      </c>
      <c r="J400" s="20" t="s">
        <v>103</v>
      </c>
      <c r="K400" s="20" t="s">
        <v>146</v>
      </c>
      <c r="L400" s="18">
        <f t="shared" si="7"/>
        <v>0</v>
      </c>
      <c r="M400" s="94"/>
      <c r="N400" s="96" t="s">
        <v>4526</v>
      </c>
    </row>
    <row r="401" ht="15.75" customHeight="1">
      <c r="A401" s="10" t="s">
        <v>4527</v>
      </c>
      <c r="B401" s="10" t="s">
        <v>2347</v>
      </c>
      <c r="C401" s="13" t="str">
        <f t="array" ref="C401">IFERROR(INDEX('간병신청대장'!$B:$B,MATCH($B401,'간병신청대장'!$A:$A,0)),"")</f>
        <v>박정란</v>
      </c>
      <c r="D401" s="64" t="s">
        <v>3791</v>
      </c>
      <c r="E401" s="20" t="s">
        <v>4003</v>
      </c>
      <c r="F401" s="64" t="s">
        <v>4164</v>
      </c>
      <c r="G401" s="64">
        <v>10.0</v>
      </c>
      <c r="H401" s="111">
        <v>144000.0</v>
      </c>
      <c r="I401" s="8"/>
      <c r="J401" s="20" t="s">
        <v>103</v>
      </c>
      <c r="K401" s="10" t="s">
        <v>104</v>
      </c>
      <c r="L401" s="18">
        <f t="shared" si="7"/>
        <v>1440000</v>
      </c>
      <c r="M401" s="94" t="s">
        <v>3089</v>
      </c>
      <c r="N401" s="95" t="s">
        <v>4532</v>
      </c>
    </row>
    <row r="402" ht="15.75" customHeight="1">
      <c r="A402" s="10" t="s">
        <v>4533</v>
      </c>
      <c r="B402" s="10" t="s">
        <v>2347</v>
      </c>
      <c r="C402" s="64" t="s">
        <v>3958</v>
      </c>
      <c r="D402" s="64" t="s">
        <v>622</v>
      </c>
      <c r="E402" s="20" t="s">
        <v>645</v>
      </c>
      <c r="F402" s="20" t="s">
        <v>3696</v>
      </c>
      <c r="G402" s="64">
        <v>10.0</v>
      </c>
      <c r="H402" s="111">
        <v>144000.0</v>
      </c>
      <c r="I402" s="8"/>
      <c r="J402" s="20" t="s">
        <v>103</v>
      </c>
      <c r="K402" s="10" t="s">
        <v>104</v>
      </c>
      <c r="L402" s="18">
        <f t="shared" si="7"/>
        <v>1440000</v>
      </c>
      <c r="M402" s="94" t="s">
        <v>3089</v>
      </c>
      <c r="N402" s="95" t="s">
        <v>4534</v>
      </c>
    </row>
    <row r="403" ht="15.75" customHeight="1">
      <c r="A403" s="10" t="s">
        <v>4535</v>
      </c>
      <c r="B403" s="10" t="s">
        <v>2309</v>
      </c>
      <c r="C403" s="13" t="s">
        <v>3936</v>
      </c>
      <c r="D403" s="64" t="s">
        <v>622</v>
      </c>
      <c r="E403" s="10" t="s">
        <v>2314</v>
      </c>
      <c r="F403" s="87" t="s">
        <v>4164</v>
      </c>
      <c r="G403" s="64">
        <v>14.0</v>
      </c>
      <c r="H403" s="111">
        <v>129000.0</v>
      </c>
      <c r="I403" s="8"/>
      <c r="J403" s="20" t="s">
        <v>103</v>
      </c>
      <c r="K403" s="10" t="s">
        <v>104</v>
      </c>
      <c r="L403" s="18">
        <f t="shared" si="7"/>
        <v>1806000</v>
      </c>
      <c r="M403" s="94" t="s">
        <v>596</v>
      </c>
      <c r="N403" s="95" t="s">
        <v>4541</v>
      </c>
    </row>
    <row r="404" ht="15.75" customHeight="1">
      <c r="A404" s="10" t="s">
        <v>4542</v>
      </c>
      <c r="B404" s="10" t="s">
        <v>2214</v>
      </c>
      <c r="C404" s="13" t="s">
        <v>3837</v>
      </c>
      <c r="D404" s="20" t="s">
        <v>4206</v>
      </c>
      <c r="E404" s="20" t="s">
        <v>629</v>
      </c>
      <c r="F404" s="87" t="s">
        <v>868</v>
      </c>
      <c r="G404" s="64">
        <v>11.0</v>
      </c>
      <c r="H404" s="112">
        <v>129000.0</v>
      </c>
      <c r="I404" s="8">
        <f t="shared" ref="I404:I405" si="26">G404*H404</f>
        <v>1419000</v>
      </c>
      <c r="J404" s="20" t="s">
        <v>103</v>
      </c>
      <c r="K404" s="20" t="s">
        <v>146</v>
      </c>
      <c r="L404" s="18">
        <f t="shared" si="7"/>
        <v>0</v>
      </c>
      <c r="M404" s="94"/>
      <c r="N404" s="96" t="s">
        <v>4547</v>
      </c>
    </row>
    <row r="405" ht="15.75" customHeight="1">
      <c r="A405" s="10" t="s">
        <v>4548</v>
      </c>
      <c r="B405" s="20" t="s">
        <v>1988</v>
      </c>
      <c r="C405" s="13" t="str">
        <f t="array" ref="C405">IFERROR(INDEX('간병신청대장'!$B:$B,MATCH($B405,'간병신청대장'!$A:$A,0)),"")</f>
        <v>조현숙</v>
      </c>
      <c r="D405" s="20" t="s">
        <v>567</v>
      </c>
      <c r="E405" s="20" t="s">
        <v>557</v>
      </c>
      <c r="F405" s="64" t="s">
        <v>1935</v>
      </c>
      <c r="G405" s="64">
        <v>1.0</v>
      </c>
      <c r="H405" s="111">
        <v>140000.0</v>
      </c>
      <c r="I405" s="8">
        <f t="shared" si="26"/>
        <v>140000</v>
      </c>
      <c r="J405" s="20" t="s">
        <v>103</v>
      </c>
      <c r="K405" s="20" t="s">
        <v>146</v>
      </c>
      <c r="L405" s="18">
        <f t="shared" si="7"/>
        <v>0</v>
      </c>
      <c r="M405" s="94"/>
      <c r="N405" s="96" t="s">
        <v>4559</v>
      </c>
    </row>
    <row r="406" ht="15.75" customHeight="1">
      <c r="A406" s="10" t="s">
        <v>4560</v>
      </c>
      <c r="B406" s="10" t="s">
        <v>2850</v>
      </c>
      <c r="C406" s="64" t="s">
        <v>2851</v>
      </c>
      <c r="D406" s="64" t="s">
        <v>3791</v>
      </c>
      <c r="E406" s="20" t="s">
        <v>2855</v>
      </c>
      <c r="F406" s="87" t="s">
        <v>3908</v>
      </c>
      <c r="G406" s="64">
        <v>1.0</v>
      </c>
      <c r="H406" s="111">
        <v>140000.0</v>
      </c>
      <c r="I406" s="85"/>
      <c r="J406" s="10" t="s">
        <v>377</v>
      </c>
      <c r="K406" s="10" t="s">
        <v>104</v>
      </c>
      <c r="L406" s="18">
        <f t="shared" si="7"/>
        <v>140000</v>
      </c>
      <c r="M406" s="108"/>
      <c r="N406" s="85"/>
    </row>
    <row r="407" ht="15.75" customHeight="1">
      <c r="A407" s="10" t="s">
        <v>4561</v>
      </c>
      <c r="B407" s="10" t="s">
        <v>4247</v>
      </c>
      <c r="C407" s="64" t="s">
        <v>2867</v>
      </c>
      <c r="D407" s="64" t="s">
        <v>3791</v>
      </c>
      <c r="E407" s="20" t="s">
        <v>2877</v>
      </c>
      <c r="F407" s="87" t="s">
        <v>4312</v>
      </c>
      <c r="G407" s="64">
        <v>2.0</v>
      </c>
      <c r="H407" s="111">
        <v>142000.0</v>
      </c>
      <c r="I407" s="85"/>
      <c r="J407" s="10" t="s">
        <v>377</v>
      </c>
      <c r="K407" s="10" t="s">
        <v>104</v>
      </c>
      <c r="L407" s="18">
        <f t="shared" si="7"/>
        <v>284000</v>
      </c>
      <c r="M407" s="108"/>
      <c r="N407" s="85"/>
    </row>
    <row r="408" ht="15.75" customHeight="1">
      <c r="A408" s="10" t="s">
        <v>4562</v>
      </c>
      <c r="B408" s="10" t="s">
        <v>1244</v>
      </c>
      <c r="C408" s="13" t="str">
        <f t="array" ref="C408">IFERROR(INDEX('간병신청대장'!$B:$B,MATCH($B408,'간병신청대장'!$A:$A,0)),"")</f>
        <v>문영해</v>
      </c>
      <c r="D408" s="64" t="s">
        <v>3791</v>
      </c>
      <c r="E408" s="20" t="s">
        <v>1257</v>
      </c>
      <c r="F408" s="20" t="s">
        <v>4278</v>
      </c>
      <c r="G408" s="64">
        <v>5.0</v>
      </c>
      <c r="H408" s="111">
        <v>144000.0</v>
      </c>
      <c r="I408" s="8">
        <f>G408*H408</f>
        <v>720000</v>
      </c>
      <c r="J408" s="20" t="s">
        <v>103</v>
      </c>
      <c r="K408" s="20" t="s">
        <v>146</v>
      </c>
      <c r="L408" s="18">
        <f t="shared" si="7"/>
        <v>0</v>
      </c>
      <c r="M408" s="94"/>
      <c r="N408" s="96" t="s">
        <v>4572</v>
      </c>
    </row>
    <row r="409" ht="15.75" customHeight="1">
      <c r="A409" s="10" t="s">
        <v>4573</v>
      </c>
      <c r="B409" s="10" t="s">
        <v>2858</v>
      </c>
      <c r="C409" s="64" t="s">
        <v>2859</v>
      </c>
      <c r="D409" s="64" t="s">
        <v>3791</v>
      </c>
      <c r="E409" s="20" t="s">
        <v>2864</v>
      </c>
      <c r="F409" s="20" t="s">
        <v>3696</v>
      </c>
      <c r="G409" s="64">
        <v>3.0</v>
      </c>
      <c r="H409" s="111">
        <v>142000.0</v>
      </c>
      <c r="I409" s="8"/>
      <c r="J409" s="10" t="s">
        <v>377</v>
      </c>
      <c r="K409" s="10" t="s">
        <v>104</v>
      </c>
      <c r="L409" s="18">
        <f t="shared" si="7"/>
        <v>426000</v>
      </c>
      <c r="M409" s="108"/>
      <c r="N409" s="85"/>
    </row>
    <row r="410" ht="15.75" customHeight="1">
      <c r="A410" s="10" t="s">
        <v>4574</v>
      </c>
      <c r="B410" s="10" t="s">
        <v>2254</v>
      </c>
      <c r="C410" s="13" t="str">
        <f t="array" ref="C410">IFERROR(INDEX('간병신청대장'!$B:$B,MATCH($B410,'간병신청대장'!$A:$A,0)),"")</f>
        <v>박옥순</v>
      </c>
      <c r="D410" s="64" t="s">
        <v>4262</v>
      </c>
      <c r="E410" s="20" t="s">
        <v>4577</v>
      </c>
      <c r="F410" s="20" t="s">
        <v>4278</v>
      </c>
      <c r="G410" s="64">
        <v>7.0</v>
      </c>
      <c r="H410" s="111">
        <v>142000.0</v>
      </c>
      <c r="I410" s="8"/>
      <c r="J410" s="10" t="s">
        <v>377</v>
      </c>
      <c r="K410" s="10" t="s">
        <v>104</v>
      </c>
      <c r="L410" s="18">
        <f t="shared" si="7"/>
        <v>994000</v>
      </c>
      <c r="M410" s="108"/>
      <c r="N410" s="85"/>
    </row>
    <row r="411" ht="15.75" customHeight="1">
      <c r="A411" s="10" t="s">
        <v>4585</v>
      </c>
      <c r="B411" s="10" t="s">
        <v>2532</v>
      </c>
      <c r="C411" s="13" t="s">
        <v>3944</v>
      </c>
      <c r="D411" s="64" t="s">
        <v>4262</v>
      </c>
      <c r="E411" s="10" t="s">
        <v>2514</v>
      </c>
      <c r="F411" s="20" t="s">
        <v>4278</v>
      </c>
      <c r="G411" s="64">
        <v>6.0</v>
      </c>
      <c r="H411" s="111">
        <v>144000.0</v>
      </c>
      <c r="I411" s="8">
        <f>G411*H411</f>
        <v>864000</v>
      </c>
      <c r="J411" s="20" t="s">
        <v>103</v>
      </c>
      <c r="K411" s="20" t="s">
        <v>146</v>
      </c>
      <c r="L411" s="18">
        <f t="shared" si="7"/>
        <v>0</v>
      </c>
      <c r="M411" s="94"/>
      <c r="N411" s="83" t="s">
        <v>4589</v>
      </c>
    </row>
    <row r="412" ht="15.75" customHeight="1">
      <c r="A412" s="10" t="s">
        <v>4590</v>
      </c>
      <c r="B412" s="10" t="s">
        <v>2347</v>
      </c>
      <c r="C412" s="13" t="str">
        <f t="array" ref="C412">IFERROR(INDEX('간병신청대장'!$B:$B,MATCH($B412,'간병신청대장'!$A:$A,0)),"")</f>
        <v>박정란</v>
      </c>
      <c r="D412" s="64" t="s">
        <v>4262</v>
      </c>
      <c r="E412" s="20" t="s">
        <v>4278</v>
      </c>
      <c r="F412" s="20" t="s">
        <v>4278</v>
      </c>
      <c r="G412" s="64">
        <v>11.0</v>
      </c>
      <c r="H412" s="111">
        <v>144000.0</v>
      </c>
      <c r="I412" s="8"/>
      <c r="J412" s="20" t="s">
        <v>103</v>
      </c>
      <c r="K412" s="10" t="s">
        <v>104</v>
      </c>
      <c r="L412" s="18">
        <f t="shared" si="7"/>
        <v>1584000</v>
      </c>
      <c r="M412" s="108"/>
      <c r="N412" s="85"/>
    </row>
    <row r="413" ht="15.75" customHeight="1">
      <c r="A413" s="10" t="s">
        <v>4599</v>
      </c>
      <c r="B413" s="20" t="s">
        <v>4430</v>
      </c>
      <c r="C413" s="13" t="str">
        <f t="array" ref="C413">IFERROR(INDEX('간병신청대장'!$B:$B,MATCH($B413,'간병신청대장'!$A:$A,0)),"")</f>
        <v>송영경</v>
      </c>
      <c r="D413" s="64" t="s">
        <v>4262</v>
      </c>
      <c r="E413" s="20" t="s">
        <v>2506</v>
      </c>
      <c r="F413" s="20" t="s">
        <v>4278</v>
      </c>
      <c r="G413" s="64">
        <v>10.0</v>
      </c>
      <c r="H413" s="111">
        <v>144000.0</v>
      </c>
      <c r="I413" s="8">
        <f>G413*H413</f>
        <v>1440000</v>
      </c>
      <c r="J413" s="20" t="s">
        <v>103</v>
      </c>
      <c r="K413" s="20" t="s">
        <v>146</v>
      </c>
      <c r="L413" s="18">
        <f t="shared" si="7"/>
        <v>0</v>
      </c>
      <c r="M413" s="94"/>
      <c r="N413" s="83" t="s">
        <v>4609</v>
      </c>
    </row>
    <row r="414" ht="15.75" customHeight="1">
      <c r="A414" s="10" t="s">
        <v>4610</v>
      </c>
      <c r="B414" s="10" t="s">
        <v>1036</v>
      </c>
      <c r="C414" s="13" t="str">
        <f t="array" ref="C414">IFERROR(INDEX('간병신청대장'!$B:$B,MATCH($B414,'간병신청대장'!$A:$A,0)),"")</f>
        <v>최경희</v>
      </c>
      <c r="D414" s="64" t="s">
        <v>4262</v>
      </c>
      <c r="E414" s="20" t="s">
        <v>4278</v>
      </c>
      <c r="F414" s="20" t="s">
        <v>4278</v>
      </c>
      <c r="G414" s="64">
        <v>7.0</v>
      </c>
      <c r="H414" s="111">
        <v>144000.0</v>
      </c>
      <c r="I414" s="8"/>
      <c r="J414" s="20" t="s">
        <v>103</v>
      </c>
      <c r="K414" s="10" t="s">
        <v>104</v>
      </c>
      <c r="L414" s="18">
        <f t="shared" si="7"/>
        <v>1008000</v>
      </c>
      <c r="M414" s="108"/>
      <c r="N414" s="95" t="s">
        <v>4612</v>
      </c>
    </row>
    <row r="415" ht="15.75" customHeight="1">
      <c r="A415" s="10" t="s">
        <v>4613</v>
      </c>
      <c r="B415" s="10" t="s">
        <v>1434</v>
      </c>
      <c r="C415" s="13" t="str">
        <f t="array" ref="C415">IFERROR(INDEX('간병신청대장'!$B:$B,MATCH($B415,'간병신청대장'!$A:$A,0)),"")</f>
        <v>김국선</v>
      </c>
      <c r="D415" s="64" t="s">
        <v>4262</v>
      </c>
      <c r="E415" s="20" t="s">
        <v>4278</v>
      </c>
      <c r="F415" s="20" t="s">
        <v>4278</v>
      </c>
      <c r="G415" s="64">
        <v>11.0</v>
      </c>
      <c r="H415" s="111">
        <v>144000.0</v>
      </c>
      <c r="I415" s="8"/>
      <c r="J415" s="20" t="s">
        <v>103</v>
      </c>
      <c r="K415" s="10" t="s">
        <v>104</v>
      </c>
      <c r="L415" s="18">
        <f t="shared" si="7"/>
        <v>1584000</v>
      </c>
      <c r="M415" s="108"/>
      <c r="N415" s="85"/>
    </row>
    <row r="416" ht="15.75" customHeight="1">
      <c r="A416" s="10" t="s">
        <v>4621</v>
      </c>
      <c r="B416" s="10" t="s">
        <v>2091</v>
      </c>
      <c r="C416" s="13" t="str">
        <f t="array" ref="C416">IFERROR(INDEX('간병신청대장'!$B:$B,MATCH($B416,'간병신청대장'!$A:$A,0)),"")</f>
        <v>홍정숙</v>
      </c>
      <c r="D416" s="64" t="s">
        <v>4262</v>
      </c>
      <c r="E416" s="20" t="s">
        <v>4278</v>
      </c>
      <c r="F416" s="20" t="s">
        <v>4278</v>
      </c>
      <c r="G416" s="64">
        <v>11.0</v>
      </c>
      <c r="H416" s="111">
        <v>169000.0</v>
      </c>
      <c r="I416" s="8"/>
      <c r="J416" s="20" t="s">
        <v>103</v>
      </c>
      <c r="K416" s="10" t="s">
        <v>104</v>
      </c>
      <c r="L416" s="18">
        <f t="shared" si="7"/>
        <v>1859000</v>
      </c>
      <c r="M416" s="108"/>
      <c r="N416" s="85"/>
    </row>
    <row r="417" ht="15.75" customHeight="1">
      <c r="A417" s="10" t="s">
        <v>4628</v>
      </c>
      <c r="B417" s="10" t="s">
        <v>2232</v>
      </c>
      <c r="C417" s="13" t="str">
        <f t="array" ref="C417">IFERROR(INDEX('간병신청대장'!$B:$B,MATCH($B417,'간병신청대장'!$A:$A,0)),"")</f>
        <v>김철재</v>
      </c>
      <c r="D417" s="64" t="s">
        <v>4262</v>
      </c>
      <c r="E417" s="20" t="s">
        <v>4278</v>
      </c>
      <c r="F417" s="20" t="s">
        <v>4278</v>
      </c>
      <c r="G417" s="64">
        <v>11.0</v>
      </c>
      <c r="H417" s="111">
        <v>140000.0</v>
      </c>
      <c r="I417" s="8"/>
      <c r="J417" s="20" t="s">
        <v>103</v>
      </c>
      <c r="K417" s="10" t="s">
        <v>104</v>
      </c>
      <c r="L417" s="18">
        <f t="shared" si="7"/>
        <v>1540000</v>
      </c>
      <c r="M417" s="108"/>
      <c r="N417" s="85"/>
    </row>
    <row r="418" ht="15.75" customHeight="1">
      <c r="A418" s="10" t="s">
        <v>4637</v>
      </c>
      <c r="B418" s="10" t="s">
        <v>2840</v>
      </c>
      <c r="C418" s="64" t="s">
        <v>2842</v>
      </c>
      <c r="D418" s="64" t="s">
        <v>4262</v>
      </c>
      <c r="E418" s="20" t="s">
        <v>4278</v>
      </c>
      <c r="F418" s="20" t="s">
        <v>4312</v>
      </c>
      <c r="G418" s="64">
        <v>6.0</v>
      </c>
      <c r="H418" s="111">
        <v>142000.0</v>
      </c>
      <c r="I418" s="8"/>
      <c r="J418" s="10" t="s">
        <v>377</v>
      </c>
      <c r="K418" s="10" t="s">
        <v>104</v>
      </c>
      <c r="L418" s="18">
        <f t="shared" si="7"/>
        <v>852000</v>
      </c>
      <c r="M418" s="108"/>
      <c r="N418" s="85"/>
    </row>
    <row r="419" ht="15.75" customHeight="1">
      <c r="A419" s="10" t="s">
        <v>4639</v>
      </c>
      <c r="B419" s="10" t="s">
        <v>4247</v>
      </c>
      <c r="C419" s="64" t="s">
        <v>2867</v>
      </c>
      <c r="D419" s="64" t="s">
        <v>4262</v>
      </c>
      <c r="E419" s="20" t="s">
        <v>4278</v>
      </c>
      <c r="F419" s="20" t="s">
        <v>4312</v>
      </c>
      <c r="G419" s="64">
        <v>3.0</v>
      </c>
      <c r="H419" s="111">
        <v>142000.0</v>
      </c>
      <c r="I419" s="8"/>
      <c r="J419" s="10" t="s">
        <v>377</v>
      </c>
      <c r="K419" s="10" t="s">
        <v>104</v>
      </c>
      <c r="L419" s="18">
        <f t="shared" si="7"/>
        <v>426000</v>
      </c>
      <c r="M419" s="108"/>
      <c r="N419" s="85"/>
    </row>
    <row r="420" ht="15.75" customHeight="1">
      <c r="A420" s="10" t="s">
        <v>4640</v>
      </c>
      <c r="B420" s="10" t="s">
        <v>564</v>
      </c>
      <c r="C420" s="13" t="str">
        <f t="array" ref="C420">IFERROR(INDEX('간병신청대장'!$B:$B,MATCH($B420,'간병신청대장'!$A:$A,0)),"")</f>
        <v>전남영</v>
      </c>
      <c r="D420" s="64" t="s">
        <v>4262</v>
      </c>
      <c r="E420" s="20" t="s">
        <v>4278</v>
      </c>
      <c r="F420" s="20" t="s">
        <v>4312</v>
      </c>
      <c r="G420" s="64">
        <v>11.0</v>
      </c>
      <c r="H420" s="111">
        <v>135000.0</v>
      </c>
      <c r="I420" s="8"/>
      <c r="J420" s="20" t="s">
        <v>103</v>
      </c>
      <c r="K420" s="10" t="s">
        <v>104</v>
      </c>
      <c r="L420" s="18">
        <f t="shared" si="7"/>
        <v>1485000</v>
      </c>
      <c r="M420" s="108"/>
      <c r="N420" s="85"/>
    </row>
    <row r="421" ht="15.75" customHeight="1">
      <c r="A421" s="10" t="s">
        <v>4651</v>
      </c>
      <c r="B421" s="20" t="s">
        <v>2888</v>
      </c>
      <c r="C421" s="13" t="str">
        <f t="array" ref="C421">IFERROR(INDEX('간병신청대장'!$B:$B,MATCH($B421,'간병신청대장'!$A:$A,0)),"")</f>
        <v>김순자</v>
      </c>
      <c r="D421" s="64" t="s">
        <v>4262</v>
      </c>
      <c r="E421" s="20" t="s">
        <v>4312</v>
      </c>
      <c r="F421" s="20" t="s">
        <v>4656</v>
      </c>
      <c r="G421" s="64">
        <v>5.0</v>
      </c>
      <c r="H421" s="111">
        <v>142000.0</v>
      </c>
      <c r="I421" s="8">
        <v>495000.0</v>
      </c>
      <c r="J421" s="10" t="s">
        <v>377</v>
      </c>
      <c r="K421" s="10" t="s">
        <v>104</v>
      </c>
      <c r="L421" s="18">
        <f t="shared" si="7"/>
        <v>710000</v>
      </c>
      <c r="M421" s="108"/>
      <c r="N421" s="83" t="s">
        <v>4657</v>
      </c>
    </row>
    <row r="422" ht="15.75" customHeight="1">
      <c r="A422" s="10" t="s">
        <v>4658</v>
      </c>
      <c r="B422" s="10" t="s">
        <v>1774</v>
      </c>
      <c r="C422" s="13" t="str">
        <f t="array" ref="C422">IFERROR(INDEX('간병신청대장'!$B:$B,MATCH($B422,'간병신청대장'!$A:$A,0)),"")</f>
        <v>이향주</v>
      </c>
      <c r="D422" s="64" t="s">
        <v>4262</v>
      </c>
      <c r="E422" s="20" t="s">
        <v>4278</v>
      </c>
      <c r="F422" s="20" t="s">
        <v>4312</v>
      </c>
      <c r="G422" s="64">
        <v>8.0</v>
      </c>
      <c r="H422" s="111">
        <v>144000.0</v>
      </c>
      <c r="I422" s="8">
        <f>G422*H422</f>
        <v>1152000</v>
      </c>
      <c r="J422" s="20" t="s">
        <v>103</v>
      </c>
      <c r="K422" s="20" t="s">
        <v>146</v>
      </c>
      <c r="L422" s="18">
        <f t="shared" si="7"/>
        <v>0</v>
      </c>
      <c r="M422" s="108"/>
      <c r="N422" s="85"/>
    </row>
    <row r="423" ht="15.75" customHeight="1">
      <c r="A423" s="10" t="s">
        <v>4666</v>
      </c>
      <c r="B423" s="10" t="s">
        <v>2214</v>
      </c>
      <c r="C423" s="13" t="str">
        <f t="array" ref="C423">IFERROR(INDEX('간병신청대장'!$B:$B,MATCH($B423,'간병신청대장'!$A:$A,0)),"")</f>
        <v>유승백</v>
      </c>
      <c r="D423" s="64" t="s">
        <v>4262</v>
      </c>
      <c r="E423" s="20" t="s">
        <v>4278</v>
      </c>
      <c r="F423" s="20" t="s">
        <v>4312</v>
      </c>
      <c r="G423" s="64">
        <v>11.0</v>
      </c>
      <c r="H423" s="111">
        <v>129000.0</v>
      </c>
      <c r="I423" s="8"/>
      <c r="J423" s="20" t="s">
        <v>103</v>
      </c>
      <c r="K423" s="10" t="s">
        <v>104</v>
      </c>
      <c r="L423" s="18">
        <f t="shared" si="7"/>
        <v>1419000</v>
      </c>
      <c r="M423" s="108"/>
      <c r="N423" s="85"/>
    </row>
    <row r="424" ht="15.75" customHeight="1">
      <c r="A424" s="10" t="s">
        <v>4679</v>
      </c>
      <c r="B424" s="10" t="s">
        <v>2631</v>
      </c>
      <c r="C424" s="13" t="str">
        <f t="array" ref="C424">IFERROR(INDEX('간병신청대장'!$B:$B,MATCH($B424,'간병신청대장'!$A:$A,0)),"")</f>
        <v>강종미</v>
      </c>
      <c r="D424" s="64" t="s">
        <v>4262</v>
      </c>
      <c r="E424" s="20" t="s">
        <v>4278</v>
      </c>
      <c r="F424" s="20" t="s">
        <v>4312</v>
      </c>
      <c r="G424" s="64">
        <v>11.0</v>
      </c>
      <c r="H424" s="111">
        <v>135000.0</v>
      </c>
      <c r="I424" s="8">
        <f>G424*H424</f>
        <v>1485000</v>
      </c>
      <c r="J424" s="20" t="s">
        <v>103</v>
      </c>
      <c r="K424" s="20" t="s">
        <v>146</v>
      </c>
      <c r="L424" s="18">
        <f t="shared" si="7"/>
        <v>0</v>
      </c>
      <c r="M424" s="94"/>
      <c r="N424" s="83" t="s">
        <v>4695</v>
      </c>
    </row>
    <row r="425" ht="15.75" customHeight="1">
      <c r="A425" s="10" t="s">
        <v>4696</v>
      </c>
      <c r="B425" s="10" t="s">
        <v>1888</v>
      </c>
      <c r="C425" s="13" t="str">
        <f t="array" ref="C425">IFERROR(INDEX('간병신청대장'!$B:$B,MATCH($B425,'간병신청대장'!$A:$A,0)),"")</f>
        <v>유수분</v>
      </c>
      <c r="D425" s="64" t="s">
        <v>4262</v>
      </c>
      <c r="E425" s="20" t="s">
        <v>4278</v>
      </c>
      <c r="F425" s="20" t="s">
        <v>4312</v>
      </c>
      <c r="G425" s="64">
        <v>11.0</v>
      </c>
      <c r="H425" s="111">
        <v>144000.0</v>
      </c>
      <c r="I425" s="8"/>
      <c r="J425" s="20" t="s">
        <v>103</v>
      </c>
      <c r="K425" s="10" t="s">
        <v>104</v>
      </c>
      <c r="L425" s="18">
        <f t="shared" si="7"/>
        <v>1584000</v>
      </c>
      <c r="M425" s="108"/>
      <c r="N425" s="85"/>
    </row>
    <row r="426" ht="15.75" customHeight="1">
      <c r="A426" s="10" t="s">
        <v>4705</v>
      </c>
      <c r="B426" s="20" t="s">
        <v>2748</v>
      </c>
      <c r="C426" s="13" t="str">
        <f t="array" ref="C426">IFERROR(INDEX('간병신청대장'!$B:$B,MATCH($B426,'간병신청대장'!$A:$A,0)),"")</f>
        <v>최교삼</v>
      </c>
      <c r="D426" s="64" t="s">
        <v>4262</v>
      </c>
      <c r="E426" s="20" t="s">
        <v>4710</v>
      </c>
      <c r="F426" s="20" t="s">
        <v>4711</v>
      </c>
      <c r="G426" s="64">
        <v>15.0</v>
      </c>
      <c r="H426" s="111">
        <v>142000.0</v>
      </c>
      <c r="I426" s="8"/>
      <c r="J426" s="10" t="s">
        <v>377</v>
      </c>
      <c r="K426" s="10" t="s">
        <v>104</v>
      </c>
      <c r="L426" s="18">
        <f t="shared" si="7"/>
        <v>2130000</v>
      </c>
      <c r="M426" s="108"/>
      <c r="N426" s="83" t="s">
        <v>4712</v>
      </c>
    </row>
    <row r="427" ht="15.75" customHeight="1">
      <c r="A427" s="10" t="s">
        <v>4713</v>
      </c>
      <c r="B427" s="57" t="s">
        <v>2702</v>
      </c>
      <c r="C427" s="58" t="s">
        <v>2704</v>
      </c>
      <c r="D427" s="64" t="s">
        <v>4262</v>
      </c>
      <c r="E427" s="20" t="s">
        <v>4278</v>
      </c>
      <c r="F427" s="20" t="s">
        <v>4312</v>
      </c>
      <c r="G427" s="64">
        <v>4.0</v>
      </c>
      <c r="H427" s="111">
        <v>142000.0</v>
      </c>
      <c r="I427" s="8"/>
      <c r="J427" s="10" t="s">
        <v>377</v>
      </c>
      <c r="K427" s="10" t="s">
        <v>104</v>
      </c>
      <c r="L427" s="18">
        <f t="shared" si="7"/>
        <v>568000</v>
      </c>
      <c r="M427" s="108"/>
      <c r="N427" s="85"/>
    </row>
    <row r="428" ht="15.75" customHeight="1">
      <c r="A428" s="10" t="s">
        <v>4714</v>
      </c>
      <c r="B428" s="10" t="s">
        <v>2655</v>
      </c>
      <c r="C428" s="13" t="str">
        <f t="array" ref="C428">IFERROR(INDEX('간병신청대장'!$B:$B,MATCH($B428,'간병신청대장'!$A:$A,0)),"")</f>
        <v>남정숙</v>
      </c>
      <c r="D428" s="64" t="s">
        <v>4262</v>
      </c>
      <c r="E428" s="20" t="s">
        <v>4353</v>
      </c>
      <c r="F428" s="20" t="s">
        <v>4312</v>
      </c>
      <c r="G428" s="64">
        <v>11.0</v>
      </c>
      <c r="H428" s="111">
        <v>144000.0</v>
      </c>
      <c r="I428" s="8">
        <f t="shared" ref="I428:I429" si="27">G428*H428</f>
        <v>1584000</v>
      </c>
      <c r="J428" s="20" t="s">
        <v>103</v>
      </c>
      <c r="K428" s="20" t="s">
        <v>146</v>
      </c>
      <c r="L428" s="18">
        <f t="shared" si="7"/>
        <v>0</v>
      </c>
      <c r="M428" s="94"/>
      <c r="N428" s="83" t="s">
        <v>4724</v>
      </c>
    </row>
    <row r="429" ht="15.75" customHeight="1">
      <c r="A429" s="10" t="s">
        <v>4726</v>
      </c>
      <c r="B429" s="10" t="s">
        <v>1090</v>
      </c>
      <c r="C429" s="13" t="str">
        <f t="array" ref="C429">IFERROR(INDEX('간병신청대장'!$B:$B,MATCH($B429,'간병신청대장'!$A:$A,0)),"")</f>
        <v>지영희</v>
      </c>
      <c r="D429" s="64" t="s">
        <v>4262</v>
      </c>
      <c r="E429" s="20" t="s">
        <v>4278</v>
      </c>
      <c r="F429" s="20" t="s">
        <v>4312</v>
      </c>
      <c r="G429" s="64">
        <v>11.0</v>
      </c>
      <c r="H429" s="111">
        <v>135000.0</v>
      </c>
      <c r="I429" s="8">
        <f t="shared" si="27"/>
        <v>1485000</v>
      </c>
      <c r="J429" s="20" t="s">
        <v>103</v>
      </c>
      <c r="K429" s="20" t="s">
        <v>614</v>
      </c>
      <c r="L429" s="18">
        <f t="shared" si="7"/>
        <v>0</v>
      </c>
      <c r="M429" s="94"/>
      <c r="N429" s="83" t="s">
        <v>4730</v>
      </c>
    </row>
    <row r="430" ht="15.75" customHeight="1">
      <c r="A430" s="10" t="s">
        <v>4732</v>
      </c>
      <c r="B430" s="10" t="s">
        <v>2281</v>
      </c>
      <c r="C430" s="13" t="s">
        <v>3911</v>
      </c>
      <c r="D430" s="64" t="s">
        <v>4262</v>
      </c>
      <c r="E430" s="20" t="s">
        <v>4278</v>
      </c>
      <c r="F430" s="20" t="s">
        <v>4312</v>
      </c>
      <c r="G430" s="64">
        <v>16.0</v>
      </c>
      <c r="H430" s="111">
        <v>86000.0</v>
      </c>
      <c r="I430" s="8"/>
      <c r="J430" s="20" t="s">
        <v>103</v>
      </c>
      <c r="K430" s="10" t="s">
        <v>104</v>
      </c>
      <c r="L430" s="18">
        <f t="shared" si="7"/>
        <v>1376000</v>
      </c>
      <c r="M430" s="108"/>
      <c r="N430" s="85"/>
    </row>
    <row r="431" ht="15.75" customHeight="1">
      <c r="A431" s="10" t="s">
        <v>4734</v>
      </c>
      <c r="B431" s="10" t="s">
        <v>2232</v>
      </c>
      <c r="C431" s="13" t="str">
        <f t="array" ref="C431">IFERROR(INDEX('간병신청대장'!$B:$B,MATCH($B431,'간병신청대장'!$A:$A,0)),"")</f>
        <v>김철재</v>
      </c>
      <c r="D431" s="64" t="s">
        <v>4262</v>
      </c>
      <c r="E431" s="20" t="s">
        <v>2935</v>
      </c>
      <c r="F431" s="64" t="s">
        <v>3696</v>
      </c>
      <c r="G431" s="64">
        <v>2.0</v>
      </c>
      <c r="H431" s="111">
        <v>140000.0</v>
      </c>
      <c r="I431" s="8"/>
      <c r="J431" s="20" t="s">
        <v>103</v>
      </c>
      <c r="K431" s="10" t="s">
        <v>104</v>
      </c>
      <c r="L431" s="18">
        <f t="shared" si="7"/>
        <v>280000</v>
      </c>
      <c r="M431" s="108"/>
      <c r="N431" s="83" t="s">
        <v>4737</v>
      </c>
    </row>
    <row r="432" ht="15.75" customHeight="1">
      <c r="A432" s="10" t="s">
        <v>4738</v>
      </c>
      <c r="B432" s="10" t="s">
        <v>4247</v>
      </c>
      <c r="C432" s="64" t="s">
        <v>2867</v>
      </c>
      <c r="D432" s="64" t="s">
        <v>4376</v>
      </c>
      <c r="E432" s="20" t="s">
        <v>2905</v>
      </c>
      <c r="F432" s="64" t="s">
        <v>4739</v>
      </c>
      <c r="G432" s="64">
        <v>3.0</v>
      </c>
      <c r="H432" s="111">
        <v>142000.0</v>
      </c>
      <c r="I432" s="8"/>
      <c r="J432" s="10" t="s">
        <v>377</v>
      </c>
      <c r="K432" s="10" t="s">
        <v>104</v>
      </c>
      <c r="L432" s="18">
        <f t="shared" si="7"/>
        <v>426000</v>
      </c>
      <c r="M432" s="108"/>
      <c r="N432" s="83" t="s">
        <v>4740</v>
      </c>
    </row>
    <row r="433" ht="15.75" customHeight="1">
      <c r="A433" s="10" t="s">
        <v>4741</v>
      </c>
      <c r="B433" s="10" t="s">
        <v>1551</v>
      </c>
      <c r="C433" s="13" t="s">
        <v>3249</v>
      </c>
      <c r="D433" s="64" t="s">
        <v>4262</v>
      </c>
      <c r="E433" s="20" t="s">
        <v>4278</v>
      </c>
      <c r="F433" s="64" t="s">
        <v>4739</v>
      </c>
      <c r="G433" s="64">
        <v>11.0</v>
      </c>
      <c r="H433" s="111">
        <v>144000.0</v>
      </c>
      <c r="I433" s="8"/>
      <c r="J433" s="20" t="s">
        <v>103</v>
      </c>
      <c r="K433" s="10" t="s">
        <v>104</v>
      </c>
      <c r="L433" s="18">
        <f t="shared" si="7"/>
        <v>1584000</v>
      </c>
      <c r="M433" s="108"/>
      <c r="N433" s="83" t="s">
        <v>4740</v>
      </c>
    </row>
    <row r="434" ht="15.75" customHeight="1">
      <c r="A434" s="10" t="s">
        <v>4742</v>
      </c>
      <c r="B434" s="59" t="s">
        <v>4378</v>
      </c>
      <c r="C434" s="58" t="s">
        <v>2704</v>
      </c>
      <c r="D434" s="64" t="s">
        <v>4376</v>
      </c>
      <c r="E434" s="20" t="s">
        <v>2885</v>
      </c>
      <c r="F434" s="64" t="s">
        <v>4739</v>
      </c>
      <c r="G434" s="64">
        <v>4.0</v>
      </c>
      <c r="H434" s="111">
        <v>142000.0</v>
      </c>
      <c r="I434" s="8"/>
      <c r="J434" s="10" t="s">
        <v>377</v>
      </c>
      <c r="K434" s="10" t="s">
        <v>104</v>
      </c>
      <c r="L434" s="18">
        <f t="shared" si="7"/>
        <v>568000</v>
      </c>
      <c r="M434" s="108"/>
      <c r="N434" s="85"/>
    </row>
    <row r="435" ht="15.75" customHeight="1">
      <c r="A435" s="10" t="s">
        <v>4747</v>
      </c>
      <c r="B435" s="10" t="s">
        <v>2802</v>
      </c>
      <c r="C435" s="13" t="str">
        <f t="array" ref="C435">IFERROR(INDEX('간병신청대장'!$B:$B,MATCH($B435,'간병신청대장'!$A:$A,0)),"")</f>
        <v>이정민</v>
      </c>
      <c r="D435" s="64" t="s">
        <v>3791</v>
      </c>
      <c r="E435" s="20" t="s">
        <v>2813</v>
      </c>
      <c r="F435" s="64" t="s">
        <v>4739</v>
      </c>
      <c r="G435" s="64">
        <v>2.0</v>
      </c>
      <c r="H435" s="111">
        <v>142000.0</v>
      </c>
      <c r="I435" s="8">
        <v>432000.0</v>
      </c>
      <c r="J435" s="10" t="s">
        <v>377</v>
      </c>
      <c r="K435" s="20" t="s">
        <v>146</v>
      </c>
      <c r="L435" s="18">
        <f t="shared" si="7"/>
        <v>0</v>
      </c>
      <c r="M435" s="119"/>
      <c r="N435" s="83" t="s">
        <v>4755</v>
      </c>
    </row>
    <row r="436" ht="15.75" customHeight="1">
      <c r="A436" s="10" t="s">
        <v>4756</v>
      </c>
      <c r="B436" s="10" t="s">
        <v>2959</v>
      </c>
      <c r="C436" s="64" t="s">
        <v>2960</v>
      </c>
      <c r="D436" s="64" t="s">
        <v>4376</v>
      </c>
      <c r="E436" s="20" t="s">
        <v>4382</v>
      </c>
      <c r="F436" s="64" t="s">
        <v>4656</v>
      </c>
      <c r="G436" s="64">
        <v>3.0</v>
      </c>
      <c r="H436" s="111">
        <v>142000.0</v>
      </c>
      <c r="I436" s="8"/>
      <c r="J436" s="10" t="s">
        <v>377</v>
      </c>
      <c r="K436" s="10" t="s">
        <v>104</v>
      </c>
      <c r="L436" s="18">
        <f t="shared" si="7"/>
        <v>426000</v>
      </c>
      <c r="M436" s="108"/>
      <c r="N436" s="96"/>
    </row>
    <row r="437" ht="15.75" customHeight="1">
      <c r="A437" s="10" t="s">
        <v>4758</v>
      </c>
      <c r="B437" s="10" t="s">
        <v>2918</v>
      </c>
      <c r="C437" s="64" t="s">
        <v>2919</v>
      </c>
      <c r="D437" s="64" t="s">
        <v>4376</v>
      </c>
      <c r="E437" s="20" t="s">
        <v>2925</v>
      </c>
      <c r="F437" s="64" t="s">
        <v>4656</v>
      </c>
      <c r="G437" s="64">
        <v>6.0</v>
      </c>
      <c r="H437" s="111">
        <v>142000.0</v>
      </c>
      <c r="I437" s="8"/>
      <c r="J437" s="10" t="s">
        <v>377</v>
      </c>
      <c r="K437" s="10" t="s">
        <v>104</v>
      </c>
      <c r="L437" s="18">
        <f t="shared" si="7"/>
        <v>852000</v>
      </c>
      <c r="M437" s="108"/>
      <c r="N437" s="83" t="s">
        <v>4759</v>
      </c>
    </row>
    <row r="438" ht="15.75" customHeight="1">
      <c r="A438" s="10" t="s">
        <v>4760</v>
      </c>
      <c r="B438" s="10" t="s">
        <v>2655</v>
      </c>
      <c r="C438" s="13" t="str">
        <f t="array" ref="C438">IFERROR(INDEX('간병신청대장'!$B:$B,MATCH($B438,'간병신청대장'!$A:$A,0)),"")</f>
        <v>남정숙</v>
      </c>
      <c r="D438" s="64" t="s">
        <v>4376</v>
      </c>
      <c r="E438" s="20" t="s">
        <v>2659</v>
      </c>
      <c r="F438" s="64" t="s">
        <v>4656</v>
      </c>
      <c r="G438" s="64">
        <v>6.0</v>
      </c>
      <c r="H438" s="111">
        <v>142000.0</v>
      </c>
      <c r="I438" s="8"/>
      <c r="J438" s="10" t="s">
        <v>377</v>
      </c>
      <c r="K438" s="10" t="s">
        <v>104</v>
      </c>
      <c r="L438" s="18">
        <f t="shared" si="7"/>
        <v>852000</v>
      </c>
      <c r="M438" s="108"/>
      <c r="N438" s="85"/>
    </row>
    <row r="439" ht="15.75" customHeight="1">
      <c r="A439" s="10" t="s">
        <v>4770</v>
      </c>
      <c r="B439" s="10" t="s">
        <v>4247</v>
      </c>
      <c r="C439" s="64" t="s">
        <v>2867</v>
      </c>
      <c r="D439" s="64" t="s">
        <v>4376</v>
      </c>
      <c r="E439" s="64" t="s">
        <v>4773</v>
      </c>
      <c r="F439" s="64" t="s">
        <v>4656</v>
      </c>
      <c r="G439" s="64">
        <v>3.0</v>
      </c>
      <c r="H439" s="111">
        <v>142000.0</v>
      </c>
      <c r="I439" s="85"/>
      <c r="J439" s="10" t="s">
        <v>377</v>
      </c>
      <c r="K439" s="20" t="s">
        <v>146</v>
      </c>
      <c r="L439" s="18">
        <f t="shared" si="7"/>
        <v>0</v>
      </c>
      <c r="M439" s="108"/>
      <c r="N439" s="83" t="s">
        <v>4776</v>
      </c>
    </row>
    <row r="440" ht="15.75" customHeight="1">
      <c r="A440" s="10" t="s">
        <v>4777</v>
      </c>
      <c r="B440" s="10" t="s">
        <v>2840</v>
      </c>
      <c r="C440" s="64" t="s">
        <v>2842</v>
      </c>
      <c r="D440" s="64" t="s">
        <v>4376</v>
      </c>
      <c r="E440" s="20" t="s">
        <v>2847</v>
      </c>
      <c r="F440" s="64" t="s">
        <v>4558</v>
      </c>
      <c r="G440" s="64">
        <v>8.0</v>
      </c>
      <c r="H440" s="111">
        <v>142000.0</v>
      </c>
      <c r="I440" s="85"/>
      <c r="J440" s="10" t="s">
        <v>377</v>
      </c>
      <c r="K440" s="10" t="s">
        <v>104</v>
      </c>
      <c r="L440" s="18">
        <f t="shared" si="7"/>
        <v>1136000</v>
      </c>
      <c r="M440" s="108"/>
      <c r="N440" s="85"/>
    </row>
    <row r="441" ht="15.75" customHeight="1">
      <c r="A441" s="10" t="s">
        <v>4784</v>
      </c>
      <c r="B441" s="10" t="s">
        <v>3022</v>
      </c>
      <c r="C441" s="64" t="s">
        <v>3023</v>
      </c>
      <c r="D441" s="64" t="s">
        <v>4376</v>
      </c>
      <c r="E441" s="20" t="s">
        <v>3002</v>
      </c>
      <c r="F441" s="64" t="s">
        <v>4558</v>
      </c>
      <c r="G441" s="64">
        <v>1.0</v>
      </c>
      <c r="H441" s="111">
        <v>142000.0</v>
      </c>
      <c r="I441" s="85"/>
      <c r="J441" s="10" t="s">
        <v>377</v>
      </c>
      <c r="K441" s="10" t="s">
        <v>104</v>
      </c>
      <c r="L441" s="18">
        <f t="shared" si="7"/>
        <v>142000</v>
      </c>
      <c r="M441" s="108"/>
      <c r="N441" s="83" t="s">
        <v>4787</v>
      </c>
    </row>
    <row r="442" ht="15.75" customHeight="1">
      <c r="A442" s="10" t="s">
        <v>4788</v>
      </c>
      <c r="B442" s="10" t="s">
        <v>2976</v>
      </c>
      <c r="C442" s="64" t="s">
        <v>2978</v>
      </c>
      <c r="D442" s="64" t="s">
        <v>4376</v>
      </c>
      <c r="E442" s="20" t="s">
        <v>2985</v>
      </c>
      <c r="F442" s="64" t="s">
        <v>4791</v>
      </c>
      <c r="G442" s="64">
        <v>4.0</v>
      </c>
      <c r="H442" s="111">
        <v>142000.0</v>
      </c>
      <c r="I442" s="85"/>
      <c r="J442" s="10" t="s">
        <v>377</v>
      </c>
      <c r="K442" s="10" t="s">
        <v>104</v>
      </c>
      <c r="L442" s="18">
        <f t="shared" si="7"/>
        <v>568000</v>
      </c>
      <c r="M442" s="108"/>
      <c r="N442" s="85"/>
    </row>
    <row r="443" ht="15.75" customHeight="1">
      <c r="A443" s="10" t="s">
        <v>4797</v>
      </c>
      <c r="B443" s="10" t="s">
        <v>2995</v>
      </c>
      <c r="C443" s="64" t="s">
        <v>2996</v>
      </c>
      <c r="D443" s="64" t="s">
        <v>4376</v>
      </c>
      <c r="E443" s="20" t="s">
        <v>3002</v>
      </c>
      <c r="F443" s="64" t="s">
        <v>4791</v>
      </c>
      <c r="G443" s="64">
        <v>3.0</v>
      </c>
      <c r="H443" s="111">
        <v>142000.0</v>
      </c>
      <c r="I443" s="85"/>
      <c r="J443" s="10" t="s">
        <v>377</v>
      </c>
      <c r="K443" s="10" t="s">
        <v>104</v>
      </c>
      <c r="L443" s="18">
        <f t="shared" si="7"/>
        <v>426000</v>
      </c>
      <c r="M443" s="108"/>
      <c r="N443" s="85"/>
    </row>
    <row r="444" ht="15.75" customHeight="1">
      <c r="A444" s="10" t="s">
        <v>4802</v>
      </c>
      <c r="B444" s="10" t="s">
        <v>1434</v>
      </c>
      <c r="C444" s="13" t="str">
        <f t="array" ref="C444">IFERROR(INDEX('간병신청대장'!$B:$B,MATCH($B444,'간병신청대장'!$A:$A,0)),"")</f>
        <v>김국선</v>
      </c>
      <c r="D444" s="64" t="s">
        <v>4376</v>
      </c>
      <c r="E444" s="64" t="s">
        <v>4607</v>
      </c>
      <c r="F444" s="64" t="s">
        <v>4607</v>
      </c>
      <c r="G444" s="64">
        <v>10.0</v>
      </c>
      <c r="H444" s="111">
        <v>142000.0</v>
      </c>
      <c r="I444" s="85"/>
      <c r="J444" s="10" t="s">
        <v>377</v>
      </c>
      <c r="K444" s="10" t="s">
        <v>104</v>
      </c>
      <c r="L444" s="18">
        <f t="shared" si="7"/>
        <v>1420000</v>
      </c>
      <c r="M444" s="108"/>
      <c r="N444" s="85"/>
    </row>
    <row r="445" ht="15.75" customHeight="1">
      <c r="A445" s="10" t="s">
        <v>4816</v>
      </c>
      <c r="B445" s="10" t="s">
        <v>1036</v>
      </c>
      <c r="C445" s="13" t="str">
        <f t="array" ref="C445">IFERROR(INDEX('간병신청대장'!$B:$B,MATCH($B445,'간병신청대장'!$A:$A,0)),"")</f>
        <v>최경희</v>
      </c>
      <c r="D445" s="64" t="s">
        <v>4376</v>
      </c>
      <c r="E445" s="64" t="s">
        <v>4607</v>
      </c>
      <c r="F445" s="64" t="s">
        <v>4607</v>
      </c>
      <c r="G445" s="64">
        <v>8.0</v>
      </c>
      <c r="H445" s="111">
        <v>142000.0</v>
      </c>
      <c r="I445" s="85"/>
      <c r="J445" s="10" t="s">
        <v>377</v>
      </c>
      <c r="K445" s="10" t="s">
        <v>104</v>
      </c>
      <c r="L445" s="18">
        <f t="shared" si="7"/>
        <v>1136000</v>
      </c>
      <c r="M445" s="108"/>
      <c r="N445" s="85"/>
    </row>
    <row r="446" ht="15.75" customHeight="1">
      <c r="A446" s="10" t="s">
        <v>4817</v>
      </c>
      <c r="B446" s="10" t="s">
        <v>1551</v>
      </c>
      <c r="C446" s="13" t="str">
        <f t="array" ref="C446">IFERROR(INDEX('간병신청대장'!$B:$B,MATCH($B446,'간병신청대장'!$A:$A,0)),"")</f>
        <v>이재철</v>
      </c>
      <c r="D446" s="64" t="s">
        <v>4376</v>
      </c>
      <c r="E446" s="64" t="s">
        <v>4607</v>
      </c>
      <c r="F446" s="64" t="s">
        <v>4607</v>
      </c>
      <c r="G446" s="64">
        <v>10.0</v>
      </c>
      <c r="H446" s="111">
        <v>142000.0</v>
      </c>
      <c r="I446" s="85"/>
      <c r="J446" s="10" t="s">
        <v>377</v>
      </c>
      <c r="K446" s="10" t="s">
        <v>104</v>
      </c>
      <c r="L446" s="18">
        <f t="shared" si="7"/>
        <v>1420000</v>
      </c>
      <c r="M446" s="108"/>
      <c r="N446" s="85"/>
    </row>
    <row r="447" ht="15.75" customHeight="1">
      <c r="A447" s="10" t="s">
        <v>4818</v>
      </c>
      <c r="B447" s="10" t="s">
        <v>1888</v>
      </c>
      <c r="C447" s="13" t="str">
        <f t="array" ref="C447">IFERROR(INDEX('간병신청대장'!$B:$B,MATCH($B447,'간병신청대장'!$A:$A,0)),"")</f>
        <v>유수분</v>
      </c>
      <c r="D447" s="64" t="s">
        <v>4376</v>
      </c>
      <c r="E447" s="64" t="s">
        <v>4607</v>
      </c>
      <c r="F447" s="64" t="s">
        <v>4607</v>
      </c>
      <c r="G447" s="64">
        <v>10.0</v>
      </c>
      <c r="H447" s="111">
        <v>142000.0</v>
      </c>
      <c r="I447" s="85"/>
      <c r="J447" s="10" t="s">
        <v>377</v>
      </c>
      <c r="K447" s="10" t="s">
        <v>104</v>
      </c>
      <c r="L447" s="18">
        <f t="shared" si="7"/>
        <v>1420000</v>
      </c>
      <c r="M447" s="108"/>
      <c r="N447" s="85"/>
    </row>
    <row r="448" ht="15.75" customHeight="1">
      <c r="A448" s="10" t="s">
        <v>4819</v>
      </c>
      <c r="B448" s="10" t="s">
        <v>2091</v>
      </c>
      <c r="C448" s="13" t="str">
        <f t="array" ref="C448">IFERROR(INDEX('간병신청대장'!$B:$B,MATCH($B448,'간병신청대장'!$A:$A,0)),"")</f>
        <v>홍정숙</v>
      </c>
      <c r="D448" s="64" t="s">
        <v>4376</v>
      </c>
      <c r="E448" s="64" t="s">
        <v>4607</v>
      </c>
      <c r="F448" s="64" t="s">
        <v>4607</v>
      </c>
      <c r="G448" s="64">
        <v>10.0</v>
      </c>
      <c r="H448" s="111">
        <v>142000.0</v>
      </c>
      <c r="I448" s="85"/>
      <c r="J448" s="10" t="s">
        <v>377</v>
      </c>
      <c r="K448" s="10" t="s">
        <v>104</v>
      </c>
      <c r="L448" s="18">
        <f t="shared" si="7"/>
        <v>1420000</v>
      </c>
      <c r="M448" s="108"/>
      <c r="N448" s="85"/>
    </row>
    <row r="449" ht="15.75" customHeight="1">
      <c r="A449" s="10" t="s">
        <v>4820</v>
      </c>
      <c r="B449" s="10" t="s">
        <v>2214</v>
      </c>
      <c r="C449" s="13" t="str">
        <f t="array" ref="C449">IFERROR(INDEX('간병신청대장'!$B:$B,MATCH($B449,'간병신청대장'!$A:$A,0)),"")</f>
        <v>유승백</v>
      </c>
      <c r="D449" s="64" t="s">
        <v>4376</v>
      </c>
      <c r="E449" s="64" t="s">
        <v>4607</v>
      </c>
      <c r="F449" s="64" t="s">
        <v>4607</v>
      </c>
      <c r="G449" s="64">
        <v>10.0</v>
      </c>
      <c r="H449" s="111">
        <v>129000.0</v>
      </c>
      <c r="I449" s="8">
        <f>G449*H449</f>
        <v>1290000</v>
      </c>
      <c r="J449" s="20" t="s">
        <v>103</v>
      </c>
      <c r="K449" s="20" t="s">
        <v>614</v>
      </c>
      <c r="L449" s="18">
        <f t="shared" si="7"/>
        <v>0</v>
      </c>
      <c r="M449" s="108"/>
      <c r="N449" s="83" t="s">
        <v>4821</v>
      </c>
    </row>
    <row r="450" ht="15.75" customHeight="1">
      <c r="A450" s="10" t="s">
        <v>4822</v>
      </c>
      <c r="B450" s="10" t="s">
        <v>2347</v>
      </c>
      <c r="C450" s="13" t="str">
        <f t="array" ref="C450">IFERROR(INDEX('간병신청대장'!$B:$B,MATCH($B450,'간병신청대장'!$A:$A,0)),"")</f>
        <v>박정란</v>
      </c>
      <c r="D450" s="64" t="s">
        <v>4376</v>
      </c>
      <c r="E450" s="64" t="s">
        <v>4607</v>
      </c>
      <c r="F450" s="64" t="s">
        <v>4607</v>
      </c>
      <c r="G450" s="64">
        <v>10.0</v>
      </c>
      <c r="H450" s="111">
        <v>142000.0</v>
      </c>
      <c r="I450" s="85"/>
      <c r="J450" s="10" t="s">
        <v>377</v>
      </c>
      <c r="K450" s="10" t="s">
        <v>104</v>
      </c>
      <c r="L450" s="18">
        <f t="shared" si="7"/>
        <v>1420000</v>
      </c>
      <c r="M450" s="108"/>
      <c r="N450" s="85"/>
    </row>
    <row r="451" ht="15.75" customHeight="1">
      <c r="A451" s="10" t="s">
        <v>4823</v>
      </c>
      <c r="B451" s="10" t="s">
        <v>564</v>
      </c>
      <c r="C451" s="13" t="str">
        <f t="array" ref="C451">IFERROR(INDEX('간병신청대장'!$B:$B,MATCH($B451,'간병신청대장'!$A:$A,0)),"")</f>
        <v>전남영</v>
      </c>
      <c r="D451" s="64" t="s">
        <v>4376</v>
      </c>
      <c r="E451" s="64" t="s">
        <v>4824</v>
      </c>
      <c r="F451" s="64" t="s">
        <v>4607</v>
      </c>
      <c r="G451" s="64">
        <v>10.0</v>
      </c>
      <c r="H451" s="111">
        <v>142000.0</v>
      </c>
      <c r="I451" s="85"/>
      <c r="J451" s="10" t="s">
        <v>377</v>
      </c>
      <c r="K451" s="10" t="s">
        <v>104</v>
      </c>
      <c r="L451" s="18">
        <f t="shared" si="7"/>
        <v>1420000</v>
      </c>
      <c r="M451" s="108"/>
      <c r="N451" s="83" t="s">
        <v>464</v>
      </c>
    </row>
    <row r="452" ht="15.75" customHeight="1">
      <c r="A452" s="10" t="s">
        <v>4825</v>
      </c>
      <c r="B452" s="10" t="s">
        <v>2631</v>
      </c>
      <c r="C452" s="13" t="str">
        <f t="array" ref="C452">IFERROR(INDEX('간병신청대장'!$B:$B,MATCH($B452,'간병신청대장'!$A:$A,0)),"")</f>
        <v>강종미</v>
      </c>
      <c r="D452" s="64" t="s">
        <v>4376</v>
      </c>
      <c r="E452" s="64" t="s">
        <v>4607</v>
      </c>
      <c r="F452" s="64" t="s">
        <v>4607</v>
      </c>
      <c r="G452" s="64">
        <v>10.0</v>
      </c>
      <c r="H452" s="111">
        <v>142000.0</v>
      </c>
      <c r="I452" s="85"/>
      <c r="J452" s="10" t="s">
        <v>377</v>
      </c>
      <c r="K452" s="10" t="s">
        <v>104</v>
      </c>
      <c r="L452" s="18">
        <f t="shared" si="7"/>
        <v>1420000</v>
      </c>
      <c r="M452" s="108"/>
      <c r="N452" s="85"/>
    </row>
    <row r="453" ht="15.75" customHeight="1">
      <c r="A453" s="10" t="s">
        <v>4826</v>
      </c>
      <c r="B453" s="10" t="s">
        <v>2232</v>
      </c>
      <c r="C453" s="13" t="str">
        <f t="array" ref="C453">IFERROR(INDEX('간병신청대장'!$B:$B,MATCH($B453,'간병신청대장'!$A:$A,0)),"")</f>
        <v>김철재</v>
      </c>
      <c r="D453" s="64" t="s">
        <v>4376</v>
      </c>
      <c r="E453" s="64" t="s">
        <v>4607</v>
      </c>
      <c r="F453" s="64" t="s">
        <v>4607</v>
      </c>
      <c r="G453" s="64">
        <v>8.0</v>
      </c>
      <c r="H453" s="111">
        <v>142000.0</v>
      </c>
      <c r="I453" s="85"/>
      <c r="J453" s="10" t="s">
        <v>377</v>
      </c>
      <c r="K453" s="10" t="s">
        <v>104</v>
      </c>
      <c r="L453" s="18">
        <f t="shared" si="7"/>
        <v>1136000</v>
      </c>
      <c r="M453" s="108"/>
      <c r="N453" s="85"/>
    </row>
    <row r="454" ht="15.75" customHeight="1">
      <c r="A454" s="10" t="s">
        <v>4827</v>
      </c>
      <c r="B454" s="68" t="s">
        <v>2644</v>
      </c>
      <c r="C454" s="123" t="s">
        <v>2867</v>
      </c>
      <c r="D454" s="64" t="s">
        <v>4376</v>
      </c>
      <c r="E454" s="64" t="s">
        <v>4607</v>
      </c>
      <c r="F454" s="64" t="s">
        <v>4607</v>
      </c>
      <c r="G454" s="64">
        <v>4.0</v>
      </c>
      <c r="H454" s="111">
        <v>142000.0</v>
      </c>
      <c r="I454" s="85"/>
      <c r="J454" s="10" t="s">
        <v>377</v>
      </c>
      <c r="K454" s="10" t="s">
        <v>104</v>
      </c>
      <c r="L454" s="18">
        <f t="shared" si="7"/>
        <v>568000</v>
      </c>
      <c r="M454" s="108"/>
      <c r="N454" s="85"/>
    </row>
    <row r="455" ht="15.75" customHeight="1">
      <c r="A455" s="10" t="s">
        <v>4828</v>
      </c>
      <c r="B455" s="10" t="s">
        <v>3063</v>
      </c>
      <c r="C455" s="64" t="s">
        <v>3064</v>
      </c>
      <c r="D455" s="64" t="s">
        <v>4523</v>
      </c>
      <c r="E455" s="20" t="s">
        <v>3067</v>
      </c>
      <c r="F455" s="64" t="s">
        <v>4829</v>
      </c>
      <c r="G455" s="64">
        <v>3.0</v>
      </c>
      <c r="H455" s="111">
        <v>142000.0</v>
      </c>
      <c r="I455" s="85"/>
      <c r="J455" s="10" t="s">
        <v>377</v>
      </c>
      <c r="K455" s="10" t="s">
        <v>104</v>
      </c>
      <c r="L455" s="18">
        <f t="shared" si="7"/>
        <v>426000</v>
      </c>
      <c r="M455" s="108"/>
      <c r="N455" s="83"/>
    </row>
    <row r="456" ht="15.75" customHeight="1">
      <c r="A456" s="10" t="s">
        <v>4830</v>
      </c>
      <c r="B456" s="10" t="s">
        <v>2946</v>
      </c>
      <c r="C456" s="64" t="s">
        <v>2947</v>
      </c>
      <c r="D456" s="64" t="s">
        <v>4376</v>
      </c>
      <c r="E456" s="64" t="s">
        <v>4831</v>
      </c>
      <c r="F456" s="64" t="s">
        <v>4831</v>
      </c>
      <c r="G456" s="64">
        <v>7.0</v>
      </c>
      <c r="H456" s="111">
        <v>142000.0</v>
      </c>
      <c r="I456" s="85"/>
      <c r="J456" s="10" t="s">
        <v>377</v>
      </c>
      <c r="K456" s="10" t="s">
        <v>104</v>
      </c>
      <c r="L456" s="18">
        <f t="shared" si="7"/>
        <v>994000</v>
      </c>
      <c r="M456" s="108"/>
      <c r="N456" s="85"/>
    </row>
    <row r="457" ht="15.75" customHeight="1">
      <c r="A457" s="10" t="s">
        <v>4832</v>
      </c>
      <c r="B457" s="10" t="s">
        <v>4403</v>
      </c>
      <c r="C457" s="13" t="s">
        <v>2909</v>
      </c>
      <c r="D457" s="64" t="s">
        <v>4376</v>
      </c>
      <c r="E457" s="64" t="s">
        <v>4711</v>
      </c>
      <c r="F457" s="64" t="s">
        <v>4831</v>
      </c>
      <c r="G457" s="64">
        <v>4.0</v>
      </c>
      <c r="H457" s="111">
        <v>142000.0</v>
      </c>
      <c r="I457" s="85"/>
      <c r="J457" s="10" t="s">
        <v>377</v>
      </c>
      <c r="K457" s="10" t="s">
        <v>104</v>
      </c>
      <c r="L457" s="18">
        <f t="shared" si="7"/>
        <v>568000</v>
      </c>
      <c r="M457" s="108"/>
      <c r="N457" s="83" t="s">
        <v>4833</v>
      </c>
    </row>
    <row r="458" ht="15.75" customHeight="1">
      <c r="A458" s="10" t="s">
        <v>4834</v>
      </c>
      <c r="B458" s="10" t="s">
        <v>1090</v>
      </c>
      <c r="C458" s="13" t="str">
        <f t="array" ref="C458">IFERROR(INDEX('간병신청대장'!$B:$B,MATCH($B458,'간병신청대장'!$A:$A,0)),"")</f>
        <v>지영희</v>
      </c>
      <c r="D458" s="64" t="s">
        <v>4376</v>
      </c>
      <c r="E458" s="64" t="s">
        <v>4607</v>
      </c>
      <c r="F458" s="64" t="s">
        <v>4831</v>
      </c>
      <c r="G458" s="64">
        <v>10.0</v>
      </c>
      <c r="H458" s="111">
        <v>135000.0</v>
      </c>
      <c r="I458" s="8">
        <f>G458*H458</f>
        <v>1350000</v>
      </c>
      <c r="J458" s="20" t="s">
        <v>103</v>
      </c>
      <c r="K458" s="20" t="s">
        <v>614</v>
      </c>
      <c r="L458" s="18">
        <f t="shared" si="7"/>
        <v>0</v>
      </c>
      <c r="M458" s="119"/>
      <c r="N458" s="83"/>
    </row>
    <row r="459" ht="15.75" customHeight="1">
      <c r="A459" s="10" t="s">
        <v>4835</v>
      </c>
      <c r="B459" s="10" t="s">
        <v>2281</v>
      </c>
      <c r="C459" s="13" t="str">
        <f t="array" ref="C459">IFERROR(INDEX('간병신청대장'!$B:$B,MATCH($B459,'간병신청대장'!$A:$A,0)),"")</f>
        <v>최영자</v>
      </c>
      <c r="D459" s="64" t="s">
        <v>4376</v>
      </c>
      <c r="E459" s="64" t="s">
        <v>4607</v>
      </c>
      <c r="F459" s="64" t="s">
        <v>4836</v>
      </c>
      <c r="G459" s="64">
        <v>8.0</v>
      </c>
      <c r="H459" s="111">
        <v>142000.0</v>
      </c>
      <c r="I459" s="85"/>
      <c r="J459" s="10" t="s">
        <v>377</v>
      </c>
      <c r="K459" s="10" t="s">
        <v>104</v>
      </c>
      <c r="L459" s="18">
        <f t="shared" si="7"/>
        <v>1136000</v>
      </c>
      <c r="M459" s="108"/>
      <c r="N459" s="85"/>
    </row>
    <row r="460" ht="15.75" customHeight="1">
      <c r="A460" s="10" t="s">
        <v>4837</v>
      </c>
      <c r="B460" s="10" t="s">
        <v>2946</v>
      </c>
      <c r="C460" s="64" t="s">
        <v>2947</v>
      </c>
      <c r="D460" s="64" t="s">
        <v>4523</v>
      </c>
      <c r="E460" s="20" t="s">
        <v>4838</v>
      </c>
      <c r="F460" s="64" t="s">
        <v>4829</v>
      </c>
      <c r="G460" s="64">
        <v>5.0</v>
      </c>
      <c r="H460" s="111">
        <v>142000.0</v>
      </c>
      <c r="I460" s="85"/>
      <c r="J460" s="10" t="s">
        <v>377</v>
      </c>
      <c r="K460" s="10" t="s">
        <v>104</v>
      </c>
      <c r="L460" s="18">
        <f t="shared" si="7"/>
        <v>710000</v>
      </c>
      <c r="M460" s="108"/>
      <c r="N460" s="85"/>
    </row>
    <row r="461" ht="15.75" customHeight="1">
      <c r="A461" s="10" t="s">
        <v>4839</v>
      </c>
      <c r="B461" s="10" t="s">
        <v>2959</v>
      </c>
      <c r="C461" s="64" t="s">
        <v>3057</v>
      </c>
      <c r="D461" s="64" t="s">
        <v>4523</v>
      </c>
      <c r="E461" s="20" t="s">
        <v>4840</v>
      </c>
      <c r="F461" s="64" t="s">
        <v>4829</v>
      </c>
      <c r="G461" s="64">
        <v>3.0</v>
      </c>
      <c r="H461" s="111">
        <v>142000.0</v>
      </c>
      <c r="I461" s="85"/>
      <c r="J461" s="10" t="s">
        <v>377</v>
      </c>
      <c r="K461" s="10" t="s">
        <v>104</v>
      </c>
      <c r="L461" s="18">
        <f t="shared" si="7"/>
        <v>426000</v>
      </c>
      <c r="M461" s="108"/>
      <c r="N461" s="85"/>
    </row>
    <row r="462" ht="15.75" customHeight="1">
      <c r="A462" s="10" t="s">
        <v>4841</v>
      </c>
      <c r="B462" s="10" t="s">
        <v>3045</v>
      </c>
      <c r="C462" s="64" t="s">
        <v>3046</v>
      </c>
      <c r="D462" s="64" t="s">
        <v>4523</v>
      </c>
      <c r="E462" s="64" t="s">
        <v>3018</v>
      </c>
      <c r="F462" s="64" t="s">
        <v>4829</v>
      </c>
      <c r="G462" s="64">
        <v>5.0</v>
      </c>
      <c r="H462" s="111">
        <v>147000.0</v>
      </c>
      <c r="I462" s="85"/>
      <c r="J462" s="20" t="s">
        <v>4842</v>
      </c>
      <c r="K462" s="10" t="s">
        <v>104</v>
      </c>
      <c r="L462" s="18">
        <f t="shared" si="7"/>
        <v>735000</v>
      </c>
      <c r="M462" s="108"/>
      <c r="N462" s="85"/>
    </row>
    <row r="463" ht="15.75" customHeight="1">
      <c r="A463" s="10" t="s">
        <v>4843</v>
      </c>
      <c r="B463" s="10" t="s">
        <v>3070</v>
      </c>
      <c r="C463" s="64" t="s">
        <v>3071</v>
      </c>
      <c r="D463" s="64" t="s">
        <v>4523</v>
      </c>
      <c r="E463" s="64" t="s">
        <v>4591</v>
      </c>
      <c r="F463" s="64" t="s">
        <v>4750</v>
      </c>
      <c r="G463" s="64">
        <v>2.0</v>
      </c>
      <c r="H463" s="111">
        <v>147000.0</v>
      </c>
      <c r="I463" s="85"/>
      <c r="J463" s="20" t="s">
        <v>4842</v>
      </c>
      <c r="K463" s="10" t="s">
        <v>104</v>
      </c>
      <c r="L463" s="18">
        <f t="shared" si="7"/>
        <v>294000</v>
      </c>
      <c r="M463" s="108"/>
      <c r="N463" s="85"/>
    </row>
    <row r="464" ht="15.75" customHeight="1">
      <c r="A464" s="10" t="s">
        <v>4844</v>
      </c>
      <c r="B464" s="10" t="s">
        <v>2988</v>
      </c>
      <c r="C464" s="13" t="str">
        <f t="array" ref="C464">IFERROR(INDEX('간병신청대장'!$B:$B,MATCH($B464,'간병신청대장'!$A:$A,0)),"")</f>
        <v>예선옥</v>
      </c>
      <c r="D464" s="64" t="s">
        <v>4376</v>
      </c>
      <c r="E464" s="20" t="s">
        <v>4424</v>
      </c>
      <c r="F464" s="20" t="s">
        <v>4424</v>
      </c>
      <c r="G464" s="64">
        <v>5.0</v>
      </c>
      <c r="H464" s="111">
        <v>147000.0</v>
      </c>
      <c r="I464" s="85"/>
      <c r="J464" s="20" t="s">
        <v>4842</v>
      </c>
      <c r="K464" s="10" t="s">
        <v>104</v>
      </c>
      <c r="L464" s="18">
        <f t="shared" si="7"/>
        <v>735000</v>
      </c>
      <c r="M464" s="108"/>
      <c r="N464" s="85"/>
    </row>
    <row r="465" ht="15.75" customHeight="1">
      <c r="A465" s="10" t="s">
        <v>4845</v>
      </c>
      <c r="B465" s="10" t="s">
        <v>2959</v>
      </c>
      <c r="C465" s="64" t="s">
        <v>2960</v>
      </c>
      <c r="D465" s="64" t="s">
        <v>4376</v>
      </c>
      <c r="E465" s="20" t="s">
        <v>2972</v>
      </c>
      <c r="F465" s="20" t="s">
        <v>4846</v>
      </c>
      <c r="G465" s="64">
        <v>3.0</v>
      </c>
      <c r="H465" s="111">
        <v>147000.0</v>
      </c>
      <c r="I465" s="85"/>
      <c r="J465" s="20" t="s">
        <v>4842</v>
      </c>
      <c r="K465" s="10" t="s">
        <v>104</v>
      </c>
      <c r="L465" s="18">
        <f t="shared" si="7"/>
        <v>441000</v>
      </c>
      <c r="M465" s="108"/>
      <c r="N465" s="85"/>
    </row>
    <row r="466" ht="15.75" customHeight="1">
      <c r="A466" s="10" t="s">
        <v>4847</v>
      </c>
      <c r="B466" s="10" t="s">
        <v>3010</v>
      </c>
      <c r="C466" s="64" t="s">
        <v>3011</v>
      </c>
      <c r="D466" s="64" t="s">
        <v>4376</v>
      </c>
      <c r="E466" s="20" t="s">
        <v>4848</v>
      </c>
      <c r="F466" s="64" t="s">
        <v>4829</v>
      </c>
      <c r="G466" s="64">
        <v>7.0</v>
      </c>
      <c r="H466" s="111">
        <v>147000.0</v>
      </c>
      <c r="I466" s="85"/>
      <c r="J466" s="20" t="s">
        <v>4842</v>
      </c>
      <c r="K466" s="10" t="s">
        <v>104</v>
      </c>
      <c r="L466" s="18">
        <f t="shared" si="7"/>
        <v>1029000</v>
      </c>
      <c r="M466" s="108"/>
      <c r="N466" s="83" t="s">
        <v>4682</v>
      </c>
    </row>
    <row r="467" ht="15.75" customHeight="1">
      <c r="A467" s="10" t="s">
        <v>4849</v>
      </c>
      <c r="B467" s="10" t="s">
        <v>1090</v>
      </c>
      <c r="C467" s="64" t="s">
        <v>3157</v>
      </c>
      <c r="D467" s="64" t="s">
        <v>4523</v>
      </c>
      <c r="E467" s="20" t="s">
        <v>3162</v>
      </c>
      <c r="F467" s="64" t="s">
        <v>4750</v>
      </c>
      <c r="G467" s="64">
        <v>2.0</v>
      </c>
      <c r="H467" s="111">
        <v>147000.0</v>
      </c>
      <c r="I467" s="85"/>
      <c r="J467" s="20" t="s">
        <v>4842</v>
      </c>
      <c r="K467" s="10" t="s">
        <v>104</v>
      </c>
      <c r="L467" s="18">
        <f t="shared" si="7"/>
        <v>294000</v>
      </c>
      <c r="M467" s="108"/>
      <c r="N467" s="85"/>
    </row>
    <row r="468" ht="15.75" customHeight="1">
      <c r="A468" s="10" t="s">
        <v>4850</v>
      </c>
      <c r="B468" s="10" t="s">
        <v>3005</v>
      </c>
      <c r="C468" s="64" t="s">
        <v>3006</v>
      </c>
      <c r="D468" s="64" t="s">
        <v>4523</v>
      </c>
      <c r="E468" s="20" t="s">
        <v>4424</v>
      </c>
      <c r="F468" s="20" t="s">
        <v>4607</v>
      </c>
      <c r="G468" s="64">
        <v>3.0</v>
      </c>
      <c r="H468" s="111">
        <v>147000.0</v>
      </c>
      <c r="I468" s="85"/>
      <c r="J468" s="20" t="s">
        <v>4842</v>
      </c>
      <c r="K468" s="10" t="s">
        <v>104</v>
      </c>
      <c r="L468" s="18">
        <f t="shared" si="7"/>
        <v>441000</v>
      </c>
      <c r="M468" s="108"/>
      <c r="N468" s="85"/>
    </row>
    <row r="469" ht="15.75" customHeight="1">
      <c r="A469" s="10" t="s">
        <v>4851</v>
      </c>
      <c r="B469" s="68" t="s">
        <v>2644</v>
      </c>
      <c r="C469" s="69" t="s">
        <v>2867</v>
      </c>
      <c r="D469" s="64" t="s">
        <v>4523</v>
      </c>
      <c r="E469" s="20" t="s">
        <v>3119</v>
      </c>
      <c r="F469" s="64" t="s">
        <v>4852</v>
      </c>
      <c r="G469" s="64">
        <v>7.0</v>
      </c>
      <c r="H469" s="111">
        <v>142000.0</v>
      </c>
      <c r="I469" s="85"/>
      <c r="J469" s="10" t="s">
        <v>377</v>
      </c>
      <c r="K469" s="10" t="s">
        <v>104</v>
      </c>
      <c r="L469" s="18">
        <f t="shared" si="7"/>
        <v>994000</v>
      </c>
      <c r="M469" s="108"/>
      <c r="N469" s="85"/>
    </row>
    <row r="470" ht="15.75" customHeight="1">
      <c r="A470" s="10" t="s">
        <v>4853</v>
      </c>
      <c r="B470" s="10" t="s">
        <v>1036</v>
      </c>
      <c r="C470" s="13" t="str">
        <f t="array" ref="C470">IFERROR(INDEX('간병신청대장'!$B:$B,MATCH($B470,'간병신청대장'!$A:$A,0)),"")</f>
        <v>최경희</v>
      </c>
      <c r="D470" s="64" t="s">
        <v>4523</v>
      </c>
      <c r="E470" s="20" t="s">
        <v>4600</v>
      </c>
      <c r="F470" s="20" t="s">
        <v>4600</v>
      </c>
      <c r="G470" s="64">
        <v>10.0</v>
      </c>
      <c r="H470" s="111">
        <v>142000.0</v>
      </c>
      <c r="I470" s="85"/>
      <c r="J470" s="10" t="s">
        <v>377</v>
      </c>
      <c r="K470" s="10" t="s">
        <v>104</v>
      </c>
      <c r="L470" s="18">
        <f t="shared" si="7"/>
        <v>1420000</v>
      </c>
      <c r="M470" s="108"/>
      <c r="N470" s="85"/>
    </row>
    <row r="471" ht="15.75" customHeight="1">
      <c r="A471" s="10" t="s">
        <v>4854</v>
      </c>
      <c r="B471" s="10" t="s">
        <v>1090</v>
      </c>
      <c r="C471" s="13" t="str">
        <f t="array" ref="C471">IFERROR(INDEX('간병신청대장'!$B:$B,MATCH($B471,'간병신청대장'!$A:$A,0)),"")</f>
        <v>지영희</v>
      </c>
      <c r="D471" s="64" t="s">
        <v>4523</v>
      </c>
      <c r="E471" s="20" t="s">
        <v>4600</v>
      </c>
      <c r="F471" s="20" t="s">
        <v>4600</v>
      </c>
      <c r="G471" s="64">
        <v>10.0</v>
      </c>
      <c r="H471" s="111">
        <v>142000.0</v>
      </c>
      <c r="I471" s="85"/>
      <c r="J471" s="10" t="s">
        <v>377</v>
      </c>
      <c r="K471" s="10" t="s">
        <v>104</v>
      </c>
      <c r="L471" s="18">
        <f t="shared" si="7"/>
        <v>1420000</v>
      </c>
      <c r="M471" s="108"/>
      <c r="N471" s="85"/>
    </row>
    <row r="472" ht="15.75" customHeight="1">
      <c r="A472" s="10" t="s">
        <v>4856</v>
      </c>
      <c r="B472" s="10" t="s">
        <v>1551</v>
      </c>
      <c r="C472" s="13" t="str">
        <f t="array" ref="C472">IFERROR(INDEX('간병신청대장'!$B:$B,MATCH($B472,'간병신청대장'!$A:$A,0)),"")</f>
        <v>이재철</v>
      </c>
      <c r="D472" s="64" t="s">
        <v>4523</v>
      </c>
      <c r="E472" s="20" t="s">
        <v>4600</v>
      </c>
      <c r="F472" s="20" t="s">
        <v>4600</v>
      </c>
      <c r="G472" s="64">
        <v>10.0</v>
      </c>
      <c r="H472" s="111">
        <v>142000.0</v>
      </c>
      <c r="I472" s="85"/>
      <c r="J472" s="10" t="s">
        <v>377</v>
      </c>
      <c r="K472" s="10" t="s">
        <v>104</v>
      </c>
      <c r="L472" s="18">
        <f t="shared" si="7"/>
        <v>1420000</v>
      </c>
      <c r="M472" s="108"/>
      <c r="N472" s="85"/>
    </row>
    <row r="473" ht="15.75" customHeight="1">
      <c r="A473" s="10" t="s">
        <v>4857</v>
      </c>
      <c r="B473" s="10" t="s">
        <v>1888</v>
      </c>
      <c r="C473" s="13" t="str">
        <f t="array" ref="C473">IFERROR(INDEX('간병신청대장'!$B:$B,MATCH($B473,'간병신청대장'!$A:$A,0)),"")</f>
        <v>유수분</v>
      </c>
      <c r="D473" s="64" t="s">
        <v>4523</v>
      </c>
      <c r="E473" s="20" t="s">
        <v>4600</v>
      </c>
      <c r="F473" s="20" t="s">
        <v>4600</v>
      </c>
      <c r="G473" s="64">
        <v>10.0</v>
      </c>
      <c r="H473" s="111">
        <v>142000.0</v>
      </c>
      <c r="I473" s="85"/>
      <c r="J473" s="10" t="s">
        <v>377</v>
      </c>
      <c r="K473" s="10" t="s">
        <v>104</v>
      </c>
      <c r="L473" s="18">
        <f t="shared" si="7"/>
        <v>1420000</v>
      </c>
      <c r="M473" s="108"/>
      <c r="N473" s="85"/>
    </row>
    <row r="474" ht="15.75" customHeight="1">
      <c r="A474" s="10" t="s">
        <v>4858</v>
      </c>
      <c r="B474" s="10" t="s">
        <v>2091</v>
      </c>
      <c r="C474" s="13" t="str">
        <f t="array" ref="C474">IFERROR(INDEX('간병신청대장'!$B:$B,MATCH($B474,'간병신청대장'!$A:$A,0)),"")</f>
        <v>홍정숙</v>
      </c>
      <c r="D474" s="64" t="s">
        <v>4523</v>
      </c>
      <c r="E474" s="20" t="s">
        <v>4600</v>
      </c>
      <c r="F474" s="20" t="s">
        <v>4600</v>
      </c>
      <c r="G474" s="64">
        <v>10.0</v>
      </c>
      <c r="H474" s="111">
        <v>142000.0</v>
      </c>
      <c r="I474" s="85"/>
      <c r="J474" s="10" t="s">
        <v>377</v>
      </c>
      <c r="K474" s="10" t="s">
        <v>104</v>
      </c>
      <c r="L474" s="18">
        <f t="shared" si="7"/>
        <v>1420000</v>
      </c>
      <c r="M474" s="108"/>
      <c r="N474" s="85"/>
    </row>
    <row r="475" ht="15.75" customHeight="1">
      <c r="A475" s="10" t="s">
        <v>4859</v>
      </c>
      <c r="B475" s="10" t="s">
        <v>2214</v>
      </c>
      <c r="C475" s="13" t="str">
        <f t="array" ref="C475">IFERROR(INDEX('간병신청대장'!$B:$B,MATCH($B475,'간병신청대장'!$A:$A,0)),"")</f>
        <v>유승백</v>
      </c>
      <c r="D475" s="64" t="s">
        <v>4523</v>
      </c>
      <c r="E475" s="20" t="s">
        <v>4600</v>
      </c>
      <c r="F475" s="20" t="s">
        <v>4600</v>
      </c>
      <c r="G475" s="64">
        <v>10.0</v>
      </c>
      <c r="H475" s="111">
        <v>142000.0</v>
      </c>
      <c r="I475" s="85"/>
      <c r="J475" s="10" t="s">
        <v>377</v>
      </c>
      <c r="K475" s="10" t="s">
        <v>104</v>
      </c>
      <c r="L475" s="18">
        <f t="shared" si="7"/>
        <v>1420000</v>
      </c>
      <c r="M475" s="108"/>
      <c r="N475" s="85"/>
    </row>
    <row r="476" ht="15.75" customHeight="1">
      <c r="A476" s="10" t="s">
        <v>4860</v>
      </c>
      <c r="B476" s="10" t="s">
        <v>2347</v>
      </c>
      <c r="C476" s="13" t="str">
        <f t="array" ref="C476">IFERROR(INDEX('간병신청대장'!$B:$B,MATCH($B476,'간병신청대장'!$A:$A,0)),"")</f>
        <v>박정란</v>
      </c>
      <c r="D476" s="64" t="s">
        <v>4523</v>
      </c>
      <c r="E476" s="20" t="s">
        <v>4600</v>
      </c>
      <c r="F476" s="20" t="s">
        <v>4600</v>
      </c>
      <c r="G476" s="64">
        <v>10.0</v>
      </c>
      <c r="H476" s="111">
        <v>142000.0</v>
      </c>
      <c r="I476" s="85"/>
      <c r="J476" s="10" t="s">
        <v>377</v>
      </c>
      <c r="K476" s="10" t="s">
        <v>104</v>
      </c>
      <c r="L476" s="18">
        <f t="shared" si="7"/>
        <v>1420000</v>
      </c>
      <c r="M476" s="108"/>
      <c r="N476" s="85"/>
    </row>
    <row r="477" ht="15.75" customHeight="1">
      <c r="A477" s="10" t="s">
        <v>4861</v>
      </c>
      <c r="B477" s="10" t="s">
        <v>2631</v>
      </c>
      <c r="C477" s="13" t="str">
        <f t="array" ref="C477">IFERROR(INDEX('간병신청대장'!$B:$B,MATCH($B477,'간병신청대장'!$A:$A,0)),"")</f>
        <v>강종미</v>
      </c>
      <c r="D477" s="64" t="s">
        <v>4523</v>
      </c>
      <c r="E477" s="20" t="s">
        <v>4698</v>
      </c>
      <c r="F477" s="20" t="s">
        <v>4698</v>
      </c>
      <c r="G477" s="64">
        <v>11.0</v>
      </c>
      <c r="H477" s="111">
        <v>142000.0</v>
      </c>
      <c r="I477" s="85"/>
      <c r="J477" s="10" t="s">
        <v>377</v>
      </c>
      <c r="K477" s="10" t="s">
        <v>104</v>
      </c>
      <c r="L477" s="18">
        <f t="shared" si="7"/>
        <v>1562000</v>
      </c>
      <c r="M477" s="108"/>
      <c r="N477" s="83" t="s">
        <v>464</v>
      </c>
    </row>
    <row r="478" ht="15.75" customHeight="1">
      <c r="A478" s="10" t="s">
        <v>4862</v>
      </c>
      <c r="B478" s="10" t="s">
        <v>2232</v>
      </c>
      <c r="C478" s="13" t="str">
        <f t="array" ref="C478">IFERROR(INDEX('간병신청대장'!$B:$B,MATCH($B478,'간병신청대장'!$A:$A,0)),"")</f>
        <v>김철재</v>
      </c>
      <c r="D478" s="64" t="s">
        <v>4523</v>
      </c>
      <c r="E478" s="20" t="s">
        <v>4600</v>
      </c>
      <c r="F478" s="20" t="s">
        <v>4600</v>
      </c>
      <c r="G478" s="64">
        <v>10.0</v>
      </c>
      <c r="H478" s="111">
        <v>142000.0</v>
      </c>
      <c r="I478" s="85"/>
      <c r="J478" s="10" t="s">
        <v>377</v>
      </c>
      <c r="K478" s="10" t="s">
        <v>104</v>
      </c>
      <c r="L478" s="18">
        <f t="shared" si="7"/>
        <v>1420000</v>
      </c>
      <c r="M478" s="108"/>
      <c r="N478" s="83"/>
    </row>
    <row r="479" ht="15.75" customHeight="1">
      <c r="A479" s="10" t="s">
        <v>4863</v>
      </c>
      <c r="B479" s="10" t="s">
        <v>2988</v>
      </c>
      <c r="C479" s="64" t="s">
        <v>2989</v>
      </c>
      <c r="D479" s="64" t="s">
        <v>4523</v>
      </c>
      <c r="E479" s="20" t="s">
        <v>4600</v>
      </c>
      <c r="F479" s="20" t="s">
        <v>4600</v>
      </c>
      <c r="G479" s="64">
        <v>10.0</v>
      </c>
      <c r="H479" s="111">
        <v>147000.0</v>
      </c>
      <c r="I479" s="85"/>
      <c r="J479" s="20" t="s">
        <v>4842</v>
      </c>
      <c r="K479" s="10" t="s">
        <v>104</v>
      </c>
      <c r="L479" s="18">
        <f t="shared" si="7"/>
        <v>1470000</v>
      </c>
      <c r="M479" s="108"/>
      <c r="N479" s="83" t="s">
        <v>109</v>
      </c>
    </row>
    <row r="480" ht="15.75" customHeight="1">
      <c r="A480" s="10" t="s">
        <v>4864</v>
      </c>
      <c r="B480" s="10" t="s">
        <v>3005</v>
      </c>
      <c r="C480" s="64" t="s">
        <v>3006</v>
      </c>
      <c r="D480" s="64" t="s">
        <v>4523</v>
      </c>
      <c r="E480" s="20" t="s">
        <v>4600</v>
      </c>
      <c r="F480" s="20" t="s">
        <v>4600</v>
      </c>
      <c r="G480" s="64">
        <v>10.0</v>
      </c>
      <c r="H480" s="111">
        <v>147000.0</v>
      </c>
      <c r="I480" s="85"/>
      <c r="J480" s="20" t="s">
        <v>4842</v>
      </c>
      <c r="K480" s="10" t="s">
        <v>104</v>
      </c>
      <c r="L480" s="18">
        <f t="shared" si="7"/>
        <v>1470000</v>
      </c>
      <c r="M480" s="108"/>
      <c r="N480" s="83" t="s">
        <v>109</v>
      </c>
    </row>
    <row r="481" ht="15.75" customHeight="1">
      <c r="A481" s="10" t="s">
        <v>4865</v>
      </c>
      <c r="B481" s="10" t="s">
        <v>1079</v>
      </c>
      <c r="C481" s="20" t="s">
        <v>3148</v>
      </c>
      <c r="D481" s="64" t="s">
        <v>4523</v>
      </c>
      <c r="E481" s="20" t="s">
        <v>3153</v>
      </c>
      <c r="F481" s="64" t="s">
        <v>4852</v>
      </c>
      <c r="G481" s="64">
        <v>3.0</v>
      </c>
      <c r="H481" s="111">
        <v>147000.0</v>
      </c>
      <c r="I481" s="85"/>
      <c r="J481" s="20" t="s">
        <v>4842</v>
      </c>
      <c r="K481" s="10" t="s">
        <v>104</v>
      </c>
      <c r="L481" s="18">
        <f t="shared" si="7"/>
        <v>441000</v>
      </c>
      <c r="M481" s="108"/>
      <c r="N481" s="83" t="s">
        <v>109</v>
      </c>
    </row>
    <row r="482" ht="15.75" customHeight="1">
      <c r="A482" s="10" t="s">
        <v>4866</v>
      </c>
      <c r="B482" s="10" t="s">
        <v>3185</v>
      </c>
      <c r="C482" s="64" t="s">
        <v>3186</v>
      </c>
      <c r="D482" s="64" t="s">
        <v>4523</v>
      </c>
      <c r="E482" s="20" t="s">
        <v>4600</v>
      </c>
      <c r="F482" s="20" t="s">
        <v>4698</v>
      </c>
      <c r="G482" s="64">
        <v>3.0</v>
      </c>
      <c r="H482" s="111">
        <v>147000.0</v>
      </c>
      <c r="I482" s="85"/>
      <c r="J482" s="20" t="s">
        <v>4842</v>
      </c>
      <c r="K482" s="10" t="s">
        <v>104</v>
      </c>
      <c r="L482" s="18">
        <f t="shared" si="7"/>
        <v>441000</v>
      </c>
      <c r="M482" s="108"/>
      <c r="N482" s="83" t="s">
        <v>109</v>
      </c>
    </row>
    <row r="483" ht="15.75" customHeight="1">
      <c r="A483" s="10" t="s">
        <v>4867</v>
      </c>
      <c r="B483" s="10" t="s">
        <v>3192</v>
      </c>
      <c r="C483" s="64" t="s">
        <v>3193</v>
      </c>
      <c r="D483" s="64" t="s">
        <v>4523</v>
      </c>
      <c r="E483" s="20" t="s">
        <v>4600</v>
      </c>
      <c r="F483" s="20" t="s">
        <v>4698</v>
      </c>
      <c r="G483" s="64">
        <v>3.0</v>
      </c>
      <c r="H483" s="111">
        <v>147000.0</v>
      </c>
      <c r="I483" s="85"/>
      <c r="J483" s="20" t="s">
        <v>4842</v>
      </c>
      <c r="K483" s="10" t="s">
        <v>104</v>
      </c>
      <c r="L483" s="18">
        <f t="shared" si="7"/>
        <v>441000</v>
      </c>
      <c r="M483" s="108"/>
      <c r="N483" s="83" t="s">
        <v>109</v>
      </c>
    </row>
    <row r="484" ht="15.75" customHeight="1">
      <c r="A484" s="10" t="s">
        <v>4868</v>
      </c>
      <c r="B484" s="10" t="s">
        <v>3204</v>
      </c>
      <c r="C484" s="64" t="s">
        <v>3205</v>
      </c>
      <c r="D484" s="64" t="s">
        <v>4523</v>
      </c>
      <c r="E484" s="20" t="s">
        <v>4600</v>
      </c>
      <c r="F484" s="20" t="s">
        <v>4698</v>
      </c>
      <c r="G484" s="64">
        <v>2.0</v>
      </c>
      <c r="H484" s="111">
        <v>147000.0</v>
      </c>
      <c r="I484" s="85"/>
      <c r="J484" s="20" t="s">
        <v>4842</v>
      </c>
      <c r="K484" s="10" t="s">
        <v>104</v>
      </c>
      <c r="L484" s="18">
        <f t="shared" si="7"/>
        <v>294000</v>
      </c>
      <c r="M484" s="108"/>
      <c r="N484" s="83" t="s">
        <v>109</v>
      </c>
    </row>
    <row r="485" ht="15.75" customHeight="1">
      <c r="A485" s="10" t="s">
        <v>4869</v>
      </c>
      <c r="B485" s="10" t="s">
        <v>3212</v>
      </c>
      <c r="C485" s="64" t="s">
        <v>3213</v>
      </c>
      <c r="D485" s="64" t="s">
        <v>4523</v>
      </c>
      <c r="E485" s="20" t="s">
        <v>4600</v>
      </c>
      <c r="F485" s="20" t="s">
        <v>4698</v>
      </c>
      <c r="G485" s="64">
        <v>2.0</v>
      </c>
      <c r="H485" s="111">
        <v>147000.0</v>
      </c>
      <c r="I485" s="85"/>
      <c r="J485" s="20" t="s">
        <v>4842</v>
      </c>
      <c r="K485" s="10" t="s">
        <v>104</v>
      </c>
      <c r="L485" s="18">
        <f t="shared" si="7"/>
        <v>294000</v>
      </c>
      <c r="M485" s="108"/>
      <c r="N485" s="83" t="s">
        <v>109</v>
      </c>
    </row>
    <row r="486" ht="15.75" customHeight="1">
      <c r="A486" s="10" t="s">
        <v>4870</v>
      </c>
      <c r="B486" s="10" t="s">
        <v>3221</v>
      </c>
      <c r="C486" s="13" t="s">
        <v>3222</v>
      </c>
      <c r="D486" s="64" t="s">
        <v>4523</v>
      </c>
      <c r="E486" s="20" t="s">
        <v>4698</v>
      </c>
      <c r="F486" s="20" t="s">
        <v>4698</v>
      </c>
      <c r="G486" s="64">
        <v>3.0</v>
      </c>
      <c r="H486" s="111">
        <v>142000.0</v>
      </c>
      <c r="I486" s="85"/>
      <c r="J486" s="10" t="s">
        <v>377</v>
      </c>
      <c r="K486" s="10" t="s">
        <v>104</v>
      </c>
      <c r="L486" s="18">
        <f t="shared" si="7"/>
        <v>426000</v>
      </c>
      <c r="M486" s="108"/>
      <c r="N486" s="85"/>
    </row>
    <row r="487" ht="15.75" customHeight="1">
      <c r="A487" s="10" t="s">
        <v>4871</v>
      </c>
      <c r="B487" s="10" t="s">
        <v>3197</v>
      </c>
      <c r="C487" s="64" t="s">
        <v>378</v>
      </c>
      <c r="D487" s="64" t="s">
        <v>4523</v>
      </c>
      <c r="E487" s="20" t="s">
        <v>4600</v>
      </c>
      <c r="F487" s="20" t="s">
        <v>4698</v>
      </c>
      <c r="G487" s="64">
        <v>3.0</v>
      </c>
      <c r="H487" s="111">
        <v>142000.0</v>
      </c>
      <c r="I487" s="85"/>
      <c r="J487" s="10" t="s">
        <v>377</v>
      </c>
      <c r="K487" s="10" t="s">
        <v>104</v>
      </c>
      <c r="L487" s="18">
        <f t="shared" si="7"/>
        <v>426000</v>
      </c>
      <c r="M487" s="108"/>
      <c r="N487" s="85"/>
    </row>
    <row r="488" ht="15.75" customHeight="1">
      <c r="A488" s="85"/>
      <c r="B488" s="85"/>
      <c r="C488" s="65"/>
      <c r="D488" s="85"/>
      <c r="E488" s="85"/>
      <c r="F488" s="65"/>
      <c r="G488" s="65"/>
      <c r="H488" s="85"/>
      <c r="I488" s="85"/>
      <c r="J488" s="85"/>
      <c r="K488" s="85"/>
      <c r="L488" s="85"/>
      <c r="M488" s="108"/>
      <c r="N488" s="85"/>
    </row>
    <row r="489" ht="15.75" customHeight="1">
      <c r="A489" s="85"/>
      <c r="B489" s="85"/>
      <c r="C489" s="65"/>
      <c r="D489" s="85"/>
      <c r="E489" s="85"/>
      <c r="F489" s="65"/>
      <c r="G489" s="65"/>
      <c r="H489" s="85"/>
      <c r="I489" s="85"/>
      <c r="J489" s="85"/>
      <c r="K489" s="85"/>
      <c r="L489" s="85"/>
      <c r="M489" s="108"/>
      <c r="N489" s="85"/>
    </row>
    <row r="490" ht="15.75" customHeight="1">
      <c r="A490" s="85"/>
      <c r="B490" s="85"/>
      <c r="C490" s="65"/>
      <c r="D490" s="85"/>
      <c r="E490" s="85"/>
      <c r="F490" s="65"/>
      <c r="G490" s="65"/>
      <c r="H490" s="85"/>
      <c r="I490" s="85"/>
      <c r="J490" s="85"/>
      <c r="K490" s="85"/>
      <c r="L490" s="85"/>
      <c r="M490" s="108"/>
      <c r="N490" s="85"/>
    </row>
    <row r="491" ht="15.75" customHeight="1">
      <c r="A491" s="85"/>
      <c r="B491" s="85"/>
      <c r="C491" s="65"/>
      <c r="D491" s="85"/>
      <c r="E491" s="85"/>
      <c r="F491" s="65"/>
      <c r="G491" s="65"/>
      <c r="H491" s="85"/>
      <c r="I491" s="85"/>
      <c r="J491" s="85"/>
      <c r="K491" s="85"/>
      <c r="L491" s="85"/>
      <c r="M491" s="108"/>
      <c r="N491" s="85"/>
    </row>
    <row r="492" ht="15.75" customHeight="1">
      <c r="A492" s="85"/>
      <c r="B492" s="85"/>
      <c r="C492" s="65"/>
      <c r="D492" s="85"/>
      <c r="E492" s="85"/>
      <c r="F492" s="65"/>
      <c r="G492" s="65"/>
      <c r="H492" s="85"/>
      <c r="I492" s="85"/>
      <c r="J492" s="85"/>
      <c r="K492" s="85"/>
      <c r="L492" s="85"/>
      <c r="M492" s="108"/>
      <c r="N492" s="85"/>
    </row>
    <row r="493" ht="15.75" customHeight="1">
      <c r="A493" s="85"/>
      <c r="B493" s="85"/>
      <c r="C493" s="65"/>
      <c r="D493" s="85"/>
      <c r="E493" s="85"/>
      <c r="F493" s="65"/>
      <c r="G493" s="65"/>
      <c r="H493" s="85"/>
      <c r="I493" s="85"/>
      <c r="J493" s="85"/>
      <c r="K493" s="85"/>
      <c r="L493" s="85"/>
      <c r="M493" s="108"/>
      <c r="N493" s="85"/>
    </row>
    <row r="494" ht="15.75" customHeight="1">
      <c r="A494" s="85"/>
      <c r="B494" s="85"/>
      <c r="C494" s="65"/>
      <c r="D494" s="85"/>
      <c r="E494" s="85"/>
      <c r="F494" s="65"/>
      <c r="G494" s="65"/>
      <c r="H494" s="85"/>
      <c r="I494" s="85"/>
      <c r="J494" s="85"/>
      <c r="K494" s="85"/>
      <c r="L494" s="85"/>
      <c r="M494" s="108"/>
      <c r="N494" s="85"/>
    </row>
    <row r="495" ht="15.75" customHeight="1">
      <c r="A495" s="85"/>
      <c r="B495" s="85"/>
      <c r="C495" s="65"/>
      <c r="D495" s="85"/>
      <c r="E495" s="85"/>
      <c r="F495" s="65"/>
      <c r="G495" s="65"/>
      <c r="H495" s="85"/>
      <c r="I495" s="85"/>
      <c r="J495" s="85"/>
      <c r="K495" s="85"/>
      <c r="L495" s="85"/>
      <c r="M495" s="108"/>
      <c r="N495" s="85"/>
    </row>
    <row r="496" ht="15.75" customHeight="1">
      <c r="A496" s="85"/>
      <c r="B496" s="85"/>
      <c r="C496" s="65"/>
      <c r="D496" s="85"/>
      <c r="E496" s="85"/>
      <c r="F496" s="65"/>
      <c r="G496" s="65"/>
      <c r="H496" s="85"/>
      <c r="I496" s="85"/>
      <c r="J496" s="85"/>
      <c r="K496" s="85"/>
      <c r="L496" s="85"/>
      <c r="M496" s="108"/>
      <c r="N496" s="85"/>
    </row>
    <row r="497" ht="15.75" customHeight="1">
      <c r="A497" s="85"/>
      <c r="B497" s="85"/>
      <c r="C497" s="65"/>
      <c r="D497" s="85"/>
      <c r="E497" s="85"/>
      <c r="F497" s="65"/>
      <c r="G497" s="65"/>
      <c r="H497" s="85"/>
      <c r="I497" s="85"/>
      <c r="J497" s="85"/>
      <c r="K497" s="85"/>
      <c r="L497" s="85"/>
      <c r="M497" s="108"/>
      <c r="N497" s="85"/>
    </row>
    <row r="498" ht="15.75" customHeight="1">
      <c r="A498" s="85"/>
      <c r="B498" s="85"/>
      <c r="C498" s="65"/>
      <c r="D498" s="85"/>
      <c r="E498" s="85"/>
      <c r="F498" s="65"/>
      <c r="G498" s="65"/>
      <c r="H498" s="85"/>
      <c r="I498" s="85"/>
      <c r="J498" s="85"/>
      <c r="K498" s="85"/>
      <c r="L498" s="85"/>
      <c r="M498" s="108"/>
      <c r="N498" s="85"/>
    </row>
    <row r="499" ht="15.75" customHeight="1">
      <c r="A499" s="85"/>
      <c r="B499" s="85"/>
      <c r="C499" s="65"/>
      <c r="D499" s="85"/>
      <c r="E499" s="85"/>
      <c r="F499" s="65"/>
      <c r="G499" s="65"/>
      <c r="H499" s="85"/>
      <c r="I499" s="85"/>
      <c r="J499" s="85"/>
      <c r="K499" s="85"/>
      <c r="L499" s="85"/>
      <c r="M499" s="108"/>
      <c r="N499" s="85"/>
    </row>
    <row r="500" ht="15.75" customHeight="1">
      <c r="A500" s="85"/>
      <c r="B500" s="85"/>
      <c r="C500" s="65"/>
      <c r="D500" s="85"/>
      <c r="E500" s="85"/>
      <c r="F500" s="65"/>
      <c r="G500" s="65"/>
      <c r="H500" s="85"/>
      <c r="I500" s="85"/>
      <c r="J500" s="85"/>
      <c r="K500" s="85"/>
      <c r="L500" s="85"/>
      <c r="M500" s="108"/>
      <c r="N500" s="85"/>
    </row>
    <row r="501" ht="15.75" customHeight="1">
      <c r="A501" s="85"/>
      <c r="B501" s="85"/>
      <c r="C501" s="65"/>
      <c r="D501" s="85"/>
      <c r="E501" s="85"/>
      <c r="F501" s="65"/>
      <c r="G501" s="65"/>
      <c r="H501" s="85"/>
      <c r="I501" s="85"/>
      <c r="J501" s="85"/>
      <c r="K501" s="85"/>
      <c r="L501" s="85"/>
      <c r="M501" s="108"/>
      <c r="N501" s="85"/>
    </row>
    <row r="502" ht="15.75" customHeight="1">
      <c r="A502" s="85"/>
      <c r="B502" s="85"/>
      <c r="C502" s="65"/>
      <c r="D502" s="85"/>
      <c r="E502" s="85"/>
      <c r="F502" s="65"/>
      <c r="G502" s="65"/>
      <c r="H502" s="85"/>
      <c r="I502" s="85"/>
      <c r="J502" s="85"/>
      <c r="K502" s="85"/>
      <c r="L502" s="85"/>
      <c r="M502" s="108"/>
      <c r="N502" s="85"/>
    </row>
    <row r="503" ht="15.75" customHeight="1">
      <c r="A503" s="85"/>
      <c r="B503" s="85"/>
      <c r="C503" s="65"/>
      <c r="D503" s="85"/>
      <c r="E503" s="85"/>
      <c r="F503" s="65"/>
      <c r="G503" s="65"/>
      <c r="H503" s="85"/>
      <c r="I503" s="85"/>
      <c r="J503" s="85"/>
      <c r="K503" s="85"/>
      <c r="L503" s="85"/>
      <c r="M503" s="108"/>
      <c r="N503" s="85"/>
    </row>
    <row r="504" ht="15.75" customHeight="1">
      <c r="A504" s="85"/>
      <c r="B504" s="85"/>
      <c r="C504" s="65"/>
      <c r="D504" s="85"/>
      <c r="E504" s="85"/>
      <c r="F504" s="65"/>
      <c r="G504" s="65"/>
      <c r="H504" s="85"/>
      <c r="I504" s="85"/>
      <c r="J504" s="85"/>
      <c r="K504" s="85"/>
      <c r="L504" s="85"/>
      <c r="M504" s="108"/>
      <c r="N504" s="85"/>
    </row>
    <row r="505" ht="15.75" customHeight="1">
      <c r="A505" s="85"/>
      <c r="B505" s="85"/>
      <c r="C505" s="65"/>
      <c r="D505" s="85"/>
      <c r="E505" s="85"/>
      <c r="F505" s="65"/>
      <c r="G505" s="65"/>
      <c r="H505" s="85"/>
      <c r="I505" s="85"/>
      <c r="J505" s="85"/>
      <c r="K505" s="85"/>
      <c r="L505" s="85"/>
      <c r="M505" s="108"/>
      <c r="N505" s="85"/>
    </row>
    <row r="506" ht="15.75" customHeight="1">
      <c r="A506" s="85"/>
      <c r="B506" s="85"/>
      <c r="C506" s="65"/>
      <c r="D506" s="85"/>
      <c r="E506" s="85"/>
      <c r="F506" s="65"/>
      <c r="G506" s="65"/>
      <c r="H506" s="85"/>
      <c r="I506" s="85"/>
      <c r="J506" s="85"/>
      <c r="K506" s="85"/>
      <c r="L506" s="85"/>
      <c r="M506" s="108"/>
      <c r="N506" s="85"/>
    </row>
    <row r="507" ht="15.75" customHeight="1">
      <c r="A507" s="85"/>
      <c r="B507" s="85"/>
      <c r="C507" s="65"/>
      <c r="D507" s="85"/>
      <c r="E507" s="85"/>
      <c r="F507" s="65"/>
      <c r="G507" s="65"/>
      <c r="H507" s="85"/>
      <c r="I507" s="85"/>
      <c r="J507" s="85"/>
      <c r="K507" s="85"/>
      <c r="L507" s="85"/>
      <c r="M507" s="108"/>
      <c r="N507" s="85"/>
    </row>
    <row r="508" ht="15.75" customHeight="1">
      <c r="A508" s="85"/>
      <c r="B508" s="85"/>
      <c r="C508" s="65"/>
      <c r="D508" s="85"/>
      <c r="E508" s="85"/>
      <c r="F508" s="65"/>
      <c r="G508" s="65"/>
      <c r="H508" s="85"/>
      <c r="I508" s="85"/>
      <c r="J508" s="85"/>
      <c r="K508" s="85"/>
      <c r="L508" s="85"/>
      <c r="M508" s="108"/>
      <c r="N508" s="85"/>
    </row>
    <row r="509" ht="15.75" customHeight="1">
      <c r="A509" s="85"/>
      <c r="B509" s="85"/>
      <c r="C509" s="65"/>
      <c r="D509" s="85"/>
      <c r="E509" s="85"/>
      <c r="F509" s="65"/>
      <c r="G509" s="65"/>
      <c r="H509" s="85"/>
      <c r="I509" s="85"/>
      <c r="J509" s="85"/>
      <c r="K509" s="85"/>
      <c r="L509" s="85"/>
      <c r="M509" s="108"/>
      <c r="N509" s="85"/>
    </row>
    <row r="510" ht="15.75" customHeight="1">
      <c r="A510" s="85"/>
      <c r="B510" s="85"/>
      <c r="C510" s="65"/>
      <c r="D510" s="85"/>
      <c r="E510" s="85"/>
      <c r="F510" s="65"/>
      <c r="G510" s="65"/>
      <c r="H510" s="85"/>
      <c r="I510" s="85"/>
      <c r="J510" s="85"/>
      <c r="K510" s="85"/>
      <c r="L510" s="85"/>
      <c r="M510" s="108"/>
      <c r="N510" s="85"/>
    </row>
    <row r="511" ht="15.75" customHeight="1">
      <c r="A511" s="85"/>
      <c r="B511" s="85"/>
      <c r="C511" s="65"/>
      <c r="D511" s="85"/>
      <c r="E511" s="85"/>
      <c r="F511" s="65"/>
      <c r="G511" s="65"/>
      <c r="H511" s="85"/>
      <c r="I511" s="85"/>
      <c r="J511" s="85"/>
      <c r="K511" s="85"/>
      <c r="L511" s="85"/>
      <c r="M511" s="108"/>
      <c r="N511" s="85"/>
    </row>
    <row r="512" ht="15.75" customHeight="1">
      <c r="A512" s="85"/>
      <c r="B512" s="85"/>
      <c r="C512" s="65"/>
      <c r="D512" s="85"/>
      <c r="E512" s="85"/>
      <c r="F512" s="65"/>
      <c r="G512" s="65"/>
      <c r="H512" s="85"/>
      <c r="I512" s="85"/>
      <c r="J512" s="85"/>
      <c r="K512" s="85"/>
      <c r="L512" s="85"/>
      <c r="M512" s="108"/>
      <c r="N512" s="85"/>
    </row>
    <row r="513" ht="15.75" customHeight="1">
      <c r="A513" s="85"/>
      <c r="B513" s="85"/>
      <c r="C513" s="65"/>
      <c r="D513" s="85"/>
      <c r="E513" s="85"/>
      <c r="F513" s="65"/>
      <c r="G513" s="65"/>
      <c r="H513" s="85"/>
      <c r="I513" s="85"/>
      <c r="J513" s="85"/>
      <c r="K513" s="85"/>
      <c r="L513" s="85"/>
      <c r="M513" s="108"/>
      <c r="N513" s="85"/>
    </row>
    <row r="514" ht="15.75" customHeight="1">
      <c r="A514" s="85"/>
      <c r="B514" s="85"/>
      <c r="C514" s="65"/>
      <c r="D514" s="85"/>
      <c r="E514" s="85"/>
      <c r="F514" s="65"/>
      <c r="G514" s="65"/>
      <c r="H514" s="85"/>
      <c r="I514" s="85"/>
      <c r="J514" s="85"/>
      <c r="K514" s="85"/>
      <c r="L514" s="85"/>
      <c r="M514" s="108"/>
      <c r="N514" s="85"/>
    </row>
    <row r="515" ht="15.75" customHeight="1">
      <c r="A515" s="85"/>
      <c r="B515" s="85"/>
      <c r="C515" s="65"/>
      <c r="D515" s="85"/>
      <c r="E515" s="85"/>
      <c r="F515" s="65"/>
      <c r="G515" s="65"/>
      <c r="H515" s="85"/>
      <c r="I515" s="85"/>
      <c r="J515" s="85"/>
      <c r="K515" s="85"/>
      <c r="L515" s="85"/>
      <c r="M515" s="108"/>
      <c r="N515" s="85"/>
    </row>
    <row r="516" ht="15.75" customHeight="1">
      <c r="A516" s="85"/>
      <c r="B516" s="85"/>
      <c r="C516" s="65"/>
      <c r="D516" s="85"/>
      <c r="E516" s="85"/>
      <c r="F516" s="65"/>
      <c r="G516" s="65"/>
      <c r="H516" s="85"/>
      <c r="I516" s="85"/>
      <c r="J516" s="85"/>
      <c r="K516" s="85"/>
      <c r="L516" s="85"/>
      <c r="M516" s="108"/>
      <c r="N516" s="85"/>
    </row>
    <row r="517" ht="15.75" customHeight="1">
      <c r="A517" s="85"/>
      <c r="B517" s="85"/>
      <c r="C517" s="65"/>
      <c r="D517" s="85"/>
      <c r="E517" s="85"/>
      <c r="F517" s="65"/>
      <c r="G517" s="65"/>
      <c r="H517" s="85"/>
      <c r="I517" s="85"/>
      <c r="J517" s="85"/>
      <c r="K517" s="85"/>
      <c r="L517" s="85"/>
      <c r="M517" s="108"/>
      <c r="N517" s="85"/>
    </row>
    <row r="518" ht="15.75" customHeight="1">
      <c r="A518" s="85"/>
      <c r="B518" s="85"/>
      <c r="C518" s="65"/>
      <c r="D518" s="85"/>
      <c r="E518" s="85"/>
      <c r="F518" s="65"/>
      <c r="G518" s="65"/>
      <c r="H518" s="85"/>
      <c r="I518" s="85"/>
      <c r="J518" s="85"/>
      <c r="K518" s="85"/>
      <c r="L518" s="85"/>
      <c r="M518" s="108"/>
      <c r="N518" s="85"/>
    </row>
    <row r="519" ht="15.75" customHeight="1">
      <c r="A519" s="85"/>
      <c r="B519" s="85"/>
      <c r="C519" s="65"/>
      <c r="D519" s="85"/>
      <c r="E519" s="85"/>
      <c r="F519" s="65"/>
      <c r="G519" s="65"/>
      <c r="H519" s="85"/>
      <c r="I519" s="85"/>
      <c r="J519" s="85"/>
      <c r="K519" s="85"/>
      <c r="L519" s="85"/>
      <c r="M519" s="108"/>
      <c r="N519" s="85"/>
    </row>
    <row r="520" ht="15.75" customHeight="1">
      <c r="A520" s="85"/>
      <c r="B520" s="85"/>
      <c r="C520" s="65"/>
      <c r="D520" s="85"/>
      <c r="E520" s="85"/>
      <c r="F520" s="65"/>
      <c r="G520" s="65"/>
      <c r="H520" s="85"/>
      <c r="I520" s="85"/>
      <c r="J520" s="85"/>
      <c r="K520" s="85"/>
      <c r="L520" s="85"/>
      <c r="M520" s="108"/>
      <c r="N520" s="85"/>
    </row>
    <row r="521" ht="15.75" customHeight="1">
      <c r="A521" s="85"/>
      <c r="B521" s="85"/>
      <c r="C521" s="65"/>
      <c r="D521" s="85"/>
      <c r="E521" s="85"/>
      <c r="F521" s="65"/>
      <c r="G521" s="65"/>
      <c r="H521" s="85"/>
      <c r="I521" s="85"/>
      <c r="J521" s="85"/>
      <c r="K521" s="85"/>
      <c r="L521" s="85"/>
      <c r="M521" s="108"/>
      <c r="N521" s="85"/>
    </row>
    <row r="522" ht="15.75" customHeight="1">
      <c r="A522" s="85"/>
      <c r="B522" s="85"/>
      <c r="C522" s="65"/>
      <c r="D522" s="85"/>
      <c r="E522" s="85"/>
      <c r="F522" s="65"/>
      <c r="G522" s="65"/>
      <c r="H522" s="85"/>
      <c r="I522" s="85"/>
      <c r="J522" s="85"/>
      <c r="K522" s="85"/>
      <c r="L522" s="85"/>
      <c r="M522" s="108"/>
      <c r="N522" s="85"/>
    </row>
    <row r="523" ht="15.75" customHeight="1">
      <c r="A523" s="85"/>
      <c r="B523" s="85"/>
      <c r="C523" s="65"/>
      <c r="D523" s="85"/>
      <c r="E523" s="85"/>
      <c r="F523" s="65"/>
      <c r="G523" s="65"/>
      <c r="H523" s="85"/>
      <c r="I523" s="85"/>
      <c r="J523" s="85"/>
      <c r="K523" s="85"/>
      <c r="L523" s="85"/>
      <c r="M523" s="108"/>
      <c r="N523" s="85"/>
    </row>
    <row r="524" ht="15.75" customHeight="1">
      <c r="A524" s="85"/>
      <c r="B524" s="85"/>
      <c r="C524" s="65"/>
      <c r="D524" s="85"/>
      <c r="E524" s="85"/>
      <c r="F524" s="65"/>
      <c r="G524" s="65"/>
      <c r="H524" s="85"/>
      <c r="I524" s="85"/>
      <c r="J524" s="85"/>
      <c r="K524" s="85"/>
      <c r="L524" s="85"/>
      <c r="M524" s="108"/>
      <c r="N524" s="85"/>
    </row>
    <row r="525" ht="15.75" customHeight="1">
      <c r="A525" s="85"/>
      <c r="B525" s="85"/>
      <c r="C525" s="65"/>
      <c r="D525" s="85"/>
      <c r="E525" s="85"/>
      <c r="F525" s="65"/>
      <c r="G525" s="65"/>
      <c r="H525" s="85"/>
      <c r="I525" s="85"/>
      <c r="J525" s="85"/>
      <c r="K525" s="85"/>
      <c r="L525" s="85"/>
      <c r="M525" s="108"/>
      <c r="N525" s="85"/>
    </row>
    <row r="526" ht="15.75" customHeight="1">
      <c r="A526" s="85"/>
      <c r="B526" s="85"/>
      <c r="C526" s="65"/>
      <c r="D526" s="85"/>
      <c r="E526" s="85"/>
      <c r="F526" s="65"/>
      <c r="G526" s="65"/>
      <c r="H526" s="85"/>
      <c r="I526" s="85"/>
      <c r="J526" s="85"/>
      <c r="K526" s="85"/>
      <c r="L526" s="85"/>
      <c r="M526" s="108"/>
      <c r="N526" s="85"/>
    </row>
    <row r="527" ht="15.75" customHeight="1">
      <c r="A527" s="85"/>
      <c r="B527" s="85"/>
      <c r="C527" s="65"/>
      <c r="D527" s="85"/>
      <c r="E527" s="85"/>
      <c r="F527" s="65"/>
      <c r="G527" s="65"/>
      <c r="H527" s="85"/>
      <c r="I527" s="85"/>
      <c r="J527" s="85"/>
      <c r="K527" s="85"/>
      <c r="L527" s="85"/>
      <c r="M527" s="108"/>
      <c r="N527" s="85"/>
    </row>
    <row r="528" ht="15.75" customHeight="1">
      <c r="A528" s="85"/>
      <c r="B528" s="85"/>
      <c r="C528" s="65"/>
      <c r="D528" s="85"/>
      <c r="E528" s="85"/>
      <c r="F528" s="65"/>
      <c r="G528" s="65"/>
      <c r="H528" s="85"/>
      <c r="I528" s="85"/>
      <c r="J528" s="85"/>
      <c r="K528" s="85"/>
      <c r="L528" s="85"/>
      <c r="M528" s="108"/>
      <c r="N528" s="85"/>
    </row>
    <row r="529" ht="15.75" customHeight="1">
      <c r="A529" s="85"/>
      <c r="B529" s="85"/>
      <c r="C529" s="65"/>
      <c r="D529" s="85"/>
      <c r="E529" s="85"/>
      <c r="F529" s="65"/>
      <c r="G529" s="65"/>
      <c r="H529" s="85"/>
      <c r="I529" s="85"/>
      <c r="J529" s="85"/>
      <c r="K529" s="85"/>
      <c r="L529" s="85"/>
      <c r="M529" s="108"/>
      <c r="N529" s="85"/>
    </row>
    <row r="530" ht="15.75" customHeight="1">
      <c r="A530" s="85"/>
      <c r="B530" s="85"/>
      <c r="C530" s="65"/>
      <c r="D530" s="85"/>
      <c r="E530" s="85"/>
      <c r="F530" s="65"/>
      <c r="G530" s="65"/>
      <c r="H530" s="85"/>
      <c r="I530" s="85"/>
      <c r="J530" s="85"/>
      <c r="K530" s="85"/>
      <c r="L530" s="85"/>
      <c r="M530" s="108"/>
      <c r="N530" s="85"/>
    </row>
    <row r="531" ht="15.75" customHeight="1">
      <c r="A531" s="85"/>
      <c r="B531" s="85"/>
      <c r="C531" s="65"/>
      <c r="D531" s="85"/>
      <c r="E531" s="85"/>
      <c r="F531" s="65"/>
      <c r="G531" s="65"/>
      <c r="H531" s="85"/>
      <c r="I531" s="85"/>
      <c r="J531" s="85"/>
      <c r="K531" s="85"/>
      <c r="L531" s="85"/>
      <c r="M531" s="108"/>
      <c r="N531" s="85"/>
    </row>
    <row r="532" ht="15.75" customHeight="1">
      <c r="A532" s="85"/>
      <c r="B532" s="85"/>
      <c r="C532" s="65"/>
      <c r="D532" s="85"/>
      <c r="E532" s="85"/>
      <c r="F532" s="65"/>
      <c r="G532" s="65"/>
      <c r="H532" s="85"/>
      <c r="I532" s="85"/>
      <c r="J532" s="85"/>
      <c r="K532" s="85"/>
      <c r="L532" s="85"/>
      <c r="M532" s="108"/>
      <c r="N532" s="85"/>
    </row>
    <row r="533" ht="15.75" customHeight="1">
      <c r="A533" s="85"/>
      <c r="B533" s="85"/>
      <c r="C533" s="65"/>
      <c r="D533" s="85"/>
      <c r="E533" s="85"/>
      <c r="F533" s="65"/>
      <c r="G533" s="65"/>
      <c r="H533" s="85"/>
      <c r="I533" s="85"/>
      <c r="J533" s="85"/>
      <c r="K533" s="85"/>
      <c r="L533" s="85"/>
      <c r="M533" s="108"/>
      <c r="N533" s="85"/>
    </row>
    <row r="534" ht="15.75" customHeight="1">
      <c r="A534" s="85"/>
      <c r="B534" s="85"/>
      <c r="C534" s="65"/>
      <c r="D534" s="85"/>
      <c r="E534" s="85"/>
      <c r="F534" s="65"/>
      <c r="G534" s="65"/>
      <c r="H534" s="85"/>
      <c r="I534" s="85"/>
      <c r="J534" s="85"/>
      <c r="K534" s="85"/>
      <c r="L534" s="85"/>
      <c r="M534" s="108"/>
      <c r="N534" s="85"/>
    </row>
    <row r="535" ht="15.75" customHeight="1">
      <c r="A535" s="85"/>
      <c r="B535" s="85"/>
      <c r="C535" s="65"/>
      <c r="D535" s="85"/>
      <c r="E535" s="85"/>
      <c r="F535" s="65"/>
      <c r="G535" s="65"/>
      <c r="H535" s="85"/>
      <c r="I535" s="85"/>
      <c r="J535" s="85"/>
      <c r="K535" s="85"/>
      <c r="L535" s="85"/>
      <c r="M535" s="108"/>
      <c r="N535" s="85"/>
    </row>
    <row r="536" ht="15.75" customHeight="1">
      <c r="A536" s="85"/>
      <c r="B536" s="85"/>
      <c r="C536" s="65"/>
      <c r="D536" s="85"/>
      <c r="E536" s="85"/>
      <c r="F536" s="65"/>
      <c r="G536" s="65"/>
      <c r="H536" s="85"/>
      <c r="I536" s="85"/>
      <c r="J536" s="85"/>
      <c r="K536" s="85"/>
      <c r="L536" s="85"/>
      <c r="M536" s="108"/>
      <c r="N536" s="85"/>
    </row>
    <row r="537" ht="15.75" customHeight="1">
      <c r="A537" s="85"/>
      <c r="B537" s="85"/>
      <c r="C537" s="65"/>
      <c r="D537" s="85"/>
      <c r="E537" s="85"/>
      <c r="F537" s="65"/>
      <c r="G537" s="65"/>
      <c r="H537" s="85"/>
      <c r="I537" s="85"/>
      <c r="J537" s="85"/>
      <c r="K537" s="85"/>
      <c r="L537" s="85"/>
      <c r="M537" s="108"/>
      <c r="N537" s="85"/>
    </row>
    <row r="538" ht="15.75" customHeight="1">
      <c r="A538" s="85"/>
      <c r="B538" s="85"/>
      <c r="C538" s="65"/>
      <c r="D538" s="85"/>
      <c r="E538" s="85"/>
      <c r="F538" s="65"/>
      <c r="G538" s="65"/>
      <c r="H538" s="85"/>
      <c r="I538" s="85"/>
      <c r="J538" s="85"/>
      <c r="K538" s="85"/>
      <c r="L538" s="85"/>
      <c r="M538" s="108"/>
      <c r="N538" s="85"/>
    </row>
    <row r="539" ht="15.75" customHeight="1">
      <c r="A539" s="85"/>
      <c r="B539" s="85"/>
      <c r="C539" s="65"/>
      <c r="D539" s="85"/>
      <c r="E539" s="85"/>
      <c r="F539" s="65"/>
      <c r="G539" s="65"/>
      <c r="H539" s="85"/>
      <c r="I539" s="85"/>
      <c r="J539" s="85"/>
      <c r="K539" s="85"/>
      <c r="L539" s="85"/>
      <c r="M539" s="108"/>
      <c r="N539" s="85"/>
    </row>
    <row r="540" ht="15.75" customHeight="1">
      <c r="A540" s="85"/>
      <c r="B540" s="85"/>
      <c r="C540" s="65"/>
      <c r="D540" s="85"/>
      <c r="E540" s="85"/>
      <c r="F540" s="65"/>
      <c r="G540" s="65"/>
      <c r="H540" s="85"/>
      <c r="I540" s="85"/>
      <c r="J540" s="85"/>
      <c r="K540" s="85"/>
      <c r="L540" s="85"/>
      <c r="M540" s="108"/>
      <c r="N540" s="85"/>
    </row>
    <row r="541" ht="15.75" customHeight="1">
      <c r="A541" s="85"/>
      <c r="B541" s="85"/>
      <c r="C541" s="65"/>
      <c r="D541" s="85"/>
      <c r="E541" s="85"/>
      <c r="F541" s="65"/>
      <c r="G541" s="65"/>
      <c r="H541" s="85"/>
      <c r="I541" s="85"/>
      <c r="J541" s="85"/>
      <c r="K541" s="85"/>
      <c r="L541" s="85"/>
      <c r="M541" s="108"/>
      <c r="N541" s="85"/>
    </row>
    <row r="542" ht="15.75" customHeight="1">
      <c r="A542" s="85"/>
      <c r="B542" s="85"/>
      <c r="C542" s="65"/>
      <c r="D542" s="85"/>
      <c r="E542" s="85"/>
      <c r="F542" s="65"/>
      <c r="G542" s="65"/>
      <c r="H542" s="85"/>
      <c r="I542" s="85"/>
      <c r="J542" s="85"/>
      <c r="K542" s="85"/>
      <c r="L542" s="85"/>
      <c r="M542" s="108"/>
      <c r="N542" s="85"/>
    </row>
    <row r="543" ht="15.75" customHeight="1">
      <c r="A543" s="85"/>
      <c r="B543" s="85"/>
      <c r="C543" s="65"/>
      <c r="D543" s="85"/>
      <c r="E543" s="85"/>
      <c r="F543" s="65"/>
      <c r="G543" s="65"/>
      <c r="H543" s="85"/>
      <c r="I543" s="85"/>
      <c r="J543" s="85"/>
      <c r="K543" s="85"/>
      <c r="L543" s="85"/>
      <c r="M543" s="108"/>
      <c r="N543" s="85"/>
    </row>
    <row r="544" ht="15.75" customHeight="1">
      <c r="A544" s="85"/>
      <c r="B544" s="85"/>
      <c r="C544" s="65"/>
      <c r="D544" s="85"/>
      <c r="E544" s="85"/>
      <c r="F544" s="65"/>
      <c r="G544" s="65"/>
      <c r="H544" s="85"/>
      <c r="I544" s="85"/>
      <c r="J544" s="85"/>
      <c r="K544" s="85"/>
      <c r="L544" s="85"/>
      <c r="M544" s="108"/>
      <c r="N544" s="85"/>
    </row>
    <row r="545" ht="15.75" customHeight="1">
      <c r="A545" s="85"/>
      <c r="B545" s="85"/>
      <c r="C545" s="65"/>
      <c r="D545" s="85"/>
      <c r="E545" s="85"/>
      <c r="F545" s="65"/>
      <c r="G545" s="65"/>
      <c r="H545" s="85"/>
      <c r="I545" s="85"/>
      <c r="J545" s="85"/>
      <c r="K545" s="85"/>
      <c r="L545" s="85"/>
      <c r="M545" s="108"/>
      <c r="N545" s="85"/>
    </row>
    <row r="546" ht="15.75" customHeight="1">
      <c r="A546" s="85"/>
      <c r="B546" s="85"/>
      <c r="C546" s="65"/>
      <c r="D546" s="85"/>
      <c r="E546" s="85"/>
      <c r="F546" s="65"/>
      <c r="G546" s="65"/>
      <c r="H546" s="85"/>
      <c r="I546" s="85"/>
      <c r="J546" s="85"/>
      <c r="K546" s="85"/>
      <c r="L546" s="85"/>
      <c r="M546" s="108"/>
      <c r="N546" s="85"/>
    </row>
    <row r="547" ht="15.75" customHeight="1">
      <c r="A547" s="85"/>
      <c r="B547" s="85"/>
      <c r="C547" s="65"/>
      <c r="D547" s="85"/>
      <c r="E547" s="85"/>
      <c r="F547" s="65"/>
      <c r="G547" s="65"/>
      <c r="H547" s="85"/>
      <c r="I547" s="85"/>
      <c r="J547" s="85"/>
      <c r="K547" s="85"/>
      <c r="L547" s="85"/>
      <c r="M547" s="108"/>
      <c r="N547" s="85"/>
    </row>
    <row r="548" ht="15.75" customHeight="1">
      <c r="A548" s="85"/>
      <c r="B548" s="85"/>
      <c r="C548" s="65"/>
      <c r="D548" s="85"/>
      <c r="E548" s="85"/>
      <c r="F548" s="65"/>
      <c r="G548" s="65"/>
      <c r="H548" s="85"/>
      <c r="I548" s="85"/>
      <c r="J548" s="85"/>
      <c r="K548" s="85"/>
      <c r="L548" s="85"/>
      <c r="M548" s="108"/>
      <c r="N548" s="85"/>
    </row>
    <row r="549" ht="15.75" customHeight="1">
      <c r="A549" s="85"/>
      <c r="B549" s="85"/>
      <c r="C549" s="65"/>
      <c r="D549" s="85"/>
      <c r="E549" s="85"/>
      <c r="F549" s="65"/>
      <c r="G549" s="65"/>
      <c r="H549" s="85"/>
      <c r="I549" s="85"/>
      <c r="J549" s="85"/>
      <c r="K549" s="85"/>
      <c r="L549" s="85"/>
      <c r="M549" s="108"/>
      <c r="N549" s="85"/>
    </row>
    <row r="550" ht="15.75" customHeight="1">
      <c r="A550" s="85"/>
      <c r="B550" s="85"/>
      <c r="C550" s="65"/>
      <c r="D550" s="85"/>
      <c r="E550" s="85"/>
      <c r="F550" s="65"/>
      <c r="G550" s="65"/>
      <c r="H550" s="85"/>
      <c r="I550" s="85"/>
      <c r="J550" s="85"/>
      <c r="K550" s="85"/>
      <c r="L550" s="85"/>
      <c r="M550" s="108"/>
      <c r="N550" s="85"/>
    </row>
    <row r="551" ht="15.75" customHeight="1">
      <c r="A551" s="85"/>
      <c r="B551" s="85"/>
      <c r="C551" s="65"/>
      <c r="D551" s="85"/>
      <c r="E551" s="85"/>
      <c r="F551" s="65"/>
      <c r="G551" s="65"/>
      <c r="H551" s="85"/>
      <c r="I551" s="85"/>
      <c r="J551" s="85"/>
      <c r="K551" s="85"/>
      <c r="L551" s="85"/>
      <c r="M551" s="108"/>
      <c r="N551" s="85"/>
    </row>
    <row r="552" ht="15.75" customHeight="1">
      <c r="A552" s="85"/>
      <c r="B552" s="85"/>
      <c r="C552" s="65"/>
      <c r="D552" s="85"/>
      <c r="E552" s="85"/>
      <c r="F552" s="65"/>
      <c r="G552" s="65"/>
      <c r="H552" s="85"/>
      <c r="I552" s="85"/>
      <c r="J552" s="85"/>
      <c r="K552" s="85"/>
      <c r="L552" s="85"/>
      <c r="M552" s="108"/>
      <c r="N552" s="85"/>
    </row>
    <row r="553" ht="15.75" customHeight="1">
      <c r="A553" s="85"/>
      <c r="B553" s="85"/>
      <c r="C553" s="65"/>
      <c r="D553" s="85"/>
      <c r="E553" s="85"/>
      <c r="F553" s="65"/>
      <c r="G553" s="65"/>
      <c r="H553" s="85"/>
      <c r="I553" s="85"/>
      <c r="J553" s="85"/>
      <c r="K553" s="85"/>
      <c r="L553" s="85"/>
      <c r="M553" s="108"/>
      <c r="N553" s="85"/>
    </row>
    <row r="554" ht="15.75" customHeight="1">
      <c r="A554" s="85"/>
      <c r="B554" s="85"/>
      <c r="C554" s="65"/>
      <c r="D554" s="85"/>
      <c r="E554" s="85"/>
      <c r="F554" s="65"/>
      <c r="G554" s="65"/>
      <c r="H554" s="85"/>
      <c r="I554" s="85"/>
      <c r="J554" s="85"/>
      <c r="K554" s="85"/>
      <c r="L554" s="85"/>
      <c r="M554" s="108"/>
      <c r="N554" s="85"/>
    </row>
    <row r="555" ht="15.75" customHeight="1">
      <c r="A555" s="85"/>
      <c r="B555" s="85"/>
      <c r="C555" s="65"/>
      <c r="D555" s="85"/>
      <c r="E555" s="85"/>
      <c r="F555" s="65"/>
      <c r="G555" s="65"/>
      <c r="H555" s="85"/>
      <c r="I555" s="85"/>
      <c r="J555" s="85"/>
      <c r="K555" s="85"/>
      <c r="L555" s="85"/>
      <c r="M555" s="108"/>
      <c r="N555" s="85"/>
    </row>
    <row r="556" ht="15.75" customHeight="1">
      <c r="A556" s="85"/>
      <c r="B556" s="85"/>
      <c r="C556" s="65"/>
      <c r="D556" s="85"/>
      <c r="E556" s="85"/>
      <c r="F556" s="65"/>
      <c r="G556" s="65"/>
      <c r="H556" s="85"/>
      <c r="I556" s="85"/>
      <c r="J556" s="85"/>
      <c r="K556" s="85"/>
      <c r="L556" s="85"/>
      <c r="M556" s="108"/>
      <c r="N556" s="85"/>
    </row>
    <row r="557" ht="15.75" customHeight="1">
      <c r="A557" s="85"/>
      <c r="B557" s="85"/>
      <c r="C557" s="65"/>
      <c r="D557" s="85"/>
      <c r="E557" s="85"/>
      <c r="F557" s="65"/>
      <c r="G557" s="65"/>
      <c r="H557" s="85"/>
      <c r="I557" s="85"/>
      <c r="J557" s="85"/>
      <c r="K557" s="85"/>
      <c r="L557" s="85"/>
      <c r="M557" s="108"/>
      <c r="N557" s="85"/>
    </row>
    <row r="558" ht="15.75" customHeight="1">
      <c r="A558" s="85"/>
      <c r="B558" s="85"/>
      <c r="C558" s="65"/>
      <c r="D558" s="85"/>
      <c r="E558" s="85"/>
      <c r="F558" s="65"/>
      <c r="G558" s="65"/>
      <c r="H558" s="85"/>
      <c r="I558" s="85"/>
      <c r="J558" s="85"/>
      <c r="K558" s="85"/>
      <c r="L558" s="85"/>
      <c r="M558" s="108"/>
      <c r="N558" s="85"/>
    </row>
    <row r="559" ht="15.75" customHeight="1">
      <c r="A559" s="85"/>
      <c r="B559" s="85"/>
      <c r="C559" s="65"/>
      <c r="D559" s="85"/>
      <c r="E559" s="85"/>
      <c r="F559" s="65"/>
      <c r="G559" s="65"/>
      <c r="H559" s="85"/>
      <c r="I559" s="85"/>
      <c r="J559" s="85"/>
      <c r="K559" s="85"/>
      <c r="L559" s="85"/>
      <c r="M559" s="108"/>
      <c r="N559" s="85"/>
    </row>
    <row r="560" ht="15.75" customHeight="1">
      <c r="A560" s="85"/>
      <c r="B560" s="85"/>
      <c r="C560" s="65"/>
      <c r="D560" s="85"/>
      <c r="E560" s="85"/>
      <c r="F560" s="65"/>
      <c r="G560" s="65"/>
      <c r="H560" s="85"/>
      <c r="I560" s="85"/>
      <c r="J560" s="85"/>
      <c r="K560" s="85"/>
      <c r="L560" s="85"/>
      <c r="M560" s="108"/>
      <c r="N560" s="85"/>
    </row>
    <row r="561" ht="15.75" customHeight="1">
      <c r="A561" s="85"/>
      <c r="B561" s="85"/>
      <c r="C561" s="65"/>
      <c r="D561" s="85"/>
      <c r="E561" s="85"/>
      <c r="F561" s="65"/>
      <c r="G561" s="65"/>
      <c r="H561" s="85"/>
      <c r="I561" s="85"/>
      <c r="J561" s="85"/>
      <c r="K561" s="85"/>
      <c r="L561" s="85"/>
      <c r="M561" s="108"/>
      <c r="N561" s="85"/>
    </row>
    <row r="562" ht="15.75" customHeight="1">
      <c r="A562" s="85"/>
      <c r="B562" s="85"/>
      <c r="C562" s="65"/>
      <c r="D562" s="85"/>
      <c r="E562" s="85"/>
      <c r="F562" s="65"/>
      <c r="G562" s="65"/>
      <c r="H562" s="85"/>
      <c r="I562" s="85"/>
      <c r="J562" s="85"/>
      <c r="K562" s="85"/>
      <c r="L562" s="85"/>
      <c r="M562" s="108"/>
      <c r="N562" s="85"/>
    </row>
    <row r="563" ht="15.75" customHeight="1">
      <c r="A563" s="85"/>
      <c r="B563" s="85"/>
      <c r="C563" s="65"/>
      <c r="D563" s="85"/>
      <c r="E563" s="85"/>
      <c r="F563" s="65"/>
      <c r="G563" s="65"/>
      <c r="H563" s="85"/>
      <c r="I563" s="85"/>
      <c r="J563" s="85"/>
      <c r="K563" s="85"/>
      <c r="L563" s="85"/>
      <c r="M563" s="108"/>
      <c r="N563" s="85"/>
    </row>
    <row r="564" ht="15.75" customHeight="1">
      <c r="A564" s="85"/>
      <c r="B564" s="85"/>
      <c r="C564" s="65"/>
      <c r="D564" s="85"/>
      <c r="E564" s="85"/>
      <c r="F564" s="65"/>
      <c r="G564" s="65"/>
      <c r="H564" s="85"/>
      <c r="I564" s="85"/>
      <c r="J564" s="85"/>
      <c r="K564" s="85"/>
      <c r="L564" s="85"/>
      <c r="M564" s="108"/>
      <c r="N564" s="85"/>
    </row>
    <row r="565" ht="15.75" customHeight="1">
      <c r="A565" s="85"/>
      <c r="B565" s="85"/>
      <c r="C565" s="65"/>
      <c r="D565" s="85"/>
      <c r="E565" s="85"/>
      <c r="F565" s="65"/>
      <c r="G565" s="65"/>
      <c r="H565" s="85"/>
      <c r="I565" s="85"/>
      <c r="J565" s="85"/>
      <c r="K565" s="85"/>
      <c r="L565" s="85"/>
      <c r="M565" s="108"/>
      <c r="N565" s="85"/>
    </row>
    <row r="566" ht="15.75" customHeight="1">
      <c r="A566" s="85"/>
      <c r="B566" s="85"/>
      <c r="C566" s="65"/>
      <c r="D566" s="85"/>
      <c r="E566" s="85"/>
      <c r="F566" s="65"/>
      <c r="G566" s="65"/>
      <c r="H566" s="85"/>
      <c r="I566" s="85"/>
      <c r="J566" s="85"/>
      <c r="K566" s="85"/>
      <c r="L566" s="85"/>
      <c r="M566" s="108"/>
      <c r="N566" s="85"/>
    </row>
    <row r="567" ht="15.75" customHeight="1">
      <c r="A567" s="85"/>
      <c r="B567" s="85"/>
      <c r="C567" s="65"/>
      <c r="D567" s="85"/>
      <c r="E567" s="85"/>
      <c r="F567" s="65"/>
      <c r="G567" s="65"/>
      <c r="H567" s="85"/>
      <c r="I567" s="85"/>
      <c r="J567" s="85"/>
      <c r="K567" s="85"/>
      <c r="L567" s="85"/>
      <c r="M567" s="108"/>
      <c r="N567" s="85"/>
    </row>
    <row r="568" ht="15.75" customHeight="1">
      <c r="A568" s="85"/>
      <c r="B568" s="85"/>
      <c r="C568" s="65"/>
      <c r="D568" s="85"/>
      <c r="E568" s="85"/>
      <c r="F568" s="65"/>
      <c r="G568" s="65"/>
      <c r="H568" s="85"/>
      <c r="I568" s="85"/>
      <c r="J568" s="85"/>
      <c r="K568" s="85"/>
      <c r="L568" s="85"/>
      <c r="M568" s="108"/>
      <c r="N568" s="85"/>
    </row>
    <row r="569" ht="15.75" customHeight="1">
      <c r="A569" s="85"/>
      <c r="B569" s="85"/>
      <c r="C569" s="65"/>
      <c r="D569" s="85"/>
      <c r="E569" s="85"/>
      <c r="F569" s="65"/>
      <c r="G569" s="65"/>
      <c r="H569" s="85"/>
      <c r="I569" s="85"/>
      <c r="J569" s="85"/>
      <c r="K569" s="85"/>
      <c r="L569" s="85"/>
      <c r="M569" s="108"/>
      <c r="N569" s="85"/>
    </row>
    <row r="570" ht="15.75" customHeight="1">
      <c r="A570" s="85"/>
      <c r="B570" s="85"/>
      <c r="C570" s="65"/>
      <c r="D570" s="85"/>
      <c r="E570" s="85"/>
      <c r="F570" s="65"/>
      <c r="G570" s="65"/>
      <c r="H570" s="85"/>
      <c r="I570" s="85"/>
      <c r="J570" s="85"/>
      <c r="K570" s="85"/>
      <c r="L570" s="85"/>
      <c r="M570" s="108"/>
      <c r="N570" s="85"/>
    </row>
    <row r="571" ht="15.75" customHeight="1">
      <c r="A571" s="85"/>
      <c r="B571" s="85"/>
      <c r="C571" s="65"/>
      <c r="D571" s="85"/>
      <c r="E571" s="85"/>
      <c r="F571" s="65"/>
      <c r="G571" s="65"/>
      <c r="H571" s="85"/>
      <c r="I571" s="85"/>
      <c r="J571" s="85"/>
      <c r="K571" s="85"/>
      <c r="L571" s="85"/>
      <c r="M571" s="108"/>
      <c r="N571" s="85"/>
    </row>
    <row r="572" ht="15.75" customHeight="1">
      <c r="A572" s="85"/>
      <c r="B572" s="85"/>
      <c r="C572" s="65"/>
      <c r="D572" s="85"/>
      <c r="E572" s="85"/>
      <c r="F572" s="65"/>
      <c r="G572" s="65"/>
      <c r="H572" s="85"/>
      <c r="I572" s="85"/>
      <c r="J572" s="85"/>
      <c r="K572" s="85"/>
      <c r="L572" s="85"/>
      <c r="M572" s="108"/>
      <c r="N572" s="85"/>
    </row>
    <row r="573" ht="15.75" customHeight="1">
      <c r="A573" s="85"/>
      <c r="B573" s="85"/>
      <c r="C573" s="65"/>
      <c r="D573" s="85"/>
      <c r="E573" s="85"/>
      <c r="F573" s="65"/>
      <c r="G573" s="65"/>
      <c r="H573" s="85"/>
      <c r="I573" s="85"/>
      <c r="J573" s="85"/>
      <c r="K573" s="85"/>
      <c r="L573" s="85"/>
      <c r="M573" s="108"/>
      <c r="N573" s="85"/>
    </row>
    <row r="574" ht="15.75" customHeight="1">
      <c r="A574" s="85"/>
      <c r="B574" s="85"/>
      <c r="C574" s="65"/>
      <c r="D574" s="85"/>
      <c r="E574" s="85"/>
      <c r="F574" s="65"/>
      <c r="G574" s="65"/>
      <c r="H574" s="85"/>
      <c r="I574" s="85"/>
      <c r="J574" s="85"/>
      <c r="K574" s="85"/>
      <c r="L574" s="85"/>
      <c r="M574" s="108"/>
      <c r="N574" s="85"/>
    </row>
    <row r="575" ht="15.75" customHeight="1">
      <c r="A575" s="85"/>
      <c r="B575" s="85"/>
      <c r="C575" s="65"/>
      <c r="D575" s="85"/>
      <c r="E575" s="85"/>
      <c r="F575" s="65"/>
      <c r="G575" s="65"/>
      <c r="H575" s="85"/>
      <c r="I575" s="85"/>
      <c r="J575" s="85"/>
      <c r="K575" s="85"/>
      <c r="L575" s="85"/>
      <c r="M575" s="108"/>
      <c r="N575" s="85"/>
    </row>
    <row r="576" ht="15.75" customHeight="1">
      <c r="A576" s="85"/>
      <c r="B576" s="85"/>
      <c r="C576" s="65"/>
      <c r="D576" s="85"/>
      <c r="E576" s="85"/>
      <c r="F576" s="65"/>
      <c r="G576" s="65"/>
      <c r="H576" s="85"/>
      <c r="I576" s="85"/>
      <c r="J576" s="85"/>
      <c r="K576" s="85"/>
      <c r="L576" s="85"/>
      <c r="M576" s="108"/>
      <c r="N576" s="85"/>
    </row>
    <row r="577" ht="15.75" customHeight="1">
      <c r="A577" s="85"/>
      <c r="B577" s="85"/>
      <c r="C577" s="65"/>
      <c r="D577" s="85"/>
      <c r="E577" s="85"/>
      <c r="F577" s="65"/>
      <c r="G577" s="65"/>
      <c r="H577" s="85"/>
      <c r="I577" s="85"/>
      <c r="J577" s="85"/>
      <c r="K577" s="85"/>
      <c r="L577" s="85"/>
      <c r="M577" s="108"/>
      <c r="N577" s="85"/>
    </row>
    <row r="578" ht="15.75" customHeight="1">
      <c r="A578" s="85"/>
      <c r="B578" s="85"/>
      <c r="C578" s="65"/>
      <c r="D578" s="85"/>
      <c r="E578" s="85"/>
      <c r="F578" s="65"/>
      <c r="G578" s="65"/>
      <c r="H578" s="85"/>
      <c r="I578" s="85"/>
      <c r="J578" s="85"/>
      <c r="K578" s="85"/>
      <c r="L578" s="85"/>
      <c r="M578" s="108"/>
      <c r="N578" s="85"/>
    </row>
    <row r="579" ht="15.75" customHeight="1">
      <c r="A579" s="85"/>
      <c r="B579" s="85"/>
      <c r="C579" s="65"/>
      <c r="D579" s="85"/>
      <c r="E579" s="85"/>
      <c r="F579" s="65"/>
      <c r="G579" s="65"/>
      <c r="H579" s="85"/>
      <c r="I579" s="85"/>
      <c r="J579" s="85"/>
      <c r="K579" s="85"/>
      <c r="L579" s="85"/>
      <c r="M579" s="108"/>
      <c r="N579" s="85"/>
    </row>
    <row r="580" ht="15.75" customHeight="1">
      <c r="A580" s="85"/>
      <c r="B580" s="85"/>
      <c r="C580" s="65"/>
      <c r="D580" s="85"/>
      <c r="E580" s="85"/>
      <c r="F580" s="65"/>
      <c r="G580" s="65"/>
      <c r="H580" s="85"/>
      <c r="I580" s="85"/>
      <c r="J580" s="85"/>
      <c r="K580" s="85"/>
      <c r="L580" s="85"/>
      <c r="M580" s="108"/>
      <c r="N580" s="85"/>
    </row>
    <row r="581" ht="15.75" customHeight="1">
      <c r="A581" s="85"/>
      <c r="B581" s="85"/>
      <c r="C581" s="65"/>
      <c r="D581" s="85"/>
      <c r="E581" s="85"/>
      <c r="F581" s="65"/>
      <c r="G581" s="65"/>
      <c r="H581" s="85"/>
      <c r="I581" s="85"/>
      <c r="J581" s="85"/>
      <c r="K581" s="85"/>
      <c r="L581" s="85"/>
      <c r="M581" s="108"/>
      <c r="N581" s="85"/>
    </row>
    <row r="582" ht="15.75" customHeight="1">
      <c r="A582" s="85"/>
      <c r="B582" s="85"/>
      <c r="C582" s="65"/>
      <c r="D582" s="85"/>
      <c r="E582" s="85"/>
      <c r="F582" s="65"/>
      <c r="G582" s="65"/>
      <c r="H582" s="85"/>
      <c r="I582" s="85"/>
      <c r="J582" s="85"/>
      <c r="K582" s="85"/>
      <c r="L582" s="85"/>
      <c r="M582" s="108"/>
      <c r="N582" s="85"/>
    </row>
    <row r="583" ht="15.75" customHeight="1">
      <c r="A583" s="85"/>
      <c r="B583" s="85"/>
      <c r="C583" s="65"/>
      <c r="D583" s="85"/>
      <c r="E583" s="85"/>
      <c r="F583" s="65"/>
      <c r="G583" s="65"/>
      <c r="H583" s="85"/>
      <c r="I583" s="85"/>
      <c r="J583" s="85"/>
      <c r="K583" s="85"/>
      <c r="L583" s="85"/>
      <c r="M583" s="108"/>
      <c r="N583" s="85"/>
    </row>
    <row r="584" ht="15.75" customHeight="1">
      <c r="A584" s="85"/>
      <c r="B584" s="85"/>
      <c r="C584" s="65"/>
      <c r="D584" s="85"/>
      <c r="E584" s="85"/>
      <c r="F584" s="65"/>
      <c r="G584" s="65"/>
      <c r="H584" s="85"/>
      <c r="I584" s="85"/>
      <c r="J584" s="85"/>
      <c r="K584" s="85"/>
      <c r="L584" s="85"/>
      <c r="M584" s="108"/>
      <c r="N584" s="85"/>
    </row>
    <row r="585" ht="15.75" customHeight="1">
      <c r="A585" s="85"/>
      <c r="B585" s="85"/>
      <c r="C585" s="65"/>
      <c r="D585" s="85"/>
      <c r="E585" s="85"/>
      <c r="F585" s="65"/>
      <c r="G585" s="65"/>
      <c r="H585" s="85"/>
      <c r="I585" s="85"/>
      <c r="J585" s="85"/>
      <c r="K585" s="85"/>
      <c r="L585" s="85"/>
      <c r="M585" s="108"/>
      <c r="N585" s="85"/>
    </row>
    <row r="586" ht="15.75" customHeight="1">
      <c r="A586" s="85"/>
      <c r="B586" s="85"/>
      <c r="C586" s="65"/>
      <c r="D586" s="85"/>
      <c r="E586" s="85"/>
      <c r="F586" s="65"/>
      <c r="G586" s="65"/>
      <c r="H586" s="85"/>
      <c r="I586" s="85"/>
      <c r="J586" s="85"/>
      <c r="K586" s="85"/>
      <c r="L586" s="85"/>
      <c r="M586" s="108"/>
      <c r="N586" s="85"/>
    </row>
    <row r="587" ht="15.75" customHeight="1">
      <c r="A587" s="85"/>
      <c r="B587" s="85"/>
      <c r="C587" s="65"/>
      <c r="D587" s="85"/>
      <c r="E587" s="85"/>
      <c r="F587" s="65"/>
      <c r="G587" s="65"/>
      <c r="H587" s="85"/>
      <c r="I587" s="85"/>
      <c r="J587" s="85"/>
      <c r="K587" s="85"/>
      <c r="L587" s="85"/>
      <c r="M587" s="108"/>
      <c r="N587" s="85"/>
    </row>
    <row r="588" ht="15.75" customHeight="1">
      <c r="A588" s="85"/>
      <c r="B588" s="85"/>
      <c r="C588" s="65"/>
      <c r="D588" s="85"/>
      <c r="E588" s="85"/>
      <c r="F588" s="65"/>
      <c r="G588" s="65"/>
      <c r="H588" s="85"/>
      <c r="I588" s="85"/>
      <c r="J588" s="85"/>
      <c r="K588" s="85"/>
      <c r="L588" s="85"/>
      <c r="M588" s="108"/>
      <c r="N588" s="85"/>
    </row>
    <row r="589" ht="15.75" customHeight="1">
      <c r="A589" s="85"/>
      <c r="B589" s="85"/>
      <c r="C589" s="65"/>
      <c r="D589" s="85"/>
      <c r="E589" s="85"/>
      <c r="F589" s="65"/>
      <c r="G589" s="65"/>
      <c r="H589" s="85"/>
      <c r="I589" s="85"/>
      <c r="J589" s="85"/>
      <c r="K589" s="85"/>
      <c r="L589" s="85"/>
      <c r="M589" s="108"/>
      <c r="N589" s="85"/>
    </row>
    <row r="590" ht="15.75" customHeight="1">
      <c r="A590" s="85"/>
      <c r="B590" s="85"/>
      <c r="C590" s="65"/>
      <c r="D590" s="85"/>
      <c r="E590" s="85"/>
      <c r="F590" s="65"/>
      <c r="G590" s="65"/>
      <c r="H590" s="85"/>
      <c r="I590" s="85"/>
      <c r="J590" s="85"/>
      <c r="K590" s="85"/>
      <c r="L590" s="85"/>
      <c r="M590" s="108"/>
      <c r="N590" s="85"/>
    </row>
    <row r="591" ht="15.75" customHeight="1">
      <c r="A591" s="85"/>
      <c r="B591" s="85"/>
      <c r="C591" s="65"/>
      <c r="D591" s="85"/>
      <c r="E591" s="85"/>
      <c r="F591" s="65"/>
      <c r="G591" s="65"/>
      <c r="H591" s="85"/>
      <c r="I591" s="85"/>
      <c r="J591" s="85"/>
      <c r="K591" s="85"/>
      <c r="L591" s="85"/>
      <c r="M591" s="108"/>
      <c r="N591" s="85"/>
    </row>
    <row r="592" ht="15.75" customHeight="1">
      <c r="A592" s="85"/>
      <c r="B592" s="85"/>
      <c r="C592" s="65"/>
      <c r="D592" s="85"/>
      <c r="E592" s="85"/>
      <c r="F592" s="65"/>
      <c r="G592" s="65"/>
      <c r="H592" s="85"/>
      <c r="I592" s="85"/>
      <c r="J592" s="85"/>
      <c r="K592" s="85"/>
      <c r="L592" s="85"/>
      <c r="M592" s="108"/>
      <c r="N592" s="85"/>
    </row>
    <row r="593" ht="15.75" customHeight="1">
      <c r="A593" s="85"/>
      <c r="B593" s="85"/>
      <c r="C593" s="65"/>
      <c r="D593" s="85"/>
      <c r="E593" s="85"/>
      <c r="F593" s="65"/>
      <c r="G593" s="65"/>
      <c r="H593" s="85"/>
      <c r="I593" s="85"/>
      <c r="J593" s="85"/>
      <c r="K593" s="85"/>
      <c r="L593" s="85"/>
      <c r="M593" s="108"/>
      <c r="N593" s="85"/>
    </row>
    <row r="594" ht="15.75" customHeight="1">
      <c r="A594" s="85"/>
      <c r="B594" s="85"/>
      <c r="C594" s="65"/>
      <c r="D594" s="85"/>
      <c r="E594" s="85"/>
      <c r="F594" s="65"/>
      <c r="G594" s="65"/>
      <c r="H594" s="85"/>
      <c r="I594" s="85"/>
      <c r="J594" s="85"/>
      <c r="K594" s="85"/>
      <c r="L594" s="85"/>
      <c r="M594" s="108"/>
      <c r="N594" s="85"/>
    </row>
    <row r="595" ht="15.75" customHeight="1">
      <c r="A595" s="85"/>
      <c r="B595" s="85"/>
      <c r="C595" s="65"/>
      <c r="D595" s="85"/>
      <c r="E595" s="85"/>
      <c r="F595" s="65"/>
      <c r="G595" s="65"/>
      <c r="H595" s="85"/>
      <c r="I595" s="85"/>
      <c r="J595" s="85"/>
      <c r="K595" s="85"/>
      <c r="L595" s="85"/>
      <c r="M595" s="108"/>
      <c r="N595" s="85"/>
    </row>
    <row r="596" ht="15.75" customHeight="1">
      <c r="A596" s="85"/>
      <c r="B596" s="85"/>
      <c r="C596" s="65"/>
      <c r="D596" s="85"/>
      <c r="E596" s="85"/>
      <c r="F596" s="65"/>
      <c r="G596" s="65"/>
      <c r="H596" s="85"/>
      <c r="I596" s="85"/>
      <c r="J596" s="85"/>
      <c r="K596" s="85"/>
      <c r="L596" s="85"/>
      <c r="M596" s="108"/>
      <c r="N596" s="85"/>
    </row>
    <row r="597" ht="15.75" customHeight="1">
      <c r="A597" s="85"/>
      <c r="B597" s="85"/>
      <c r="C597" s="65"/>
      <c r="D597" s="85"/>
      <c r="E597" s="85"/>
      <c r="F597" s="65"/>
      <c r="G597" s="65"/>
      <c r="H597" s="85"/>
      <c r="I597" s="85"/>
      <c r="J597" s="85"/>
      <c r="K597" s="85"/>
      <c r="L597" s="85"/>
      <c r="M597" s="108"/>
      <c r="N597" s="85"/>
    </row>
    <row r="598" ht="15.75" customHeight="1">
      <c r="A598" s="85"/>
      <c r="B598" s="85"/>
      <c r="C598" s="65"/>
      <c r="D598" s="85"/>
      <c r="E598" s="85"/>
      <c r="F598" s="65"/>
      <c r="G598" s="65"/>
      <c r="H598" s="85"/>
      <c r="I598" s="85"/>
      <c r="J598" s="85"/>
      <c r="K598" s="85"/>
      <c r="L598" s="85"/>
      <c r="M598" s="108"/>
      <c r="N598" s="85"/>
    </row>
    <row r="599" ht="15.75" customHeight="1">
      <c r="A599" s="85"/>
      <c r="B599" s="85"/>
      <c r="C599" s="65"/>
      <c r="D599" s="85"/>
      <c r="E599" s="85"/>
      <c r="F599" s="65"/>
      <c r="G599" s="65"/>
      <c r="H599" s="85"/>
      <c r="I599" s="85"/>
      <c r="J599" s="85"/>
      <c r="K599" s="85"/>
      <c r="L599" s="85"/>
      <c r="M599" s="108"/>
      <c r="N599" s="85"/>
    </row>
    <row r="600" ht="15.75" customHeight="1">
      <c r="A600" s="85"/>
      <c r="B600" s="85"/>
      <c r="C600" s="65"/>
      <c r="D600" s="85"/>
      <c r="E600" s="85"/>
      <c r="F600" s="65"/>
      <c r="G600" s="65"/>
      <c r="H600" s="85"/>
      <c r="I600" s="85"/>
      <c r="J600" s="85"/>
      <c r="K600" s="85"/>
      <c r="L600" s="85"/>
      <c r="M600" s="108"/>
      <c r="N600" s="85"/>
    </row>
    <row r="601" ht="15.75" customHeight="1">
      <c r="A601" s="85"/>
      <c r="B601" s="85"/>
      <c r="C601" s="65"/>
      <c r="D601" s="85"/>
      <c r="E601" s="85"/>
      <c r="F601" s="65"/>
      <c r="G601" s="65"/>
      <c r="H601" s="85"/>
      <c r="I601" s="85"/>
      <c r="J601" s="85"/>
      <c r="K601" s="85"/>
      <c r="L601" s="85"/>
      <c r="M601" s="108"/>
      <c r="N601" s="85"/>
    </row>
    <row r="602" ht="15.75" customHeight="1">
      <c r="A602" s="85"/>
      <c r="B602" s="85"/>
      <c r="C602" s="65"/>
      <c r="D602" s="85"/>
      <c r="E602" s="85"/>
      <c r="F602" s="65"/>
      <c r="G602" s="65"/>
      <c r="H602" s="85"/>
      <c r="I602" s="85"/>
      <c r="J602" s="85"/>
      <c r="K602" s="85"/>
      <c r="L602" s="85"/>
      <c r="M602" s="108"/>
      <c r="N602" s="85"/>
    </row>
    <row r="603" ht="15.75" customHeight="1">
      <c r="A603" s="85"/>
      <c r="B603" s="85"/>
      <c r="C603" s="65"/>
      <c r="D603" s="85"/>
      <c r="E603" s="85"/>
      <c r="F603" s="65"/>
      <c r="G603" s="65"/>
      <c r="H603" s="85"/>
      <c r="I603" s="85"/>
      <c r="J603" s="85"/>
      <c r="K603" s="85"/>
      <c r="L603" s="85"/>
      <c r="M603" s="108"/>
      <c r="N603" s="85"/>
    </row>
    <row r="604" ht="15.75" customHeight="1">
      <c r="A604" s="85"/>
      <c r="B604" s="85"/>
      <c r="C604" s="65"/>
      <c r="D604" s="85"/>
      <c r="E604" s="85"/>
      <c r="F604" s="65"/>
      <c r="G604" s="65"/>
      <c r="H604" s="85"/>
      <c r="I604" s="85"/>
      <c r="J604" s="85"/>
      <c r="K604" s="85"/>
      <c r="L604" s="85"/>
      <c r="M604" s="108"/>
      <c r="N604" s="85"/>
    </row>
    <row r="605" ht="15.75" customHeight="1">
      <c r="A605" s="85"/>
      <c r="B605" s="85"/>
      <c r="C605" s="65"/>
      <c r="D605" s="85"/>
      <c r="E605" s="85"/>
      <c r="F605" s="65"/>
      <c r="G605" s="65"/>
      <c r="H605" s="85"/>
      <c r="I605" s="85"/>
      <c r="J605" s="85"/>
      <c r="K605" s="85"/>
      <c r="L605" s="85"/>
      <c r="M605" s="108"/>
      <c r="N605" s="85"/>
    </row>
    <row r="606" ht="15.75" customHeight="1">
      <c r="A606" s="85"/>
      <c r="B606" s="85"/>
      <c r="C606" s="65"/>
      <c r="D606" s="85"/>
      <c r="E606" s="85"/>
      <c r="F606" s="65"/>
      <c r="G606" s="65"/>
      <c r="H606" s="85"/>
      <c r="I606" s="85"/>
      <c r="J606" s="85"/>
      <c r="K606" s="85"/>
      <c r="L606" s="85"/>
      <c r="M606" s="108"/>
      <c r="N606" s="85"/>
    </row>
    <row r="607" ht="15.75" customHeight="1">
      <c r="A607" s="85"/>
      <c r="B607" s="85"/>
      <c r="C607" s="65"/>
      <c r="D607" s="85"/>
      <c r="E607" s="85"/>
      <c r="F607" s="65"/>
      <c r="G607" s="65"/>
      <c r="H607" s="85"/>
      <c r="I607" s="85"/>
      <c r="J607" s="85"/>
      <c r="K607" s="85"/>
      <c r="L607" s="85"/>
      <c r="M607" s="108"/>
      <c r="N607" s="85"/>
    </row>
    <row r="608" ht="15.75" customHeight="1">
      <c r="A608" s="85"/>
      <c r="B608" s="85"/>
      <c r="C608" s="65"/>
      <c r="D608" s="85"/>
      <c r="E608" s="85"/>
      <c r="F608" s="65"/>
      <c r="G608" s="65"/>
      <c r="H608" s="85"/>
      <c r="I608" s="85"/>
      <c r="J608" s="85"/>
      <c r="K608" s="85"/>
      <c r="L608" s="85"/>
      <c r="M608" s="108"/>
      <c r="N608" s="85"/>
    </row>
    <row r="609" ht="15.75" customHeight="1">
      <c r="A609" s="85"/>
      <c r="B609" s="85"/>
      <c r="C609" s="65"/>
      <c r="D609" s="85"/>
      <c r="E609" s="85"/>
      <c r="F609" s="65"/>
      <c r="G609" s="65"/>
      <c r="H609" s="85"/>
      <c r="I609" s="85"/>
      <c r="J609" s="85"/>
      <c r="K609" s="85"/>
      <c r="L609" s="85"/>
      <c r="M609" s="108"/>
      <c r="N609" s="85"/>
    </row>
    <row r="610" ht="15.75" customHeight="1">
      <c r="A610" s="85"/>
      <c r="B610" s="85"/>
      <c r="C610" s="65"/>
      <c r="D610" s="85"/>
      <c r="E610" s="85"/>
      <c r="F610" s="65"/>
      <c r="G610" s="65"/>
      <c r="H610" s="85"/>
      <c r="I610" s="85"/>
      <c r="J610" s="85"/>
      <c r="K610" s="85"/>
      <c r="L610" s="85"/>
      <c r="M610" s="108"/>
      <c r="N610" s="85"/>
    </row>
    <row r="611" ht="15.75" customHeight="1">
      <c r="A611" s="85"/>
      <c r="B611" s="85"/>
      <c r="C611" s="65"/>
      <c r="D611" s="85"/>
      <c r="E611" s="85"/>
      <c r="F611" s="65"/>
      <c r="G611" s="65"/>
      <c r="H611" s="85"/>
      <c r="I611" s="85"/>
      <c r="J611" s="85"/>
      <c r="K611" s="85"/>
      <c r="L611" s="85"/>
      <c r="M611" s="108"/>
      <c r="N611" s="85"/>
    </row>
    <row r="612" ht="15.75" customHeight="1">
      <c r="A612" s="85"/>
      <c r="B612" s="85"/>
      <c r="C612" s="65"/>
      <c r="D612" s="85"/>
      <c r="E612" s="85"/>
      <c r="F612" s="65"/>
      <c r="G612" s="65"/>
      <c r="H612" s="85"/>
      <c r="I612" s="85"/>
      <c r="J612" s="85"/>
      <c r="K612" s="85"/>
      <c r="L612" s="85"/>
      <c r="M612" s="108"/>
      <c r="N612" s="85"/>
    </row>
    <row r="613" ht="15.75" customHeight="1">
      <c r="A613" s="85"/>
      <c r="B613" s="85"/>
      <c r="C613" s="65"/>
      <c r="D613" s="85"/>
      <c r="E613" s="85"/>
      <c r="F613" s="65"/>
      <c r="G613" s="65"/>
      <c r="H613" s="85"/>
      <c r="I613" s="85"/>
      <c r="J613" s="85"/>
      <c r="K613" s="85"/>
      <c r="L613" s="85"/>
      <c r="M613" s="108"/>
      <c r="N613" s="85"/>
    </row>
    <row r="614" ht="15.75" customHeight="1">
      <c r="A614" s="85"/>
      <c r="B614" s="85"/>
      <c r="C614" s="65"/>
      <c r="D614" s="85"/>
      <c r="E614" s="85"/>
      <c r="F614" s="65"/>
      <c r="G614" s="65"/>
      <c r="H614" s="85"/>
      <c r="I614" s="85"/>
      <c r="J614" s="85"/>
      <c r="K614" s="85"/>
      <c r="L614" s="85"/>
      <c r="M614" s="108"/>
      <c r="N614" s="85"/>
    </row>
    <row r="615" ht="15.75" customHeight="1">
      <c r="A615" s="85"/>
      <c r="B615" s="85"/>
      <c r="C615" s="65"/>
      <c r="D615" s="85"/>
      <c r="E615" s="85"/>
      <c r="F615" s="65"/>
      <c r="G615" s="65"/>
      <c r="H615" s="85"/>
      <c r="I615" s="85"/>
      <c r="J615" s="85"/>
      <c r="K615" s="85"/>
      <c r="L615" s="85"/>
      <c r="M615" s="108"/>
      <c r="N615" s="85"/>
    </row>
    <row r="616" ht="15.75" customHeight="1">
      <c r="A616" s="85"/>
      <c r="B616" s="85"/>
      <c r="C616" s="65"/>
      <c r="D616" s="85"/>
      <c r="E616" s="85"/>
      <c r="F616" s="65"/>
      <c r="G616" s="65"/>
      <c r="H616" s="85"/>
      <c r="I616" s="85"/>
      <c r="J616" s="85"/>
      <c r="K616" s="85"/>
      <c r="L616" s="85"/>
      <c r="M616" s="108"/>
      <c r="N616" s="85"/>
    </row>
    <row r="617" ht="15.75" customHeight="1">
      <c r="A617" s="85"/>
      <c r="B617" s="85"/>
      <c r="C617" s="65"/>
      <c r="D617" s="85"/>
      <c r="E617" s="85"/>
      <c r="F617" s="65"/>
      <c r="G617" s="65"/>
      <c r="H617" s="85"/>
      <c r="I617" s="85"/>
      <c r="J617" s="85"/>
      <c r="K617" s="85"/>
      <c r="L617" s="85"/>
      <c r="M617" s="108"/>
      <c r="N617" s="85"/>
    </row>
    <row r="618" ht="15.75" customHeight="1">
      <c r="A618" s="85"/>
      <c r="B618" s="85"/>
      <c r="C618" s="65"/>
      <c r="D618" s="85"/>
      <c r="E618" s="85"/>
      <c r="F618" s="65"/>
      <c r="G618" s="65"/>
      <c r="H618" s="85"/>
      <c r="I618" s="85"/>
      <c r="J618" s="85"/>
      <c r="K618" s="85"/>
      <c r="L618" s="85"/>
      <c r="M618" s="108"/>
      <c r="N618" s="85"/>
    </row>
    <row r="619" ht="15.75" customHeight="1">
      <c r="A619" s="85"/>
      <c r="B619" s="85"/>
      <c r="C619" s="65"/>
      <c r="D619" s="85"/>
      <c r="E619" s="85"/>
      <c r="F619" s="65"/>
      <c r="G619" s="65"/>
      <c r="H619" s="85"/>
      <c r="I619" s="85"/>
      <c r="J619" s="85"/>
      <c r="K619" s="85"/>
      <c r="L619" s="85"/>
      <c r="M619" s="108"/>
      <c r="N619" s="85"/>
    </row>
    <row r="620" ht="15.75" customHeight="1">
      <c r="A620" s="85"/>
      <c r="B620" s="85"/>
      <c r="C620" s="65"/>
      <c r="D620" s="85"/>
      <c r="E620" s="85"/>
      <c r="F620" s="65"/>
      <c r="G620" s="65"/>
      <c r="H620" s="85"/>
      <c r="I620" s="85"/>
      <c r="J620" s="85"/>
      <c r="K620" s="85"/>
      <c r="L620" s="85"/>
      <c r="M620" s="108"/>
      <c r="N620" s="85"/>
    </row>
    <row r="621" ht="15.75" customHeight="1">
      <c r="A621" s="85"/>
      <c r="B621" s="85"/>
      <c r="C621" s="65"/>
      <c r="D621" s="85"/>
      <c r="E621" s="85"/>
      <c r="F621" s="65"/>
      <c r="G621" s="65"/>
      <c r="H621" s="85"/>
      <c r="I621" s="85"/>
      <c r="J621" s="85"/>
      <c r="K621" s="85"/>
      <c r="L621" s="85"/>
      <c r="M621" s="108"/>
      <c r="N621" s="85"/>
    </row>
    <row r="622" ht="15.75" customHeight="1">
      <c r="A622" s="85"/>
      <c r="B622" s="85"/>
      <c r="C622" s="65"/>
      <c r="D622" s="85"/>
      <c r="E622" s="85"/>
      <c r="F622" s="65"/>
      <c r="G622" s="65"/>
      <c r="H622" s="85"/>
      <c r="I622" s="85"/>
      <c r="J622" s="85"/>
      <c r="K622" s="85"/>
      <c r="L622" s="85"/>
      <c r="M622" s="108"/>
      <c r="N622" s="85"/>
    </row>
    <row r="623" ht="15.75" customHeight="1">
      <c r="A623" s="85"/>
      <c r="B623" s="85"/>
      <c r="C623" s="65"/>
      <c r="D623" s="85"/>
      <c r="E623" s="85"/>
      <c r="F623" s="65"/>
      <c r="G623" s="65"/>
      <c r="H623" s="85"/>
      <c r="I623" s="85"/>
      <c r="J623" s="85"/>
      <c r="K623" s="85"/>
      <c r="L623" s="85"/>
      <c r="M623" s="108"/>
      <c r="N623" s="85"/>
    </row>
    <row r="624" ht="15.75" customHeight="1">
      <c r="A624" s="85"/>
      <c r="B624" s="85"/>
      <c r="C624" s="65"/>
      <c r="D624" s="85"/>
      <c r="E624" s="85"/>
      <c r="F624" s="65"/>
      <c r="G624" s="65"/>
      <c r="H624" s="85"/>
      <c r="I624" s="85"/>
      <c r="J624" s="85"/>
      <c r="K624" s="85"/>
      <c r="L624" s="85"/>
      <c r="M624" s="108"/>
      <c r="N624" s="85"/>
    </row>
    <row r="625" ht="15.75" customHeight="1">
      <c r="A625" s="85"/>
      <c r="B625" s="85"/>
      <c r="C625" s="65"/>
      <c r="D625" s="85"/>
      <c r="E625" s="85"/>
      <c r="F625" s="65"/>
      <c r="G625" s="65"/>
      <c r="H625" s="85"/>
      <c r="I625" s="85"/>
      <c r="J625" s="85"/>
      <c r="K625" s="85"/>
      <c r="L625" s="85"/>
      <c r="M625" s="108"/>
      <c r="N625" s="85"/>
    </row>
    <row r="626" ht="15.75" customHeight="1">
      <c r="A626" s="85"/>
      <c r="B626" s="85"/>
      <c r="C626" s="65"/>
      <c r="D626" s="85"/>
      <c r="E626" s="85"/>
      <c r="F626" s="65"/>
      <c r="G626" s="65"/>
      <c r="H626" s="85"/>
      <c r="I626" s="85"/>
      <c r="J626" s="85"/>
      <c r="K626" s="85"/>
      <c r="L626" s="85"/>
      <c r="M626" s="108"/>
      <c r="N626" s="85"/>
    </row>
    <row r="627" ht="15.75" customHeight="1">
      <c r="A627" s="85"/>
      <c r="B627" s="85"/>
      <c r="C627" s="65"/>
      <c r="D627" s="85"/>
      <c r="E627" s="85"/>
      <c r="F627" s="65"/>
      <c r="G627" s="65"/>
      <c r="H627" s="85"/>
      <c r="I627" s="85"/>
      <c r="J627" s="85"/>
      <c r="K627" s="85"/>
      <c r="L627" s="85"/>
      <c r="M627" s="108"/>
      <c r="N627" s="85"/>
    </row>
    <row r="628" ht="15.75" customHeight="1">
      <c r="A628" s="85"/>
      <c r="B628" s="85"/>
      <c r="C628" s="65"/>
      <c r="D628" s="85"/>
      <c r="E628" s="85"/>
      <c r="F628" s="65"/>
      <c r="G628" s="65"/>
      <c r="H628" s="85"/>
      <c r="I628" s="85"/>
      <c r="J628" s="85"/>
      <c r="K628" s="85"/>
      <c r="L628" s="85"/>
      <c r="M628" s="108"/>
      <c r="N628" s="85"/>
    </row>
    <row r="629" ht="15.75" customHeight="1">
      <c r="A629" s="85"/>
      <c r="B629" s="85"/>
      <c r="C629" s="65"/>
      <c r="D629" s="85"/>
      <c r="E629" s="85"/>
      <c r="F629" s="65"/>
      <c r="G629" s="65"/>
      <c r="H629" s="85"/>
      <c r="I629" s="85"/>
      <c r="J629" s="85"/>
      <c r="K629" s="85"/>
      <c r="L629" s="85"/>
      <c r="M629" s="108"/>
      <c r="N629" s="85"/>
    </row>
    <row r="630" ht="15.75" customHeight="1">
      <c r="A630" s="85"/>
      <c r="B630" s="85"/>
      <c r="C630" s="65"/>
      <c r="D630" s="85"/>
      <c r="E630" s="85"/>
      <c r="F630" s="65"/>
      <c r="G630" s="65"/>
      <c r="H630" s="85"/>
      <c r="I630" s="85"/>
      <c r="J630" s="85"/>
      <c r="K630" s="85"/>
      <c r="L630" s="85"/>
      <c r="M630" s="108"/>
      <c r="N630" s="85"/>
    </row>
    <row r="631" ht="15.75" customHeight="1">
      <c r="A631" s="85"/>
      <c r="B631" s="85"/>
      <c r="C631" s="65"/>
      <c r="D631" s="85"/>
      <c r="E631" s="85"/>
      <c r="F631" s="65"/>
      <c r="G631" s="65"/>
      <c r="H631" s="85"/>
      <c r="I631" s="85"/>
      <c r="J631" s="85"/>
      <c r="K631" s="85"/>
      <c r="L631" s="85"/>
      <c r="M631" s="108"/>
      <c r="N631" s="85"/>
    </row>
    <row r="632" ht="15.75" customHeight="1">
      <c r="A632" s="85"/>
      <c r="B632" s="85"/>
      <c r="C632" s="65"/>
      <c r="D632" s="85"/>
      <c r="E632" s="85"/>
      <c r="F632" s="65"/>
      <c r="G632" s="65"/>
      <c r="H632" s="85"/>
      <c r="I632" s="85"/>
      <c r="J632" s="85"/>
      <c r="K632" s="85"/>
      <c r="L632" s="85"/>
      <c r="M632" s="108"/>
      <c r="N632" s="85"/>
    </row>
    <row r="633" ht="15.75" customHeight="1">
      <c r="A633" s="85"/>
      <c r="B633" s="85"/>
      <c r="C633" s="65"/>
      <c r="D633" s="85"/>
      <c r="E633" s="85"/>
      <c r="F633" s="65"/>
      <c r="G633" s="65"/>
      <c r="H633" s="85"/>
      <c r="I633" s="85"/>
      <c r="J633" s="85"/>
      <c r="K633" s="85"/>
      <c r="L633" s="85"/>
      <c r="M633" s="108"/>
      <c r="N633" s="85"/>
    </row>
    <row r="634" ht="15.75" customHeight="1">
      <c r="A634" s="85"/>
      <c r="B634" s="85"/>
      <c r="C634" s="65"/>
      <c r="D634" s="85"/>
      <c r="E634" s="85"/>
      <c r="F634" s="65"/>
      <c r="G634" s="65"/>
      <c r="H634" s="85"/>
      <c r="I634" s="85"/>
      <c r="J634" s="85"/>
      <c r="K634" s="85"/>
      <c r="L634" s="85"/>
      <c r="M634" s="108"/>
      <c r="N634" s="85"/>
    </row>
    <row r="635" ht="15.75" customHeight="1">
      <c r="A635" s="85"/>
      <c r="B635" s="85"/>
      <c r="C635" s="65"/>
      <c r="D635" s="85"/>
      <c r="E635" s="85"/>
      <c r="F635" s="65"/>
      <c r="G635" s="65"/>
      <c r="H635" s="85"/>
      <c r="I635" s="85"/>
      <c r="J635" s="85"/>
      <c r="K635" s="85"/>
      <c r="L635" s="85"/>
      <c r="M635" s="108"/>
      <c r="N635" s="85"/>
    </row>
    <row r="636" ht="15.75" customHeight="1">
      <c r="A636" s="85"/>
      <c r="B636" s="85"/>
      <c r="C636" s="65"/>
      <c r="D636" s="85"/>
      <c r="E636" s="85"/>
      <c r="F636" s="65"/>
      <c r="G636" s="65"/>
      <c r="H636" s="85"/>
      <c r="I636" s="85"/>
      <c r="J636" s="85"/>
      <c r="K636" s="85"/>
      <c r="L636" s="85"/>
      <c r="M636" s="108"/>
      <c r="N636" s="85"/>
    </row>
    <row r="637" ht="15.75" customHeight="1">
      <c r="A637" s="85"/>
      <c r="B637" s="85"/>
      <c r="C637" s="65"/>
      <c r="D637" s="85"/>
      <c r="E637" s="85"/>
      <c r="F637" s="65"/>
      <c r="G637" s="65"/>
      <c r="H637" s="85"/>
      <c r="I637" s="85"/>
      <c r="J637" s="85"/>
      <c r="K637" s="85"/>
      <c r="L637" s="85"/>
      <c r="M637" s="108"/>
      <c r="N637" s="85"/>
    </row>
    <row r="638" ht="15.75" customHeight="1">
      <c r="A638" s="85"/>
      <c r="B638" s="85"/>
      <c r="C638" s="65"/>
      <c r="D638" s="85"/>
      <c r="E638" s="85"/>
      <c r="F638" s="65"/>
      <c r="G638" s="65"/>
      <c r="H638" s="85"/>
      <c r="I638" s="85"/>
      <c r="J638" s="85"/>
      <c r="K638" s="85"/>
      <c r="L638" s="85"/>
      <c r="M638" s="108"/>
      <c r="N638" s="85"/>
    </row>
    <row r="639" ht="15.75" customHeight="1">
      <c r="A639" s="85"/>
      <c r="B639" s="85"/>
      <c r="C639" s="65"/>
      <c r="D639" s="85"/>
      <c r="E639" s="85"/>
      <c r="F639" s="65"/>
      <c r="G639" s="65"/>
      <c r="H639" s="85"/>
      <c r="I639" s="85"/>
      <c r="J639" s="85"/>
      <c r="K639" s="85"/>
      <c r="L639" s="85"/>
      <c r="M639" s="108"/>
      <c r="N639" s="85"/>
    </row>
    <row r="640" ht="15.75" customHeight="1">
      <c r="A640" s="85"/>
      <c r="B640" s="85"/>
      <c r="C640" s="65"/>
      <c r="D640" s="85"/>
      <c r="E640" s="85"/>
      <c r="F640" s="65"/>
      <c r="G640" s="65"/>
      <c r="H640" s="85"/>
      <c r="I640" s="85"/>
      <c r="J640" s="85"/>
      <c r="K640" s="85"/>
      <c r="L640" s="85"/>
      <c r="M640" s="108"/>
      <c r="N640" s="85"/>
    </row>
    <row r="641" ht="15.75" customHeight="1">
      <c r="A641" s="85"/>
      <c r="B641" s="85"/>
      <c r="C641" s="65"/>
      <c r="D641" s="85"/>
      <c r="E641" s="85"/>
      <c r="F641" s="65"/>
      <c r="G641" s="65"/>
      <c r="H641" s="85"/>
      <c r="I641" s="85"/>
      <c r="J641" s="85"/>
      <c r="K641" s="85"/>
      <c r="L641" s="85"/>
      <c r="M641" s="108"/>
      <c r="N641" s="85"/>
    </row>
    <row r="642" ht="15.75" customHeight="1">
      <c r="A642" s="85"/>
      <c r="B642" s="85"/>
      <c r="C642" s="65"/>
      <c r="D642" s="85"/>
      <c r="E642" s="85"/>
      <c r="F642" s="65"/>
      <c r="G642" s="65"/>
      <c r="H642" s="85"/>
      <c r="I642" s="85"/>
      <c r="J642" s="85"/>
      <c r="K642" s="85"/>
      <c r="L642" s="85"/>
      <c r="M642" s="108"/>
      <c r="N642" s="85"/>
    </row>
    <row r="643" ht="15.75" customHeight="1">
      <c r="A643" s="85"/>
      <c r="B643" s="85"/>
      <c r="C643" s="65"/>
      <c r="D643" s="85"/>
      <c r="E643" s="85"/>
      <c r="F643" s="65"/>
      <c r="G643" s="65"/>
      <c r="H643" s="85"/>
      <c r="I643" s="85"/>
      <c r="J643" s="85"/>
      <c r="K643" s="85"/>
      <c r="L643" s="85"/>
      <c r="M643" s="108"/>
      <c r="N643" s="85"/>
    </row>
    <row r="644" ht="15.75" customHeight="1">
      <c r="A644" s="85"/>
      <c r="B644" s="85"/>
      <c r="C644" s="65"/>
      <c r="D644" s="85"/>
      <c r="E644" s="85"/>
      <c r="F644" s="65"/>
      <c r="G644" s="65"/>
      <c r="H644" s="85"/>
      <c r="I644" s="85"/>
      <c r="J644" s="85"/>
      <c r="K644" s="85"/>
      <c r="L644" s="85"/>
      <c r="M644" s="108"/>
      <c r="N644" s="85"/>
    </row>
    <row r="645" ht="15.75" customHeight="1">
      <c r="A645" s="85"/>
      <c r="B645" s="85"/>
      <c r="C645" s="65"/>
      <c r="D645" s="85"/>
      <c r="E645" s="85"/>
      <c r="F645" s="65"/>
      <c r="G645" s="65"/>
      <c r="H645" s="85"/>
      <c r="I645" s="85"/>
      <c r="J645" s="85"/>
      <c r="K645" s="85"/>
      <c r="L645" s="85"/>
      <c r="M645" s="108"/>
      <c r="N645" s="85"/>
    </row>
    <row r="646" ht="15.75" customHeight="1">
      <c r="A646" s="85"/>
      <c r="B646" s="85"/>
      <c r="C646" s="65"/>
      <c r="D646" s="85"/>
      <c r="E646" s="85"/>
      <c r="F646" s="65"/>
      <c r="G646" s="65"/>
      <c r="H646" s="85"/>
      <c r="I646" s="85"/>
      <c r="J646" s="85"/>
      <c r="K646" s="85"/>
      <c r="L646" s="85"/>
      <c r="M646" s="108"/>
      <c r="N646" s="85"/>
    </row>
    <row r="647" ht="15.75" customHeight="1">
      <c r="A647" s="85"/>
      <c r="B647" s="85"/>
      <c r="C647" s="65"/>
      <c r="D647" s="85"/>
      <c r="E647" s="85"/>
      <c r="F647" s="65"/>
      <c r="G647" s="65"/>
      <c r="H647" s="85"/>
      <c r="I647" s="85"/>
      <c r="J647" s="85"/>
      <c r="K647" s="85"/>
      <c r="L647" s="85"/>
      <c r="M647" s="108"/>
      <c r="N647" s="85"/>
    </row>
    <row r="648" ht="15.75" customHeight="1">
      <c r="A648" s="85"/>
      <c r="B648" s="85"/>
      <c r="C648" s="65"/>
      <c r="D648" s="85"/>
      <c r="E648" s="85"/>
      <c r="F648" s="65"/>
      <c r="G648" s="65"/>
      <c r="H648" s="85"/>
      <c r="I648" s="85"/>
      <c r="J648" s="85"/>
      <c r="K648" s="85"/>
      <c r="L648" s="85"/>
      <c r="M648" s="108"/>
      <c r="N648" s="85"/>
    </row>
    <row r="649" ht="15.75" customHeight="1">
      <c r="A649" s="85"/>
      <c r="B649" s="85"/>
      <c r="C649" s="65"/>
      <c r="D649" s="85"/>
      <c r="E649" s="85"/>
      <c r="F649" s="65"/>
      <c r="G649" s="65"/>
      <c r="H649" s="85"/>
      <c r="I649" s="85"/>
      <c r="J649" s="85"/>
      <c r="K649" s="85"/>
      <c r="L649" s="85"/>
      <c r="M649" s="108"/>
      <c r="N649" s="85"/>
    </row>
    <row r="650" ht="15.75" customHeight="1">
      <c r="A650" s="85"/>
      <c r="B650" s="85"/>
      <c r="C650" s="65"/>
      <c r="D650" s="85"/>
      <c r="E650" s="85"/>
      <c r="F650" s="65"/>
      <c r="G650" s="65"/>
      <c r="H650" s="85"/>
      <c r="I650" s="85"/>
      <c r="J650" s="85"/>
      <c r="K650" s="85"/>
      <c r="L650" s="85"/>
      <c r="M650" s="108"/>
      <c r="N650" s="85"/>
    </row>
    <row r="651" ht="15.75" customHeight="1">
      <c r="A651" s="85"/>
      <c r="B651" s="85"/>
      <c r="C651" s="65"/>
      <c r="D651" s="85"/>
      <c r="E651" s="85"/>
      <c r="F651" s="65"/>
      <c r="G651" s="65"/>
      <c r="H651" s="85"/>
      <c r="I651" s="85"/>
      <c r="J651" s="85"/>
      <c r="K651" s="85"/>
      <c r="L651" s="85"/>
      <c r="M651" s="108"/>
      <c r="N651" s="85"/>
    </row>
    <row r="652" ht="15.75" customHeight="1">
      <c r="A652" s="85"/>
      <c r="B652" s="85"/>
      <c r="C652" s="65"/>
      <c r="D652" s="85"/>
      <c r="E652" s="85"/>
      <c r="F652" s="65"/>
      <c r="G652" s="65"/>
      <c r="H652" s="85"/>
      <c r="I652" s="85"/>
      <c r="J652" s="85"/>
      <c r="K652" s="85"/>
      <c r="L652" s="85"/>
      <c r="M652" s="108"/>
      <c r="N652" s="85"/>
    </row>
    <row r="653" ht="15.75" customHeight="1">
      <c r="A653" s="85"/>
      <c r="B653" s="85"/>
      <c r="C653" s="65"/>
      <c r="D653" s="85"/>
      <c r="E653" s="85"/>
      <c r="F653" s="65"/>
      <c r="G653" s="65"/>
      <c r="H653" s="85"/>
      <c r="I653" s="85"/>
      <c r="J653" s="85"/>
      <c r="K653" s="85"/>
      <c r="L653" s="85"/>
      <c r="M653" s="108"/>
      <c r="N653" s="85"/>
    </row>
    <row r="654" ht="15.75" customHeight="1">
      <c r="A654" s="85"/>
      <c r="B654" s="85"/>
      <c r="C654" s="65"/>
      <c r="D654" s="85"/>
      <c r="E654" s="85"/>
      <c r="F654" s="65"/>
      <c r="G654" s="65"/>
      <c r="H654" s="85"/>
      <c r="I654" s="85"/>
      <c r="J654" s="85"/>
      <c r="K654" s="85"/>
      <c r="L654" s="85"/>
      <c r="M654" s="108"/>
      <c r="N654" s="85"/>
    </row>
    <row r="655" ht="15.75" customHeight="1">
      <c r="A655" s="85"/>
      <c r="B655" s="85"/>
      <c r="C655" s="65"/>
      <c r="D655" s="85"/>
      <c r="E655" s="85"/>
      <c r="F655" s="65"/>
      <c r="G655" s="65"/>
      <c r="H655" s="85"/>
      <c r="I655" s="85"/>
      <c r="J655" s="85"/>
      <c r="K655" s="85"/>
      <c r="L655" s="85"/>
      <c r="M655" s="108"/>
      <c r="N655" s="85"/>
    </row>
    <row r="656" ht="15.75" customHeight="1">
      <c r="A656" s="85"/>
      <c r="B656" s="85"/>
      <c r="C656" s="65"/>
      <c r="D656" s="85"/>
      <c r="E656" s="85"/>
      <c r="F656" s="65"/>
      <c r="G656" s="65"/>
      <c r="H656" s="85"/>
      <c r="I656" s="85"/>
      <c r="J656" s="85"/>
      <c r="K656" s="85"/>
      <c r="L656" s="85"/>
      <c r="M656" s="108"/>
      <c r="N656" s="85"/>
    </row>
    <row r="657" ht="15.75" customHeight="1">
      <c r="A657" s="85"/>
      <c r="B657" s="85"/>
      <c r="C657" s="65"/>
      <c r="D657" s="85"/>
      <c r="E657" s="85"/>
      <c r="F657" s="65"/>
      <c r="G657" s="65"/>
      <c r="H657" s="85"/>
      <c r="I657" s="85"/>
      <c r="J657" s="85"/>
      <c r="K657" s="85"/>
      <c r="L657" s="85"/>
      <c r="M657" s="108"/>
      <c r="N657" s="85"/>
    </row>
    <row r="658" ht="15.75" customHeight="1">
      <c r="A658" s="85"/>
      <c r="B658" s="85"/>
      <c r="C658" s="65"/>
      <c r="D658" s="85"/>
      <c r="E658" s="85"/>
      <c r="F658" s="65"/>
      <c r="G658" s="65"/>
      <c r="H658" s="85"/>
      <c r="I658" s="85"/>
      <c r="J658" s="85"/>
      <c r="K658" s="85"/>
      <c r="L658" s="85"/>
      <c r="M658" s="108"/>
      <c r="N658" s="85"/>
    </row>
    <row r="659" ht="15.75" customHeight="1">
      <c r="A659" s="85"/>
      <c r="B659" s="85"/>
      <c r="C659" s="65"/>
      <c r="D659" s="85"/>
      <c r="E659" s="85"/>
      <c r="F659" s="65"/>
      <c r="G659" s="65"/>
      <c r="H659" s="85"/>
      <c r="I659" s="85"/>
      <c r="J659" s="85"/>
      <c r="K659" s="85"/>
      <c r="L659" s="85"/>
      <c r="M659" s="108"/>
      <c r="N659" s="85"/>
    </row>
    <row r="660" ht="15.75" customHeight="1">
      <c r="A660" s="85"/>
      <c r="B660" s="85"/>
      <c r="C660" s="65"/>
      <c r="D660" s="85"/>
      <c r="E660" s="85"/>
      <c r="F660" s="65"/>
      <c r="G660" s="65"/>
      <c r="H660" s="85"/>
      <c r="I660" s="85"/>
      <c r="J660" s="85"/>
      <c r="K660" s="85"/>
      <c r="L660" s="85"/>
      <c r="M660" s="108"/>
      <c r="N660" s="85"/>
    </row>
    <row r="661" ht="15.75" customHeight="1">
      <c r="A661" s="85"/>
      <c r="B661" s="85"/>
      <c r="C661" s="65"/>
      <c r="D661" s="85"/>
      <c r="E661" s="85"/>
      <c r="F661" s="65"/>
      <c r="G661" s="65"/>
      <c r="H661" s="85"/>
      <c r="I661" s="85"/>
      <c r="J661" s="85"/>
      <c r="K661" s="85"/>
      <c r="L661" s="85"/>
      <c r="M661" s="108"/>
      <c r="N661" s="85"/>
    </row>
    <row r="662" ht="15.75" customHeight="1">
      <c r="A662" s="85"/>
      <c r="B662" s="85"/>
      <c r="C662" s="65"/>
      <c r="D662" s="85"/>
      <c r="E662" s="85"/>
      <c r="F662" s="65"/>
      <c r="G662" s="65"/>
      <c r="H662" s="85"/>
      <c r="I662" s="85"/>
      <c r="J662" s="85"/>
      <c r="K662" s="85"/>
      <c r="L662" s="85"/>
      <c r="M662" s="108"/>
      <c r="N662" s="85"/>
    </row>
    <row r="663" ht="15.75" customHeight="1">
      <c r="A663" s="85"/>
      <c r="B663" s="85"/>
      <c r="C663" s="65"/>
      <c r="D663" s="85"/>
      <c r="E663" s="85"/>
      <c r="F663" s="65"/>
      <c r="G663" s="65"/>
      <c r="H663" s="85"/>
      <c r="I663" s="85"/>
      <c r="J663" s="85"/>
      <c r="K663" s="85"/>
      <c r="L663" s="85"/>
      <c r="M663" s="108"/>
      <c r="N663" s="85"/>
    </row>
    <row r="664" ht="15.75" customHeight="1">
      <c r="A664" s="85"/>
      <c r="B664" s="85"/>
      <c r="C664" s="65"/>
      <c r="D664" s="85"/>
      <c r="E664" s="85"/>
      <c r="F664" s="65"/>
      <c r="G664" s="65"/>
      <c r="H664" s="85"/>
      <c r="I664" s="85"/>
      <c r="J664" s="85"/>
      <c r="K664" s="85"/>
      <c r="L664" s="85"/>
      <c r="M664" s="108"/>
      <c r="N664" s="85"/>
    </row>
    <row r="665" ht="15.75" customHeight="1">
      <c r="A665" s="85"/>
      <c r="B665" s="85"/>
      <c r="C665" s="65"/>
      <c r="D665" s="85"/>
      <c r="E665" s="85"/>
      <c r="F665" s="65"/>
      <c r="G665" s="65"/>
      <c r="H665" s="85"/>
      <c r="I665" s="85"/>
      <c r="J665" s="85"/>
      <c r="K665" s="85"/>
      <c r="L665" s="85"/>
      <c r="M665" s="108"/>
      <c r="N665" s="85"/>
    </row>
    <row r="666" ht="15.75" customHeight="1">
      <c r="A666" s="85"/>
      <c r="B666" s="85"/>
      <c r="C666" s="65"/>
      <c r="D666" s="85"/>
      <c r="E666" s="85"/>
      <c r="F666" s="65"/>
      <c r="G666" s="65"/>
      <c r="H666" s="85"/>
      <c r="I666" s="85"/>
      <c r="J666" s="85"/>
      <c r="K666" s="85"/>
      <c r="L666" s="85"/>
      <c r="M666" s="108"/>
      <c r="N666" s="85"/>
    </row>
    <row r="667" ht="15.75" customHeight="1">
      <c r="A667" s="85"/>
      <c r="B667" s="85"/>
      <c r="C667" s="65"/>
      <c r="D667" s="85"/>
      <c r="E667" s="85"/>
      <c r="F667" s="65"/>
      <c r="G667" s="65"/>
      <c r="H667" s="85"/>
      <c r="I667" s="85"/>
      <c r="J667" s="85"/>
      <c r="K667" s="85"/>
      <c r="L667" s="85"/>
      <c r="M667" s="108"/>
      <c r="N667" s="85"/>
    </row>
    <row r="668" ht="15.75" customHeight="1">
      <c r="A668" s="85"/>
      <c r="B668" s="85"/>
      <c r="C668" s="65"/>
      <c r="D668" s="85"/>
      <c r="E668" s="85"/>
      <c r="F668" s="65"/>
      <c r="G668" s="65"/>
      <c r="H668" s="85"/>
      <c r="I668" s="85"/>
      <c r="J668" s="85"/>
      <c r="K668" s="85"/>
      <c r="L668" s="85"/>
      <c r="M668" s="108"/>
      <c r="N668" s="85"/>
    </row>
    <row r="669" ht="15.75" customHeight="1">
      <c r="A669" s="85"/>
      <c r="B669" s="85"/>
      <c r="C669" s="65"/>
      <c r="D669" s="85"/>
      <c r="E669" s="85"/>
      <c r="F669" s="65"/>
      <c r="G669" s="65"/>
      <c r="H669" s="85"/>
      <c r="I669" s="85"/>
      <c r="J669" s="85"/>
      <c r="K669" s="85"/>
      <c r="L669" s="85"/>
      <c r="M669" s="108"/>
      <c r="N669" s="85"/>
    </row>
    <row r="670" ht="15.75" customHeight="1">
      <c r="A670" s="85"/>
      <c r="B670" s="85"/>
      <c r="C670" s="65"/>
      <c r="D670" s="85"/>
      <c r="E670" s="85"/>
      <c r="F670" s="65"/>
      <c r="G670" s="65"/>
      <c r="H670" s="85"/>
      <c r="I670" s="85"/>
      <c r="J670" s="85"/>
      <c r="K670" s="85"/>
      <c r="L670" s="85"/>
      <c r="M670" s="108"/>
      <c r="N670" s="85"/>
    </row>
    <row r="671" ht="15.75" customHeight="1">
      <c r="A671" s="85"/>
      <c r="B671" s="85"/>
      <c r="C671" s="65"/>
      <c r="D671" s="85"/>
      <c r="E671" s="85"/>
      <c r="F671" s="65"/>
      <c r="G671" s="65"/>
      <c r="H671" s="85"/>
      <c r="I671" s="85"/>
      <c r="J671" s="85"/>
      <c r="K671" s="85"/>
      <c r="L671" s="85"/>
      <c r="M671" s="108"/>
      <c r="N671" s="85"/>
    </row>
    <row r="672" ht="15.75" customHeight="1">
      <c r="A672" s="85"/>
      <c r="B672" s="85"/>
      <c r="C672" s="65"/>
      <c r="D672" s="85"/>
      <c r="E672" s="85"/>
      <c r="F672" s="65"/>
      <c r="G672" s="65"/>
      <c r="H672" s="85"/>
      <c r="I672" s="85"/>
      <c r="J672" s="85"/>
      <c r="K672" s="85"/>
      <c r="L672" s="85"/>
      <c r="M672" s="108"/>
      <c r="N672" s="85"/>
    </row>
    <row r="673" ht="15.75" customHeight="1">
      <c r="A673" s="85"/>
      <c r="B673" s="85"/>
      <c r="C673" s="65"/>
      <c r="D673" s="85"/>
      <c r="E673" s="85"/>
      <c r="F673" s="65"/>
      <c r="G673" s="65"/>
      <c r="H673" s="85"/>
      <c r="I673" s="85"/>
      <c r="J673" s="85"/>
      <c r="K673" s="85"/>
      <c r="L673" s="85"/>
      <c r="M673" s="108"/>
      <c r="N673" s="85"/>
    </row>
    <row r="674" ht="15.75" customHeight="1">
      <c r="A674" s="85"/>
      <c r="B674" s="85"/>
      <c r="C674" s="65"/>
      <c r="D674" s="85"/>
      <c r="E674" s="85"/>
      <c r="F674" s="65"/>
      <c r="G674" s="65"/>
      <c r="H674" s="85"/>
      <c r="I674" s="85"/>
      <c r="J674" s="85"/>
      <c r="K674" s="85"/>
      <c r="L674" s="85"/>
      <c r="M674" s="108"/>
      <c r="N674" s="85"/>
    </row>
    <row r="675" ht="15.75" customHeight="1">
      <c r="A675" s="85"/>
      <c r="B675" s="85"/>
      <c r="C675" s="65"/>
      <c r="D675" s="85"/>
      <c r="E675" s="85"/>
      <c r="F675" s="65"/>
      <c r="G675" s="65"/>
      <c r="H675" s="85"/>
      <c r="I675" s="85"/>
      <c r="J675" s="85"/>
      <c r="K675" s="85"/>
      <c r="L675" s="85"/>
      <c r="M675" s="108"/>
      <c r="N675" s="85"/>
    </row>
    <row r="676" ht="15.75" customHeight="1">
      <c r="A676" s="85"/>
      <c r="B676" s="85"/>
      <c r="C676" s="65"/>
      <c r="D676" s="85"/>
      <c r="E676" s="85"/>
      <c r="F676" s="65"/>
      <c r="G676" s="65"/>
      <c r="H676" s="85"/>
      <c r="I676" s="85"/>
      <c r="J676" s="85"/>
      <c r="K676" s="85"/>
      <c r="L676" s="85"/>
      <c r="M676" s="108"/>
      <c r="N676" s="85"/>
    </row>
    <row r="677" ht="15.75" customHeight="1">
      <c r="A677" s="85"/>
      <c r="B677" s="85"/>
      <c r="C677" s="65"/>
      <c r="D677" s="85"/>
      <c r="E677" s="85"/>
      <c r="F677" s="65"/>
      <c r="G677" s="65"/>
      <c r="H677" s="85"/>
      <c r="I677" s="85"/>
      <c r="J677" s="85"/>
      <c r="K677" s="85"/>
      <c r="L677" s="85"/>
      <c r="M677" s="108"/>
      <c r="N677" s="85"/>
    </row>
    <row r="678" ht="15.75" customHeight="1">
      <c r="A678" s="85"/>
      <c r="B678" s="85"/>
      <c r="C678" s="65"/>
      <c r="D678" s="85"/>
      <c r="E678" s="85"/>
      <c r="F678" s="65"/>
      <c r="G678" s="65"/>
      <c r="H678" s="85"/>
      <c r="I678" s="85"/>
      <c r="J678" s="85"/>
      <c r="K678" s="85"/>
      <c r="L678" s="85"/>
      <c r="M678" s="108"/>
      <c r="N678" s="85"/>
    </row>
    <row r="679" ht="15.75" customHeight="1">
      <c r="A679" s="85"/>
      <c r="B679" s="85"/>
      <c r="C679" s="65"/>
      <c r="D679" s="85"/>
      <c r="E679" s="85"/>
      <c r="F679" s="65"/>
      <c r="G679" s="65"/>
      <c r="H679" s="85"/>
      <c r="I679" s="85"/>
      <c r="J679" s="85"/>
      <c r="K679" s="85"/>
      <c r="L679" s="85"/>
      <c r="M679" s="108"/>
      <c r="N679" s="85"/>
    </row>
    <row r="680" ht="15.75" customHeight="1">
      <c r="A680" s="85"/>
      <c r="B680" s="85"/>
      <c r="C680" s="65"/>
      <c r="D680" s="85"/>
      <c r="E680" s="85"/>
      <c r="F680" s="65"/>
      <c r="G680" s="65"/>
      <c r="H680" s="85"/>
      <c r="I680" s="85"/>
      <c r="J680" s="85"/>
      <c r="K680" s="85"/>
      <c r="L680" s="85"/>
      <c r="M680" s="108"/>
      <c r="N680" s="85"/>
    </row>
    <row r="681" ht="15.75" customHeight="1">
      <c r="A681" s="85"/>
      <c r="B681" s="85"/>
      <c r="C681" s="65"/>
      <c r="D681" s="85"/>
      <c r="E681" s="85"/>
      <c r="F681" s="65"/>
      <c r="G681" s="65"/>
      <c r="H681" s="85"/>
      <c r="I681" s="85"/>
      <c r="J681" s="85"/>
      <c r="K681" s="85"/>
      <c r="L681" s="85"/>
      <c r="M681" s="108"/>
      <c r="N681" s="85"/>
    </row>
    <row r="682" ht="15.75" customHeight="1">
      <c r="A682" s="85"/>
      <c r="B682" s="85"/>
      <c r="C682" s="65"/>
      <c r="D682" s="85"/>
      <c r="E682" s="85"/>
      <c r="F682" s="65"/>
      <c r="G682" s="65"/>
      <c r="H682" s="85"/>
      <c r="I682" s="85"/>
      <c r="J682" s="85"/>
      <c r="K682" s="85"/>
      <c r="L682" s="85"/>
      <c r="M682" s="108"/>
      <c r="N682" s="85"/>
    </row>
    <row r="683" ht="15.75" customHeight="1">
      <c r="A683" s="85"/>
      <c r="B683" s="85"/>
      <c r="C683" s="65"/>
      <c r="D683" s="85"/>
      <c r="E683" s="85"/>
      <c r="F683" s="65"/>
      <c r="G683" s="65"/>
      <c r="H683" s="85"/>
      <c r="I683" s="85"/>
      <c r="J683" s="85"/>
      <c r="K683" s="85"/>
      <c r="L683" s="85"/>
      <c r="M683" s="108"/>
      <c r="N683" s="85"/>
    </row>
    <row r="684" ht="15.75" customHeight="1">
      <c r="A684" s="85"/>
      <c r="B684" s="85"/>
      <c r="C684" s="65"/>
      <c r="D684" s="85"/>
      <c r="E684" s="85"/>
      <c r="F684" s="65"/>
      <c r="G684" s="65"/>
      <c r="H684" s="85"/>
      <c r="I684" s="85"/>
      <c r="J684" s="85"/>
      <c r="K684" s="85"/>
      <c r="L684" s="85"/>
      <c r="M684" s="108"/>
      <c r="N684" s="85"/>
    </row>
    <row r="685" ht="15.75" customHeight="1">
      <c r="A685" s="85"/>
      <c r="B685" s="85"/>
      <c r="C685" s="65"/>
      <c r="D685" s="85"/>
      <c r="E685" s="85"/>
      <c r="F685" s="65"/>
      <c r="G685" s="65"/>
      <c r="H685" s="85"/>
      <c r="I685" s="85"/>
      <c r="J685" s="85"/>
      <c r="K685" s="85"/>
      <c r="L685" s="85"/>
      <c r="M685" s="108"/>
      <c r="N685" s="85"/>
    </row>
    <row r="686" ht="15.75" customHeight="1">
      <c r="A686" s="85"/>
      <c r="B686" s="85"/>
      <c r="C686" s="65"/>
      <c r="D686" s="85"/>
      <c r="E686" s="85"/>
      <c r="F686" s="65"/>
      <c r="G686" s="65"/>
      <c r="H686" s="85"/>
      <c r="I686" s="85"/>
      <c r="J686" s="85"/>
      <c r="K686" s="85"/>
      <c r="L686" s="85"/>
      <c r="M686" s="108"/>
      <c r="N686" s="85"/>
    </row>
    <row r="687" ht="15.75" customHeight="1">
      <c r="A687" s="85"/>
      <c r="B687" s="85"/>
      <c r="C687" s="65"/>
      <c r="D687" s="85"/>
      <c r="E687" s="85"/>
      <c r="F687" s="65"/>
      <c r="G687" s="65"/>
      <c r="H687" s="85"/>
      <c r="I687" s="85"/>
      <c r="J687" s="85"/>
      <c r="K687" s="85"/>
      <c r="L687" s="85"/>
      <c r="M687" s="108"/>
      <c r="N687" s="85"/>
    </row>
    <row r="688" ht="15.75" customHeight="1">
      <c r="A688" s="85"/>
      <c r="B688" s="85"/>
      <c r="C688" s="65"/>
      <c r="D688" s="85"/>
      <c r="E688" s="85"/>
      <c r="F688" s="65"/>
      <c r="G688" s="65"/>
      <c r="H688" s="85"/>
      <c r="I688" s="85"/>
      <c r="J688" s="85"/>
      <c r="K688" s="85"/>
      <c r="L688" s="85"/>
      <c r="M688" s="108"/>
      <c r="N688" s="85"/>
    </row>
    <row r="689" ht="15.75" customHeight="1">
      <c r="A689" s="85"/>
      <c r="B689" s="85"/>
      <c r="C689" s="65"/>
      <c r="D689" s="85"/>
      <c r="E689" s="85"/>
      <c r="F689" s="65"/>
      <c r="G689" s="65"/>
      <c r="H689" s="85"/>
      <c r="I689" s="85"/>
      <c r="J689" s="85"/>
      <c r="K689" s="85"/>
      <c r="L689" s="85"/>
      <c r="M689" s="108"/>
      <c r="N689" s="85"/>
    </row>
    <row r="690" ht="15.75" customHeight="1">
      <c r="A690" s="85"/>
      <c r="B690" s="85"/>
      <c r="C690" s="65"/>
      <c r="D690" s="85"/>
      <c r="E690" s="85"/>
      <c r="F690" s="65"/>
      <c r="G690" s="65"/>
      <c r="H690" s="85"/>
      <c r="I690" s="85"/>
      <c r="J690" s="85"/>
      <c r="K690" s="85"/>
      <c r="L690" s="85"/>
      <c r="M690" s="108"/>
      <c r="N690" s="85"/>
    </row>
    <row r="691" ht="15.75" customHeight="1">
      <c r="A691" s="85"/>
      <c r="B691" s="85"/>
      <c r="C691" s="65"/>
      <c r="D691" s="85"/>
      <c r="E691" s="85"/>
      <c r="F691" s="65"/>
      <c r="G691" s="65"/>
      <c r="H691" s="85"/>
      <c r="I691" s="85"/>
      <c r="J691" s="85"/>
      <c r="K691" s="85"/>
      <c r="L691" s="85"/>
      <c r="M691" s="108"/>
      <c r="N691" s="85"/>
    </row>
    <row r="692" ht="15.75" customHeight="1">
      <c r="A692" s="85"/>
      <c r="B692" s="85"/>
      <c r="C692" s="65"/>
      <c r="D692" s="85"/>
      <c r="E692" s="85"/>
      <c r="F692" s="65"/>
      <c r="G692" s="65"/>
      <c r="H692" s="85"/>
      <c r="I692" s="85"/>
      <c r="J692" s="85"/>
      <c r="K692" s="85"/>
      <c r="L692" s="85"/>
      <c r="M692" s="108"/>
      <c r="N692" s="85"/>
    </row>
    <row r="693" ht="15.75" customHeight="1">
      <c r="A693" s="85"/>
      <c r="B693" s="85"/>
      <c r="C693" s="65"/>
      <c r="D693" s="85"/>
      <c r="E693" s="85"/>
      <c r="F693" s="65"/>
      <c r="G693" s="65"/>
      <c r="H693" s="85"/>
      <c r="I693" s="85"/>
      <c r="J693" s="85"/>
      <c r="K693" s="85"/>
      <c r="L693" s="85"/>
      <c r="M693" s="108"/>
      <c r="N693" s="85"/>
    </row>
    <row r="694" ht="15.75" customHeight="1">
      <c r="A694" s="85"/>
      <c r="B694" s="85"/>
      <c r="C694" s="65"/>
      <c r="D694" s="85"/>
      <c r="E694" s="85"/>
      <c r="F694" s="65"/>
      <c r="G694" s="65"/>
      <c r="H694" s="85"/>
      <c r="I694" s="85"/>
      <c r="J694" s="85"/>
      <c r="K694" s="85"/>
      <c r="L694" s="85"/>
      <c r="M694" s="108"/>
      <c r="N694" s="85"/>
    </row>
    <row r="695" ht="15.75" customHeight="1">
      <c r="A695" s="85"/>
      <c r="B695" s="85"/>
      <c r="C695" s="65"/>
      <c r="D695" s="85"/>
      <c r="E695" s="85"/>
      <c r="F695" s="65"/>
      <c r="G695" s="65"/>
      <c r="H695" s="85"/>
      <c r="I695" s="85"/>
      <c r="J695" s="85"/>
      <c r="K695" s="85"/>
      <c r="L695" s="85"/>
      <c r="M695" s="108"/>
      <c r="N695" s="85"/>
    </row>
    <row r="696" ht="15.75" customHeight="1">
      <c r="A696" s="85"/>
      <c r="B696" s="85"/>
      <c r="C696" s="65"/>
      <c r="D696" s="85"/>
      <c r="E696" s="85"/>
      <c r="F696" s="65"/>
      <c r="G696" s="65"/>
      <c r="H696" s="85"/>
      <c r="I696" s="85"/>
      <c r="J696" s="85"/>
      <c r="K696" s="85"/>
      <c r="L696" s="85"/>
      <c r="M696" s="108"/>
      <c r="N696" s="85"/>
    </row>
    <row r="697" ht="15.75" customHeight="1">
      <c r="A697" s="85"/>
      <c r="B697" s="85"/>
      <c r="C697" s="65"/>
      <c r="D697" s="85"/>
      <c r="E697" s="85"/>
      <c r="F697" s="65"/>
      <c r="G697" s="65"/>
      <c r="H697" s="85"/>
      <c r="I697" s="85"/>
      <c r="J697" s="85"/>
      <c r="K697" s="85"/>
      <c r="L697" s="85"/>
      <c r="M697" s="108"/>
      <c r="N697" s="85"/>
    </row>
    <row r="698" ht="15.75" customHeight="1">
      <c r="A698" s="85"/>
      <c r="B698" s="85"/>
      <c r="C698" s="65"/>
      <c r="D698" s="85"/>
      <c r="E698" s="85"/>
      <c r="F698" s="65"/>
      <c r="G698" s="65"/>
      <c r="H698" s="85"/>
      <c r="I698" s="85"/>
      <c r="J698" s="85"/>
      <c r="K698" s="85"/>
      <c r="L698" s="85"/>
      <c r="M698" s="108"/>
      <c r="N698" s="85"/>
    </row>
    <row r="699" ht="15.75" customHeight="1">
      <c r="A699" s="85"/>
      <c r="B699" s="85"/>
      <c r="C699" s="65"/>
      <c r="D699" s="85"/>
      <c r="E699" s="85"/>
      <c r="F699" s="65"/>
      <c r="G699" s="65"/>
      <c r="H699" s="85"/>
      <c r="I699" s="85"/>
      <c r="J699" s="85"/>
      <c r="K699" s="85"/>
      <c r="L699" s="85"/>
      <c r="M699" s="108"/>
      <c r="N699" s="85"/>
    </row>
    <row r="700" ht="15.75" customHeight="1">
      <c r="A700" s="85"/>
      <c r="B700" s="85"/>
      <c r="C700" s="65"/>
      <c r="D700" s="85"/>
      <c r="E700" s="85"/>
      <c r="F700" s="65"/>
      <c r="G700" s="65"/>
      <c r="H700" s="85"/>
      <c r="I700" s="85"/>
      <c r="J700" s="85"/>
      <c r="K700" s="85"/>
      <c r="L700" s="85"/>
      <c r="M700" s="108"/>
      <c r="N700" s="85"/>
    </row>
    <row r="701" ht="15.75" customHeight="1">
      <c r="A701" s="85"/>
      <c r="B701" s="85"/>
      <c r="C701" s="65"/>
      <c r="D701" s="85"/>
      <c r="E701" s="85"/>
      <c r="F701" s="65"/>
      <c r="G701" s="65"/>
      <c r="H701" s="85"/>
      <c r="I701" s="85"/>
      <c r="J701" s="85"/>
      <c r="K701" s="85"/>
      <c r="L701" s="85"/>
      <c r="M701" s="108"/>
      <c r="N701" s="85"/>
    </row>
    <row r="702" ht="15.75" customHeight="1">
      <c r="A702" s="85"/>
      <c r="B702" s="85"/>
      <c r="C702" s="65"/>
      <c r="D702" s="85"/>
      <c r="E702" s="85"/>
      <c r="F702" s="65"/>
      <c r="G702" s="65"/>
      <c r="H702" s="85"/>
      <c r="I702" s="85"/>
      <c r="J702" s="85"/>
      <c r="K702" s="85"/>
      <c r="L702" s="85"/>
      <c r="M702" s="108"/>
      <c r="N702" s="85"/>
    </row>
    <row r="703" ht="15.75" customHeight="1">
      <c r="A703" s="85"/>
      <c r="B703" s="85"/>
      <c r="C703" s="65"/>
      <c r="D703" s="85"/>
      <c r="E703" s="85"/>
      <c r="F703" s="65"/>
      <c r="G703" s="65"/>
      <c r="H703" s="85"/>
      <c r="I703" s="85"/>
      <c r="J703" s="85"/>
      <c r="K703" s="85"/>
      <c r="L703" s="85"/>
      <c r="M703" s="108"/>
      <c r="N703" s="85"/>
    </row>
    <row r="704" ht="15.75" customHeight="1">
      <c r="A704" s="85"/>
      <c r="B704" s="85"/>
      <c r="C704" s="65"/>
      <c r="D704" s="85"/>
      <c r="E704" s="85"/>
      <c r="F704" s="65"/>
      <c r="G704" s="65"/>
      <c r="H704" s="85"/>
      <c r="I704" s="85"/>
      <c r="J704" s="85"/>
      <c r="K704" s="85"/>
      <c r="L704" s="85"/>
      <c r="M704" s="108"/>
      <c r="N704" s="85"/>
    </row>
    <row r="705" ht="15.75" customHeight="1">
      <c r="A705" s="85"/>
      <c r="B705" s="85"/>
      <c r="C705" s="65"/>
      <c r="D705" s="85"/>
      <c r="E705" s="85"/>
      <c r="F705" s="65"/>
      <c r="G705" s="65"/>
      <c r="H705" s="85"/>
      <c r="I705" s="85"/>
      <c r="J705" s="85"/>
      <c r="K705" s="85"/>
      <c r="L705" s="85"/>
      <c r="M705" s="108"/>
      <c r="N705" s="85"/>
    </row>
    <row r="706" ht="15.75" customHeight="1">
      <c r="A706" s="85"/>
      <c r="B706" s="85"/>
      <c r="C706" s="65"/>
      <c r="D706" s="85"/>
      <c r="E706" s="85"/>
      <c r="F706" s="65"/>
      <c r="G706" s="65"/>
      <c r="H706" s="85"/>
      <c r="I706" s="85"/>
      <c r="J706" s="85"/>
      <c r="K706" s="85"/>
      <c r="L706" s="85"/>
      <c r="M706" s="108"/>
      <c r="N706" s="85"/>
    </row>
    <row r="707" ht="15.75" customHeight="1">
      <c r="A707" s="85"/>
      <c r="B707" s="85"/>
      <c r="C707" s="65"/>
      <c r="D707" s="85"/>
      <c r="E707" s="85"/>
      <c r="F707" s="65"/>
      <c r="G707" s="65"/>
      <c r="H707" s="85"/>
      <c r="I707" s="85"/>
      <c r="J707" s="85"/>
      <c r="K707" s="85"/>
      <c r="L707" s="85"/>
      <c r="M707" s="108"/>
      <c r="N707" s="85"/>
    </row>
    <row r="708" ht="15.75" customHeight="1">
      <c r="A708" s="85"/>
      <c r="B708" s="85"/>
      <c r="C708" s="65"/>
      <c r="D708" s="85"/>
      <c r="E708" s="85"/>
      <c r="F708" s="65"/>
      <c r="G708" s="65"/>
      <c r="H708" s="85"/>
      <c r="I708" s="85"/>
      <c r="J708" s="85"/>
      <c r="K708" s="85"/>
      <c r="L708" s="85"/>
      <c r="M708" s="108"/>
      <c r="N708" s="85"/>
    </row>
    <row r="709" ht="15.75" customHeight="1">
      <c r="A709" s="85"/>
      <c r="B709" s="85"/>
      <c r="C709" s="65"/>
      <c r="D709" s="85"/>
      <c r="E709" s="85"/>
      <c r="F709" s="65"/>
      <c r="G709" s="65"/>
      <c r="H709" s="85"/>
      <c r="I709" s="85"/>
      <c r="J709" s="85"/>
      <c r="K709" s="85"/>
      <c r="L709" s="85"/>
      <c r="M709" s="108"/>
      <c r="N709" s="85"/>
    </row>
    <row r="710" ht="15.75" customHeight="1">
      <c r="A710" s="85"/>
      <c r="B710" s="85"/>
      <c r="C710" s="65"/>
      <c r="D710" s="85"/>
      <c r="E710" s="85"/>
      <c r="F710" s="65"/>
      <c r="G710" s="65"/>
      <c r="H710" s="85"/>
      <c r="I710" s="85"/>
      <c r="J710" s="85"/>
      <c r="K710" s="85"/>
      <c r="L710" s="85"/>
      <c r="M710" s="108"/>
      <c r="N710" s="85"/>
    </row>
    <row r="711" ht="15.75" customHeight="1">
      <c r="A711" s="85"/>
      <c r="B711" s="85"/>
      <c r="C711" s="65"/>
      <c r="D711" s="85"/>
      <c r="E711" s="85"/>
      <c r="F711" s="65"/>
      <c r="G711" s="65"/>
      <c r="H711" s="85"/>
      <c r="I711" s="85"/>
      <c r="J711" s="85"/>
      <c r="K711" s="85"/>
      <c r="L711" s="85"/>
      <c r="M711" s="108"/>
      <c r="N711" s="85"/>
    </row>
    <row r="712" ht="15.75" customHeight="1">
      <c r="A712" s="85"/>
      <c r="B712" s="85"/>
      <c r="C712" s="65"/>
      <c r="D712" s="85"/>
      <c r="E712" s="85"/>
      <c r="F712" s="65"/>
      <c r="G712" s="65"/>
      <c r="H712" s="85"/>
      <c r="I712" s="85"/>
      <c r="J712" s="85"/>
      <c r="K712" s="85"/>
      <c r="L712" s="85"/>
      <c r="M712" s="108"/>
      <c r="N712" s="85"/>
    </row>
    <row r="713" ht="15.75" customHeight="1">
      <c r="A713" s="85"/>
      <c r="B713" s="85"/>
      <c r="C713" s="65"/>
      <c r="D713" s="85"/>
      <c r="E713" s="85"/>
      <c r="F713" s="65"/>
      <c r="G713" s="65"/>
      <c r="H713" s="85"/>
      <c r="I713" s="85"/>
      <c r="J713" s="85"/>
      <c r="K713" s="85"/>
      <c r="L713" s="85"/>
      <c r="M713" s="108"/>
      <c r="N713" s="85"/>
    </row>
    <row r="714" ht="15.75" customHeight="1">
      <c r="A714" s="85"/>
      <c r="B714" s="85"/>
      <c r="C714" s="65"/>
      <c r="D714" s="85"/>
      <c r="E714" s="85"/>
      <c r="F714" s="65"/>
      <c r="G714" s="65"/>
      <c r="H714" s="85"/>
      <c r="I714" s="85"/>
      <c r="J714" s="85"/>
      <c r="K714" s="85"/>
      <c r="L714" s="85"/>
      <c r="M714" s="108"/>
      <c r="N714" s="85"/>
    </row>
    <row r="715" ht="15.75" customHeight="1">
      <c r="A715" s="85"/>
      <c r="B715" s="85"/>
      <c r="C715" s="65"/>
      <c r="D715" s="85"/>
      <c r="E715" s="85"/>
      <c r="F715" s="65"/>
      <c r="G715" s="65"/>
      <c r="H715" s="85"/>
      <c r="I715" s="85"/>
      <c r="J715" s="85"/>
      <c r="K715" s="85"/>
      <c r="L715" s="85"/>
      <c r="M715" s="108"/>
      <c r="N715" s="85"/>
    </row>
    <row r="716" ht="15.75" customHeight="1">
      <c r="A716" s="85"/>
      <c r="B716" s="85"/>
      <c r="C716" s="65"/>
      <c r="D716" s="85"/>
      <c r="E716" s="85"/>
      <c r="F716" s="65"/>
      <c r="G716" s="65"/>
      <c r="H716" s="85"/>
      <c r="I716" s="85"/>
      <c r="J716" s="85"/>
      <c r="K716" s="85"/>
      <c r="L716" s="85"/>
      <c r="M716" s="108"/>
      <c r="N716" s="85"/>
    </row>
    <row r="717" ht="15.75" customHeight="1">
      <c r="A717" s="85"/>
      <c r="B717" s="85"/>
      <c r="C717" s="65"/>
      <c r="D717" s="85"/>
      <c r="E717" s="85"/>
      <c r="F717" s="65"/>
      <c r="G717" s="65"/>
      <c r="H717" s="85"/>
      <c r="I717" s="85"/>
      <c r="J717" s="85"/>
      <c r="K717" s="85"/>
      <c r="L717" s="85"/>
      <c r="M717" s="108"/>
      <c r="N717" s="85"/>
    </row>
    <row r="718" ht="15.75" customHeight="1">
      <c r="A718" s="85"/>
      <c r="B718" s="85"/>
      <c r="C718" s="65"/>
      <c r="D718" s="85"/>
      <c r="E718" s="85"/>
      <c r="F718" s="65"/>
      <c r="G718" s="65"/>
      <c r="H718" s="85"/>
      <c r="I718" s="85"/>
      <c r="J718" s="85"/>
      <c r="K718" s="85"/>
      <c r="L718" s="85"/>
      <c r="M718" s="108"/>
      <c r="N718" s="85"/>
    </row>
    <row r="719" ht="15.75" customHeight="1">
      <c r="A719" s="85"/>
      <c r="B719" s="85"/>
      <c r="C719" s="65"/>
      <c r="D719" s="85"/>
      <c r="E719" s="85"/>
      <c r="F719" s="65"/>
      <c r="G719" s="65"/>
      <c r="H719" s="85"/>
      <c r="I719" s="85"/>
      <c r="J719" s="85"/>
      <c r="K719" s="85"/>
      <c r="L719" s="85"/>
      <c r="M719" s="108"/>
      <c r="N719" s="85"/>
    </row>
    <row r="720" ht="15.75" customHeight="1">
      <c r="A720" s="85"/>
      <c r="B720" s="85"/>
      <c r="C720" s="65"/>
      <c r="D720" s="85"/>
      <c r="E720" s="85"/>
      <c r="F720" s="65"/>
      <c r="G720" s="65"/>
      <c r="H720" s="85"/>
      <c r="I720" s="85"/>
      <c r="J720" s="85"/>
      <c r="K720" s="85"/>
      <c r="L720" s="85"/>
      <c r="M720" s="108"/>
      <c r="N720" s="85"/>
    </row>
    <row r="721" ht="15.75" customHeight="1">
      <c r="A721" s="85"/>
      <c r="B721" s="85"/>
      <c r="C721" s="65"/>
      <c r="D721" s="85"/>
      <c r="E721" s="85"/>
      <c r="F721" s="65"/>
      <c r="G721" s="65"/>
      <c r="H721" s="85"/>
      <c r="I721" s="85"/>
      <c r="J721" s="85"/>
      <c r="K721" s="85"/>
      <c r="L721" s="85"/>
      <c r="M721" s="108"/>
      <c r="N721" s="85"/>
    </row>
    <row r="722" ht="15.75" customHeight="1">
      <c r="A722" s="85"/>
      <c r="B722" s="85"/>
      <c r="C722" s="65"/>
      <c r="D722" s="85"/>
      <c r="E722" s="85"/>
      <c r="F722" s="65"/>
      <c r="G722" s="65"/>
      <c r="H722" s="85"/>
      <c r="I722" s="85"/>
      <c r="J722" s="85"/>
      <c r="K722" s="85"/>
      <c r="L722" s="85"/>
      <c r="M722" s="108"/>
      <c r="N722" s="85"/>
    </row>
    <row r="723" ht="15.75" customHeight="1">
      <c r="A723" s="85"/>
      <c r="B723" s="85"/>
      <c r="C723" s="65"/>
      <c r="D723" s="85"/>
      <c r="E723" s="85"/>
      <c r="F723" s="65"/>
      <c r="G723" s="65"/>
      <c r="H723" s="85"/>
      <c r="I723" s="85"/>
      <c r="J723" s="85"/>
      <c r="K723" s="85"/>
      <c r="L723" s="85"/>
      <c r="M723" s="108"/>
      <c r="N723" s="85"/>
    </row>
    <row r="724" ht="15.75" customHeight="1">
      <c r="A724" s="85"/>
      <c r="B724" s="85"/>
      <c r="C724" s="65"/>
      <c r="D724" s="85"/>
      <c r="E724" s="85"/>
      <c r="F724" s="65"/>
      <c r="G724" s="65"/>
      <c r="H724" s="85"/>
      <c r="I724" s="85"/>
      <c r="J724" s="85"/>
      <c r="K724" s="85"/>
      <c r="L724" s="85"/>
      <c r="M724" s="108"/>
      <c r="N724" s="85"/>
    </row>
    <row r="725" ht="15.75" customHeight="1">
      <c r="A725" s="85"/>
      <c r="B725" s="85"/>
      <c r="C725" s="65"/>
      <c r="D725" s="85"/>
      <c r="E725" s="85"/>
      <c r="F725" s="65"/>
      <c r="G725" s="65"/>
      <c r="H725" s="85"/>
      <c r="I725" s="85"/>
      <c r="J725" s="85"/>
      <c r="K725" s="85"/>
      <c r="L725" s="85"/>
      <c r="M725" s="108"/>
      <c r="N725" s="85"/>
    </row>
    <row r="726" ht="15.75" customHeight="1">
      <c r="A726" s="85"/>
      <c r="B726" s="85"/>
      <c r="C726" s="65"/>
      <c r="D726" s="85"/>
      <c r="E726" s="85"/>
      <c r="F726" s="65"/>
      <c r="G726" s="65"/>
      <c r="H726" s="85"/>
      <c r="I726" s="85"/>
      <c r="J726" s="85"/>
      <c r="K726" s="85"/>
      <c r="L726" s="85"/>
      <c r="M726" s="108"/>
      <c r="N726" s="85"/>
    </row>
    <row r="727" ht="15.75" customHeight="1">
      <c r="A727" s="85"/>
      <c r="B727" s="85"/>
      <c r="C727" s="65"/>
      <c r="D727" s="85"/>
      <c r="E727" s="85"/>
      <c r="F727" s="65"/>
      <c r="G727" s="65"/>
      <c r="H727" s="85"/>
      <c r="I727" s="85"/>
      <c r="J727" s="85"/>
      <c r="K727" s="85"/>
      <c r="L727" s="85"/>
      <c r="M727" s="108"/>
      <c r="N727" s="85"/>
    </row>
    <row r="728" ht="15.75" customHeight="1">
      <c r="A728" s="85"/>
      <c r="B728" s="85"/>
      <c r="C728" s="65"/>
      <c r="D728" s="85"/>
      <c r="E728" s="85"/>
      <c r="F728" s="65"/>
      <c r="G728" s="65"/>
      <c r="H728" s="85"/>
      <c r="I728" s="85"/>
      <c r="J728" s="85"/>
      <c r="K728" s="85"/>
      <c r="L728" s="85"/>
      <c r="M728" s="108"/>
      <c r="N728" s="85"/>
    </row>
    <row r="729" ht="15.75" customHeight="1">
      <c r="A729" s="85"/>
      <c r="B729" s="85"/>
      <c r="C729" s="65"/>
      <c r="D729" s="85"/>
      <c r="E729" s="85"/>
      <c r="F729" s="65"/>
      <c r="G729" s="65"/>
      <c r="H729" s="85"/>
      <c r="I729" s="85"/>
      <c r="J729" s="85"/>
      <c r="K729" s="85"/>
      <c r="L729" s="85"/>
      <c r="M729" s="108"/>
      <c r="N729" s="85"/>
    </row>
    <row r="730" ht="15.75" customHeight="1">
      <c r="A730" s="85"/>
      <c r="B730" s="85"/>
      <c r="C730" s="65"/>
      <c r="D730" s="85"/>
      <c r="E730" s="85"/>
      <c r="F730" s="65"/>
      <c r="G730" s="65"/>
      <c r="H730" s="85"/>
      <c r="I730" s="85"/>
      <c r="J730" s="85"/>
      <c r="K730" s="85"/>
      <c r="L730" s="85"/>
      <c r="M730" s="108"/>
      <c r="N730" s="85"/>
    </row>
    <row r="731" ht="15.75" customHeight="1">
      <c r="A731" s="85"/>
      <c r="B731" s="85"/>
      <c r="C731" s="65"/>
      <c r="D731" s="85"/>
      <c r="E731" s="85"/>
      <c r="F731" s="65"/>
      <c r="G731" s="65"/>
      <c r="H731" s="85"/>
      <c r="I731" s="85"/>
      <c r="J731" s="85"/>
      <c r="K731" s="85"/>
      <c r="L731" s="85"/>
      <c r="M731" s="108"/>
      <c r="N731" s="85"/>
    </row>
    <row r="732" ht="15.75" customHeight="1">
      <c r="A732" s="85"/>
      <c r="B732" s="85"/>
      <c r="C732" s="65"/>
      <c r="D732" s="85"/>
      <c r="E732" s="85"/>
      <c r="F732" s="65"/>
      <c r="G732" s="65"/>
      <c r="H732" s="85"/>
      <c r="I732" s="85"/>
      <c r="J732" s="85"/>
      <c r="K732" s="85"/>
      <c r="L732" s="85"/>
      <c r="M732" s="108"/>
      <c r="N732" s="85"/>
    </row>
    <row r="733" ht="15.75" customHeight="1">
      <c r="A733" s="85"/>
      <c r="B733" s="85"/>
      <c r="C733" s="65"/>
      <c r="D733" s="85"/>
      <c r="E733" s="85"/>
      <c r="F733" s="65"/>
      <c r="G733" s="65"/>
      <c r="H733" s="85"/>
      <c r="I733" s="85"/>
      <c r="J733" s="85"/>
      <c r="K733" s="85"/>
      <c r="L733" s="85"/>
      <c r="M733" s="108"/>
      <c r="N733" s="85"/>
    </row>
    <row r="734" ht="15.75" customHeight="1">
      <c r="A734" s="85"/>
      <c r="B734" s="85"/>
      <c r="C734" s="65"/>
      <c r="D734" s="85"/>
      <c r="E734" s="85"/>
      <c r="F734" s="65"/>
      <c r="G734" s="65"/>
      <c r="H734" s="85"/>
      <c r="I734" s="85"/>
      <c r="J734" s="85"/>
      <c r="K734" s="85"/>
      <c r="L734" s="85"/>
      <c r="M734" s="108"/>
      <c r="N734" s="85"/>
    </row>
    <row r="735" ht="15.75" customHeight="1">
      <c r="A735" s="85"/>
      <c r="B735" s="85"/>
      <c r="C735" s="65"/>
      <c r="D735" s="85"/>
      <c r="E735" s="85"/>
      <c r="F735" s="65"/>
      <c r="G735" s="65"/>
      <c r="H735" s="85"/>
      <c r="I735" s="85"/>
      <c r="J735" s="85"/>
      <c r="K735" s="85"/>
      <c r="L735" s="85"/>
      <c r="M735" s="108"/>
      <c r="N735" s="85"/>
    </row>
    <row r="736" ht="15.75" customHeight="1">
      <c r="A736" s="85"/>
      <c r="B736" s="85"/>
      <c r="C736" s="65"/>
      <c r="D736" s="85"/>
      <c r="E736" s="85"/>
      <c r="F736" s="65"/>
      <c r="G736" s="65"/>
      <c r="H736" s="85"/>
      <c r="I736" s="85"/>
      <c r="J736" s="85"/>
      <c r="K736" s="85"/>
      <c r="L736" s="85"/>
      <c r="M736" s="108"/>
      <c r="N736" s="85"/>
    </row>
    <row r="737" ht="15.75" customHeight="1">
      <c r="A737" s="85"/>
      <c r="B737" s="85"/>
      <c r="C737" s="65"/>
      <c r="D737" s="85"/>
      <c r="E737" s="85"/>
      <c r="F737" s="65"/>
      <c r="G737" s="65"/>
      <c r="H737" s="85"/>
      <c r="I737" s="85"/>
      <c r="J737" s="85"/>
      <c r="K737" s="85"/>
      <c r="L737" s="85"/>
      <c r="M737" s="108"/>
      <c r="N737" s="85"/>
    </row>
    <row r="738" ht="15.75" customHeight="1">
      <c r="A738" s="85"/>
      <c r="B738" s="85"/>
      <c r="C738" s="65"/>
      <c r="D738" s="85"/>
      <c r="E738" s="85"/>
      <c r="F738" s="65"/>
      <c r="G738" s="65"/>
      <c r="H738" s="85"/>
      <c r="I738" s="85"/>
      <c r="J738" s="85"/>
      <c r="K738" s="85"/>
      <c r="L738" s="85"/>
      <c r="M738" s="108"/>
      <c r="N738" s="85"/>
    </row>
    <row r="739" ht="15.75" customHeight="1">
      <c r="A739" s="85"/>
      <c r="B739" s="85"/>
      <c r="C739" s="65"/>
      <c r="D739" s="85"/>
      <c r="E739" s="85"/>
      <c r="F739" s="65"/>
      <c r="G739" s="65"/>
      <c r="H739" s="85"/>
      <c r="I739" s="85"/>
      <c r="J739" s="85"/>
      <c r="K739" s="85"/>
      <c r="L739" s="85"/>
      <c r="M739" s="108"/>
      <c r="N739" s="85"/>
    </row>
    <row r="740" ht="15.75" customHeight="1">
      <c r="A740" s="85"/>
      <c r="B740" s="85"/>
      <c r="C740" s="65"/>
      <c r="D740" s="85"/>
      <c r="E740" s="85"/>
      <c r="F740" s="65"/>
      <c r="G740" s="65"/>
      <c r="H740" s="85"/>
      <c r="I740" s="85"/>
      <c r="J740" s="85"/>
      <c r="K740" s="85"/>
      <c r="L740" s="85"/>
      <c r="M740" s="108"/>
      <c r="N740" s="85"/>
    </row>
    <row r="741" ht="15.75" customHeight="1">
      <c r="A741" s="85"/>
      <c r="B741" s="85"/>
      <c r="C741" s="65"/>
      <c r="D741" s="85"/>
      <c r="E741" s="85"/>
      <c r="F741" s="65"/>
      <c r="G741" s="65"/>
      <c r="H741" s="85"/>
      <c r="I741" s="85"/>
      <c r="J741" s="85"/>
      <c r="K741" s="85"/>
      <c r="L741" s="85"/>
      <c r="M741" s="108"/>
      <c r="N741" s="85"/>
    </row>
    <row r="742" ht="15.75" customHeight="1">
      <c r="A742" s="85"/>
      <c r="B742" s="85"/>
      <c r="C742" s="65"/>
      <c r="D742" s="85"/>
      <c r="E742" s="85"/>
      <c r="F742" s="65"/>
      <c r="G742" s="65"/>
      <c r="H742" s="85"/>
      <c r="I742" s="85"/>
      <c r="J742" s="85"/>
      <c r="K742" s="85"/>
      <c r="L742" s="85"/>
      <c r="M742" s="108"/>
      <c r="N742" s="85"/>
    </row>
    <row r="743" ht="15.75" customHeight="1">
      <c r="A743" s="85"/>
      <c r="B743" s="85"/>
      <c r="C743" s="65"/>
      <c r="D743" s="85"/>
      <c r="E743" s="85"/>
      <c r="F743" s="65"/>
      <c r="G743" s="65"/>
      <c r="H743" s="85"/>
      <c r="I743" s="85"/>
      <c r="J743" s="85"/>
      <c r="K743" s="85"/>
      <c r="L743" s="85"/>
      <c r="M743" s="108"/>
      <c r="N743" s="85"/>
    </row>
    <row r="744" ht="15.75" customHeight="1">
      <c r="A744" s="85"/>
      <c r="B744" s="85"/>
      <c r="C744" s="65"/>
      <c r="D744" s="85"/>
      <c r="E744" s="85"/>
      <c r="F744" s="65"/>
      <c r="G744" s="65"/>
      <c r="H744" s="85"/>
      <c r="I744" s="85"/>
      <c r="J744" s="85"/>
      <c r="K744" s="85"/>
      <c r="L744" s="85"/>
      <c r="M744" s="108"/>
      <c r="N744" s="85"/>
    </row>
    <row r="745" ht="15.75" customHeight="1">
      <c r="A745" s="85"/>
      <c r="B745" s="85"/>
      <c r="C745" s="65"/>
      <c r="D745" s="85"/>
      <c r="E745" s="85"/>
      <c r="F745" s="65"/>
      <c r="G745" s="65"/>
      <c r="H745" s="85"/>
      <c r="I745" s="85"/>
      <c r="J745" s="85"/>
      <c r="K745" s="85"/>
      <c r="L745" s="85"/>
      <c r="M745" s="108"/>
      <c r="N745" s="85"/>
    </row>
    <row r="746" ht="15.75" customHeight="1">
      <c r="A746" s="85"/>
      <c r="B746" s="85"/>
      <c r="C746" s="65"/>
      <c r="D746" s="85"/>
      <c r="E746" s="85"/>
      <c r="F746" s="65"/>
      <c r="G746" s="65"/>
      <c r="H746" s="85"/>
      <c r="I746" s="85"/>
      <c r="J746" s="85"/>
      <c r="K746" s="85"/>
      <c r="L746" s="85"/>
      <c r="M746" s="108"/>
      <c r="N746" s="85"/>
    </row>
    <row r="747" ht="15.75" customHeight="1">
      <c r="A747" s="85"/>
      <c r="B747" s="85"/>
      <c r="C747" s="65"/>
      <c r="D747" s="85"/>
      <c r="E747" s="85"/>
      <c r="F747" s="65"/>
      <c r="G747" s="65"/>
      <c r="H747" s="85"/>
      <c r="I747" s="85"/>
      <c r="J747" s="85"/>
      <c r="K747" s="85"/>
      <c r="L747" s="85"/>
      <c r="M747" s="108"/>
      <c r="N747" s="85"/>
    </row>
    <row r="748" ht="15.75" customHeight="1">
      <c r="A748" s="85"/>
      <c r="B748" s="85"/>
      <c r="C748" s="65"/>
      <c r="D748" s="85"/>
      <c r="E748" s="85"/>
      <c r="F748" s="65"/>
      <c r="G748" s="65"/>
      <c r="H748" s="85"/>
      <c r="I748" s="85"/>
      <c r="J748" s="85"/>
      <c r="K748" s="85"/>
      <c r="L748" s="85"/>
      <c r="M748" s="108"/>
      <c r="N748" s="85"/>
    </row>
    <row r="749" ht="15.75" customHeight="1">
      <c r="A749" s="85"/>
      <c r="B749" s="85"/>
      <c r="C749" s="65"/>
      <c r="D749" s="85"/>
      <c r="E749" s="85"/>
      <c r="F749" s="65"/>
      <c r="G749" s="65"/>
      <c r="H749" s="85"/>
      <c r="I749" s="85"/>
      <c r="J749" s="85"/>
      <c r="K749" s="85"/>
      <c r="L749" s="85"/>
      <c r="M749" s="108"/>
      <c r="N749" s="85"/>
    </row>
    <row r="750" ht="15.75" customHeight="1">
      <c r="A750" s="85"/>
      <c r="B750" s="85"/>
      <c r="C750" s="65"/>
      <c r="D750" s="85"/>
      <c r="E750" s="85"/>
      <c r="F750" s="65"/>
      <c r="G750" s="65"/>
      <c r="H750" s="85"/>
      <c r="I750" s="85"/>
      <c r="J750" s="85"/>
      <c r="K750" s="85"/>
      <c r="L750" s="85"/>
      <c r="M750" s="108"/>
      <c r="N750" s="85"/>
    </row>
    <row r="751" ht="15.75" customHeight="1">
      <c r="A751" s="85"/>
      <c r="B751" s="85"/>
      <c r="C751" s="65"/>
      <c r="D751" s="85"/>
      <c r="E751" s="85"/>
      <c r="F751" s="65"/>
      <c r="G751" s="65"/>
      <c r="H751" s="85"/>
      <c r="I751" s="85"/>
      <c r="J751" s="85"/>
      <c r="K751" s="85"/>
      <c r="L751" s="85"/>
      <c r="M751" s="108"/>
      <c r="N751" s="85"/>
    </row>
    <row r="752" ht="15.75" customHeight="1">
      <c r="A752" s="85"/>
      <c r="B752" s="85"/>
      <c r="C752" s="65"/>
      <c r="D752" s="85"/>
      <c r="E752" s="85"/>
      <c r="F752" s="65"/>
      <c r="G752" s="65"/>
      <c r="H752" s="85"/>
      <c r="I752" s="85"/>
      <c r="J752" s="85"/>
      <c r="K752" s="85"/>
      <c r="L752" s="85"/>
      <c r="M752" s="108"/>
      <c r="N752" s="85"/>
    </row>
    <row r="753" ht="15.75" customHeight="1">
      <c r="A753" s="85"/>
      <c r="B753" s="85"/>
      <c r="C753" s="65"/>
      <c r="D753" s="85"/>
      <c r="E753" s="85"/>
      <c r="F753" s="65"/>
      <c r="G753" s="65"/>
      <c r="H753" s="85"/>
      <c r="I753" s="85"/>
      <c r="J753" s="85"/>
      <c r="K753" s="85"/>
      <c r="L753" s="85"/>
      <c r="M753" s="108"/>
      <c r="N753" s="85"/>
    </row>
    <row r="754" ht="15.75" customHeight="1">
      <c r="A754" s="85"/>
      <c r="B754" s="85"/>
      <c r="C754" s="65"/>
      <c r="D754" s="85"/>
      <c r="E754" s="85"/>
      <c r="F754" s="65"/>
      <c r="G754" s="65"/>
      <c r="H754" s="85"/>
      <c r="I754" s="85"/>
      <c r="J754" s="85"/>
      <c r="K754" s="85"/>
      <c r="L754" s="85"/>
      <c r="M754" s="108"/>
      <c r="N754" s="85"/>
    </row>
    <row r="755" ht="15.75" customHeight="1">
      <c r="A755" s="85"/>
      <c r="B755" s="85"/>
      <c r="C755" s="65"/>
      <c r="D755" s="85"/>
      <c r="E755" s="85"/>
      <c r="F755" s="65"/>
      <c r="G755" s="65"/>
      <c r="H755" s="85"/>
      <c r="I755" s="85"/>
      <c r="J755" s="85"/>
      <c r="K755" s="85"/>
      <c r="L755" s="85"/>
      <c r="M755" s="108"/>
      <c r="N755" s="85"/>
    </row>
    <row r="756" ht="15.75" customHeight="1">
      <c r="A756" s="85"/>
      <c r="B756" s="85"/>
      <c r="C756" s="65"/>
      <c r="D756" s="85"/>
      <c r="E756" s="85"/>
      <c r="F756" s="65"/>
      <c r="G756" s="65"/>
      <c r="H756" s="85"/>
      <c r="I756" s="85"/>
      <c r="J756" s="85"/>
      <c r="K756" s="85"/>
      <c r="L756" s="85"/>
      <c r="M756" s="108"/>
      <c r="N756" s="85"/>
    </row>
    <row r="757" ht="15.75" customHeight="1">
      <c r="A757" s="85"/>
      <c r="B757" s="85"/>
      <c r="C757" s="65"/>
      <c r="D757" s="85"/>
      <c r="E757" s="85"/>
      <c r="F757" s="65"/>
      <c r="G757" s="65"/>
      <c r="H757" s="85"/>
      <c r="I757" s="85"/>
      <c r="J757" s="85"/>
      <c r="K757" s="85"/>
      <c r="L757" s="85"/>
      <c r="M757" s="108"/>
      <c r="N757" s="85"/>
    </row>
    <row r="758" ht="15.75" customHeight="1">
      <c r="A758" s="85"/>
      <c r="B758" s="85"/>
      <c r="C758" s="65"/>
      <c r="D758" s="85"/>
      <c r="E758" s="85"/>
      <c r="F758" s="65"/>
      <c r="G758" s="65"/>
      <c r="H758" s="85"/>
      <c r="I758" s="85"/>
      <c r="J758" s="85"/>
      <c r="K758" s="85"/>
      <c r="L758" s="85"/>
      <c r="M758" s="108"/>
      <c r="N758" s="85"/>
    </row>
    <row r="759" ht="15.75" customHeight="1">
      <c r="A759" s="85"/>
      <c r="B759" s="85"/>
      <c r="C759" s="65"/>
      <c r="D759" s="85"/>
      <c r="E759" s="85"/>
      <c r="F759" s="65"/>
      <c r="G759" s="65"/>
      <c r="H759" s="85"/>
      <c r="I759" s="85"/>
      <c r="J759" s="85"/>
      <c r="K759" s="85"/>
      <c r="L759" s="85"/>
      <c r="M759" s="108"/>
      <c r="N759" s="85"/>
    </row>
    <row r="760" ht="15.75" customHeight="1">
      <c r="A760" s="85"/>
      <c r="B760" s="85"/>
      <c r="C760" s="65"/>
      <c r="D760" s="85"/>
      <c r="E760" s="85"/>
      <c r="F760" s="65"/>
      <c r="G760" s="65"/>
      <c r="H760" s="85"/>
      <c r="I760" s="85"/>
      <c r="J760" s="85"/>
      <c r="K760" s="85"/>
      <c r="L760" s="85"/>
      <c r="M760" s="108"/>
      <c r="N760" s="85"/>
    </row>
    <row r="761" ht="15.75" customHeight="1">
      <c r="A761" s="85"/>
      <c r="B761" s="85"/>
      <c r="C761" s="65"/>
      <c r="D761" s="85"/>
      <c r="E761" s="85"/>
      <c r="F761" s="65"/>
      <c r="G761" s="65"/>
      <c r="H761" s="85"/>
      <c r="I761" s="85"/>
      <c r="J761" s="85"/>
      <c r="K761" s="85"/>
      <c r="L761" s="85"/>
      <c r="M761" s="108"/>
      <c r="N761" s="85"/>
    </row>
    <row r="762" ht="15.75" customHeight="1">
      <c r="A762" s="85"/>
      <c r="B762" s="85"/>
      <c r="C762" s="65"/>
      <c r="D762" s="85"/>
      <c r="E762" s="85"/>
      <c r="F762" s="65"/>
      <c r="G762" s="65"/>
      <c r="H762" s="85"/>
      <c r="I762" s="85"/>
      <c r="J762" s="85"/>
      <c r="K762" s="85"/>
      <c r="L762" s="85"/>
      <c r="M762" s="108"/>
      <c r="N762" s="85"/>
    </row>
    <row r="763" ht="15.75" customHeight="1">
      <c r="A763" s="85"/>
      <c r="B763" s="85"/>
      <c r="C763" s="65"/>
      <c r="D763" s="85"/>
      <c r="E763" s="85"/>
      <c r="F763" s="65"/>
      <c r="G763" s="65"/>
      <c r="H763" s="85"/>
      <c r="I763" s="85"/>
      <c r="J763" s="85"/>
      <c r="K763" s="85"/>
      <c r="L763" s="85"/>
      <c r="M763" s="108"/>
      <c r="N763" s="85"/>
    </row>
    <row r="764" ht="15.75" customHeight="1">
      <c r="A764" s="85"/>
      <c r="B764" s="85"/>
      <c r="C764" s="65"/>
      <c r="D764" s="85"/>
      <c r="E764" s="85"/>
      <c r="F764" s="65"/>
      <c r="G764" s="65"/>
      <c r="H764" s="85"/>
      <c r="I764" s="85"/>
      <c r="J764" s="85"/>
      <c r="K764" s="85"/>
      <c r="L764" s="85"/>
      <c r="M764" s="108"/>
      <c r="N764" s="85"/>
    </row>
    <row r="765" ht="15.75" customHeight="1">
      <c r="A765" s="85"/>
      <c r="B765" s="85"/>
      <c r="C765" s="65"/>
      <c r="D765" s="85"/>
      <c r="E765" s="85"/>
      <c r="F765" s="65"/>
      <c r="G765" s="65"/>
      <c r="H765" s="85"/>
      <c r="I765" s="85"/>
      <c r="J765" s="85"/>
      <c r="K765" s="85"/>
      <c r="L765" s="85"/>
      <c r="M765" s="108"/>
      <c r="N765" s="85"/>
    </row>
    <row r="766" ht="15.75" customHeight="1">
      <c r="A766" s="85"/>
      <c r="B766" s="85"/>
      <c r="C766" s="65"/>
      <c r="D766" s="85"/>
      <c r="E766" s="85"/>
      <c r="F766" s="65"/>
      <c r="G766" s="65"/>
      <c r="H766" s="85"/>
      <c r="I766" s="85"/>
      <c r="J766" s="85"/>
      <c r="K766" s="85"/>
      <c r="L766" s="85"/>
      <c r="M766" s="108"/>
      <c r="N766" s="85"/>
    </row>
    <row r="767" ht="15.75" customHeight="1">
      <c r="A767" s="85"/>
      <c r="B767" s="85"/>
      <c r="C767" s="65"/>
      <c r="D767" s="85"/>
      <c r="E767" s="85"/>
      <c r="F767" s="65"/>
      <c r="G767" s="65"/>
      <c r="H767" s="85"/>
      <c r="I767" s="85"/>
      <c r="J767" s="85"/>
      <c r="K767" s="85"/>
      <c r="L767" s="85"/>
      <c r="M767" s="108"/>
      <c r="N767" s="85"/>
    </row>
    <row r="768" ht="15.75" customHeight="1">
      <c r="A768" s="85"/>
      <c r="B768" s="85"/>
      <c r="C768" s="65"/>
      <c r="D768" s="85"/>
      <c r="E768" s="85"/>
      <c r="F768" s="65"/>
      <c r="G768" s="65"/>
      <c r="H768" s="85"/>
      <c r="I768" s="85"/>
      <c r="J768" s="85"/>
      <c r="K768" s="85"/>
      <c r="L768" s="85"/>
      <c r="M768" s="108"/>
      <c r="N768" s="85"/>
    </row>
    <row r="769" ht="15.75" customHeight="1">
      <c r="A769" s="85"/>
      <c r="B769" s="85"/>
      <c r="C769" s="65"/>
      <c r="D769" s="85"/>
      <c r="E769" s="85"/>
      <c r="F769" s="65"/>
      <c r="G769" s="65"/>
      <c r="H769" s="85"/>
      <c r="I769" s="85"/>
      <c r="J769" s="85"/>
      <c r="K769" s="85"/>
      <c r="L769" s="85"/>
      <c r="M769" s="108"/>
      <c r="N769" s="85"/>
    </row>
    <row r="770" ht="15.75" customHeight="1">
      <c r="A770" s="85"/>
      <c r="B770" s="85"/>
      <c r="C770" s="65"/>
      <c r="D770" s="85"/>
      <c r="E770" s="85"/>
      <c r="F770" s="65"/>
      <c r="G770" s="65"/>
      <c r="H770" s="85"/>
      <c r="I770" s="85"/>
      <c r="J770" s="85"/>
      <c r="K770" s="85"/>
      <c r="L770" s="85"/>
      <c r="M770" s="108"/>
      <c r="N770" s="85"/>
    </row>
    <row r="771" ht="15.75" customHeight="1">
      <c r="A771" s="85"/>
      <c r="B771" s="85"/>
      <c r="C771" s="65"/>
      <c r="D771" s="85"/>
      <c r="E771" s="85"/>
      <c r="F771" s="65"/>
      <c r="G771" s="65"/>
      <c r="H771" s="85"/>
      <c r="I771" s="85"/>
      <c r="J771" s="85"/>
      <c r="K771" s="85"/>
      <c r="L771" s="85"/>
      <c r="M771" s="108"/>
      <c r="N771" s="85"/>
    </row>
    <row r="772" ht="15.75" customHeight="1">
      <c r="A772" s="85"/>
      <c r="B772" s="85"/>
      <c r="C772" s="65"/>
      <c r="D772" s="85"/>
      <c r="E772" s="85"/>
      <c r="F772" s="65"/>
      <c r="G772" s="65"/>
      <c r="H772" s="85"/>
      <c r="I772" s="85"/>
      <c r="J772" s="85"/>
      <c r="K772" s="85"/>
      <c r="L772" s="85"/>
      <c r="M772" s="108"/>
      <c r="N772" s="85"/>
    </row>
    <row r="773" ht="15.75" customHeight="1">
      <c r="A773" s="85"/>
      <c r="B773" s="85"/>
      <c r="C773" s="65"/>
      <c r="D773" s="85"/>
      <c r="E773" s="85"/>
      <c r="F773" s="65"/>
      <c r="G773" s="65"/>
      <c r="H773" s="85"/>
      <c r="I773" s="85"/>
      <c r="J773" s="85"/>
      <c r="K773" s="85"/>
      <c r="L773" s="85"/>
      <c r="M773" s="108"/>
      <c r="N773" s="85"/>
    </row>
    <row r="774" ht="15.75" customHeight="1">
      <c r="A774" s="85"/>
      <c r="B774" s="85"/>
      <c r="C774" s="65"/>
      <c r="D774" s="85"/>
      <c r="E774" s="85"/>
      <c r="F774" s="65"/>
      <c r="G774" s="65"/>
      <c r="H774" s="85"/>
      <c r="I774" s="85"/>
      <c r="J774" s="85"/>
      <c r="K774" s="85"/>
      <c r="L774" s="85"/>
      <c r="M774" s="108"/>
      <c r="N774" s="85"/>
    </row>
    <row r="775" ht="15.75" customHeight="1">
      <c r="A775" s="85"/>
      <c r="B775" s="85"/>
      <c r="C775" s="65"/>
      <c r="D775" s="85"/>
      <c r="E775" s="85"/>
      <c r="F775" s="65"/>
      <c r="G775" s="65"/>
      <c r="H775" s="85"/>
      <c r="I775" s="85"/>
      <c r="J775" s="85"/>
      <c r="K775" s="85"/>
      <c r="L775" s="85"/>
      <c r="M775" s="108"/>
      <c r="N775" s="85"/>
    </row>
    <row r="776" ht="15.75" customHeight="1">
      <c r="A776" s="85"/>
      <c r="B776" s="85"/>
      <c r="C776" s="65"/>
      <c r="D776" s="85"/>
      <c r="E776" s="85"/>
      <c r="F776" s="65"/>
      <c r="G776" s="65"/>
      <c r="H776" s="85"/>
      <c r="I776" s="85"/>
      <c r="J776" s="85"/>
      <c r="K776" s="85"/>
      <c r="L776" s="85"/>
      <c r="M776" s="108"/>
      <c r="N776" s="85"/>
    </row>
    <row r="777" ht="15.75" customHeight="1">
      <c r="A777" s="85"/>
      <c r="B777" s="85"/>
      <c r="C777" s="65"/>
      <c r="D777" s="85"/>
      <c r="E777" s="85"/>
      <c r="F777" s="65"/>
      <c r="G777" s="65"/>
      <c r="H777" s="85"/>
      <c r="I777" s="85"/>
      <c r="J777" s="85"/>
      <c r="K777" s="85"/>
      <c r="L777" s="85"/>
      <c r="M777" s="108"/>
      <c r="N777" s="85"/>
    </row>
    <row r="778" ht="15.75" customHeight="1">
      <c r="A778" s="85"/>
      <c r="B778" s="85"/>
      <c r="C778" s="65"/>
      <c r="D778" s="85"/>
      <c r="E778" s="85"/>
      <c r="F778" s="65"/>
      <c r="G778" s="65"/>
      <c r="H778" s="85"/>
      <c r="I778" s="85"/>
      <c r="J778" s="85"/>
      <c r="K778" s="85"/>
      <c r="L778" s="85"/>
      <c r="M778" s="108"/>
      <c r="N778" s="85"/>
    </row>
    <row r="779" ht="15.75" customHeight="1">
      <c r="A779" s="85"/>
      <c r="B779" s="85"/>
      <c r="C779" s="65"/>
      <c r="D779" s="85"/>
      <c r="E779" s="85"/>
      <c r="F779" s="65"/>
      <c r="G779" s="65"/>
      <c r="H779" s="85"/>
      <c r="I779" s="85"/>
      <c r="J779" s="85"/>
      <c r="K779" s="85"/>
      <c r="L779" s="85"/>
      <c r="M779" s="108"/>
      <c r="N779" s="85"/>
    </row>
    <row r="780" ht="15.75" customHeight="1">
      <c r="A780" s="85"/>
      <c r="B780" s="85"/>
      <c r="C780" s="65"/>
      <c r="D780" s="85"/>
      <c r="E780" s="85"/>
      <c r="F780" s="65"/>
      <c r="G780" s="65"/>
      <c r="H780" s="85"/>
      <c r="I780" s="85"/>
      <c r="J780" s="85"/>
      <c r="K780" s="85"/>
      <c r="L780" s="85"/>
      <c r="M780" s="108"/>
      <c r="N780" s="85"/>
    </row>
    <row r="781" ht="15.75" customHeight="1">
      <c r="A781" s="85"/>
      <c r="B781" s="85"/>
      <c r="C781" s="65"/>
      <c r="D781" s="85"/>
      <c r="E781" s="85"/>
      <c r="F781" s="65"/>
      <c r="G781" s="65"/>
      <c r="H781" s="85"/>
      <c r="I781" s="85"/>
      <c r="J781" s="85"/>
      <c r="K781" s="85"/>
      <c r="L781" s="85"/>
      <c r="M781" s="108"/>
      <c r="N781" s="85"/>
    </row>
    <row r="782" ht="15.75" customHeight="1">
      <c r="A782" s="85"/>
      <c r="B782" s="85"/>
      <c r="C782" s="65"/>
      <c r="D782" s="85"/>
      <c r="E782" s="85"/>
      <c r="F782" s="65"/>
      <c r="G782" s="65"/>
      <c r="H782" s="85"/>
      <c r="I782" s="85"/>
      <c r="J782" s="85"/>
      <c r="K782" s="85"/>
      <c r="L782" s="85"/>
      <c r="M782" s="108"/>
      <c r="N782" s="85"/>
    </row>
    <row r="783" ht="15.75" customHeight="1">
      <c r="A783" s="85"/>
      <c r="B783" s="85"/>
      <c r="C783" s="65"/>
      <c r="D783" s="85"/>
      <c r="E783" s="85"/>
      <c r="F783" s="65"/>
      <c r="G783" s="65"/>
      <c r="H783" s="85"/>
      <c r="I783" s="85"/>
      <c r="J783" s="85"/>
      <c r="K783" s="85"/>
      <c r="L783" s="85"/>
      <c r="M783" s="65"/>
      <c r="N783" s="85"/>
    </row>
    <row r="784" ht="15.75" customHeight="1">
      <c r="A784" s="85"/>
      <c r="B784" s="85"/>
      <c r="C784" s="65"/>
      <c r="D784" s="85"/>
      <c r="E784" s="85"/>
      <c r="F784" s="65"/>
      <c r="G784" s="65"/>
      <c r="H784" s="85"/>
      <c r="I784" s="85"/>
      <c r="J784" s="85"/>
      <c r="K784" s="85"/>
      <c r="L784" s="85"/>
      <c r="M784" s="65"/>
      <c r="N784" s="85"/>
    </row>
    <row r="785" ht="15.75" customHeight="1">
      <c r="A785" s="85"/>
      <c r="B785" s="85"/>
      <c r="C785" s="65"/>
      <c r="D785" s="85"/>
      <c r="E785" s="85"/>
      <c r="F785" s="65"/>
      <c r="G785" s="65"/>
      <c r="H785" s="85"/>
      <c r="I785" s="85"/>
      <c r="J785" s="85"/>
      <c r="K785" s="85"/>
      <c r="L785" s="85"/>
      <c r="M785" s="65"/>
      <c r="N785" s="85"/>
    </row>
    <row r="786" ht="15.75" customHeight="1">
      <c r="A786" s="85"/>
      <c r="B786" s="85"/>
      <c r="C786" s="65"/>
      <c r="D786" s="85"/>
      <c r="E786" s="85"/>
      <c r="F786" s="65"/>
      <c r="G786" s="65"/>
      <c r="H786" s="85"/>
      <c r="I786" s="85"/>
      <c r="J786" s="85"/>
      <c r="K786" s="85"/>
      <c r="L786" s="85"/>
      <c r="M786" s="65"/>
      <c r="N786" s="85"/>
    </row>
    <row r="787" ht="15.75" customHeight="1">
      <c r="A787" s="85"/>
      <c r="B787" s="85"/>
      <c r="C787" s="65"/>
      <c r="D787" s="85"/>
      <c r="E787" s="85"/>
      <c r="F787" s="65"/>
      <c r="G787" s="65"/>
      <c r="H787" s="85"/>
      <c r="I787" s="85"/>
      <c r="J787" s="85"/>
      <c r="K787" s="85"/>
      <c r="L787" s="85"/>
      <c r="M787" s="65"/>
      <c r="N787" s="85"/>
    </row>
    <row r="788" ht="15.75" customHeight="1">
      <c r="A788" s="85"/>
      <c r="B788" s="85"/>
      <c r="C788" s="65"/>
      <c r="D788" s="85"/>
      <c r="E788" s="85"/>
      <c r="F788" s="65"/>
      <c r="G788" s="65"/>
      <c r="H788" s="85"/>
      <c r="I788" s="85"/>
      <c r="J788" s="85"/>
      <c r="K788" s="85"/>
      <c r="L788" s="85"/>
      <c r="M788" s="65"/>
      <c r="N788" s="85"/>
    </row>
    <row r="789" ht="15.75" customHeight="1">
      <c r="A789" s="85"/>
      <c r="B789" s="85"/>
      <c r="C789" s="65"/>
      <c r="D789" s="85"/>
      <c r="E789" s="85"/>
      <c r="F789" s="65"/>
      <c r="G789" s="65"/>
      <c r="H789" s="85"/>
      <c r="I789" s="85"/>
      <c r="J789" s="85"/>
      <c r="K789" s="85"/>
      <c r="L789" s="85"/>
      <c r="M789" s="65"/>
      <c r="N789" s="85"/>
    </row>
    <row r="790" ht="15.75" customHeight="1">
      <c r="A790" s="85"/>
      <c r="B790" s="85"/>
      <c r="C790" s="65"/>
      <c r="D790" s="85"/>
      <c r="E790" s="85"/>
      <c r="F790" s="65"/>
      <c r="G790" s="65"/>
      <c r="H790" s="85"/>
      <c r="I790" s="85"/>
      <c r="J790" s="85"/>
      <c r="K790" s="85"/>
      <c r="L790" s="85"/>
      <c r="M790" s="65"/>
      <c r="N790" s="85"/>
    </row>
    <row r="791" ht="15.75" customHeight="1">
      <c r="A791" s="85"/>
      <c r="B791" s="85"/>
      <c r="C791" s="65"/>
      <c r="D791" s="85"/>
      <c r="E791" s="85"/>
      <c r="F791" s="65"/>
      <c r="G791" s="65"/>
      <c r="H791" s="85"/>
      <c r="I791" s="85"/>
      <c r="J791" s="85"/>
      <c r="K791" s="85"/>
      <c r="L791" s="85"/>
      <c r="M791" s="65"/>
      <c r="N791" s="85"/>
    </row>
    <row r="792" ht="15.75" customHeight="1">
      <c r="A792" s="85"/>
      <c r="B792" s="85"/>
      <c r="C792" s="65"/>
      <c r="D792" s="85"/>
      <c r="E792" s="85"/>
      <c r="F792" s="65"/>
      <c r="G792" s="65"/>
      <c r="H792" s="85"/>
      <c r="I792" s="85"/>
      <c r="J792" s="85"/>
      <c r="K792" s="85"/>
      <c r="L792" s="85"/>
      <c r="M792" s="65"/>
      <c r="N792" s="85"/>
    </row>
    <row r="793" ht="15.75" customHeight="1">
      <c r="A793" s="85"/>
      <c r="B793" s="85"/>
      <c r="C793" s="65"/>
      <c r="D793" s="85"/>
      <c r="E793" s="85"/>
      <c r="F793" s="65"/>
      <c r="G793" s="65"/>
      <c r="H793" s="85"/>
      <c r="I793" s="85"/>
      <c r="J793" s="85"/>
      <c r="K793" s="85"/>
      <c r="L793" s="85"/>
      <c r="M793" s="65"/>
      <c r="N793" s="85"/>
    </row>
    <row r="794" ht="15.75" customHeight="1">
      <c r="A794" s="85"/>
      <c r="B794" s="85"/>
      <c r="C794" s="65"/>
      <c r="D794" s="85"/>
      <c r="E794" s="85"/>
      <c r="F794" s="65"/>
      <c r="G794" s="65"/>
      <c r="H794" s="85"/>
      <c r="I794" s="85"/>
      <c r="J794" s="85"/>
      <c r="K794" s="85"/>
      <c r="L794" s="85"/>
      <c r="M794" s="65"/>
      <c r="N794" s="85"/>
    </row>
    <row r="795" ht="15.75" customHeight="1">
      <c r="A795" s="85"/>
      <c r="B795" s="85"/>
      <c r="C795" s="65"/>
      <c r="D795" s="85"/>
      <c r="E795" s="85"/>
      <c r="F795" s="65"/>
      <c r="G795" s="65"/>
      <c r="H795" s="85"/>
      <c r="I795" s="85"/>
      <c r="J795" s="85"/>
      <c r="K795" s="85"/>
      <c r="L795" s="85"/>
      <c r="M795" s="65"/>
      <c r="N795" s="85"/>
    </row>
    <row r="796" ht="15.75" customHeight="1">
      <c r="A796" s="85"/>
      <c r="B796" s="85"/>
      <c r="C796" s="65"/>
      <c r="D796" s="85"/>
      <c r="E796" s="85"/>
      <c r="F796" s="65"/>
      <c r="G796" s="65"/>
      <c r="H796" s="85"/>
      <c r="I796" s="85"/>
      <c r="J796" s="85"/>
      <c r="K796" s="85"/>
      <c r="L796" s="85"/>
      <c r="M796" s="65"/>
      <c r="N796" s="85"/>
    </row>
    <row r="797" ht="15.75" customHeight="1">
      <c r="A797" s="85"/>
      <c r="B797" s="85"/>
      <c r="C797" s="65"/>
      <c r="D797" s="85"/>
      <c r="E797" s="85"/>
      <c r="F797" s="65"/>
      <c r="G797" s="65"/>
      <c r="H797" s="85"/>
      <c r="I797" s="85"/>
      <c r="J797" s="85"/>
      <c r="K797" s="85"/>
      <c r="L797" s="85"/>
      <c r="M797" s="65"/>
      <c r="N797" s="85"/>
    </row>
    <row r="798" ht="15.75" customHeight="1">
      <c r="A798" s="85"/>
      <c r="B798" s="85"/>
      <c r="C798" s="65"/>
      <c r="D798" s="85"/>
      <c r="E798" s="85"/>
      <c r="F798" s="65"/>
      <c r="G798" s="65"/>
      <c r="H798" s="85"/>
      <c r="I798" s="85"/>
      <c r="J798" s="85"/>
      <c r="K798" s="85"/>
      <c r="L798" s="85"/>
      <c r="M798" s="65"/>
      <c r="N798" s="85"/>
    </row>
    <row r="799" ht="15.75" customHeight="1">
      <c r="A799" s="85"/>
      <c r="B799" s="85"/>
      <c r="C799" s="65"/>
      <c r="D799" s="85"/>
      <c r="E799" s="85"/>
      <c r="F799" s="65"/>
      <c r="G799" s="65"/>
      <c r="H799" s="85"/>
      <c r="I799" s="85"/>
      <c r="J799" s="85"/>
      <c r="K799" s="85"/>
      <c r="L799" s="85"/>
      <c r="M799" s="65"/>
      <c r="N799" s="85"/>
    </row>
    <row r="800" ht="15.75" customHeight="1">
      <c r="A800" s="85"/>
      <c r="B800" s="85"/>
      <c r="C800" s="65"/>
      <c r="D800" s="85"/>
      <c r="E800" s="85"/>
      <c r="F800" s="65"/>
      <c r="G800" s="65"/>
      <c r="H800" s="85"/>
      <c r="I800" s="85"/>
      <c r="J800" s="85"/>
      <c r="K800" s="85"/>
      <c r="L800" s="85"/>
      <c r="M800" s="65"/>
      <c r="N800" s="85"/>
    </row>
    <row r="801" ht="15.75" customHeight="1">
      <c r="A801" s="85"/>
      <c r="B801" s="85"/>
      <c r="C801" s="65"/>
      <c r="D801" s="85"/>
      <c r="E801" s="85"/>
      <c r="F801" s="65"/>
      <c r="G801" s="65"/>
      <c r="H801" s="85"/>
      <c r="I801" s="85"/>
      <c r="J801" s="85"/>
      <c r="K801" s="85"/>
      <c r="L801" s="85"/>
      <c r="M801" s="65"/>
      <c r="N801" s="85"/>
    </row>
    <row r="802" ht="15.75" customHeight="1">
      <c r="A802" s="85"/>
      <c r="B802" s="85"/>
      <c r="C802" s="65"/>
      <c r="D802" s="85"/>
      <c r="E802" s="85"/>
      <c r="F802" s="65"/>
      <c r="G802" s="65"/>
      <c r="H802" s="85"/>
      <c r="I802" s="85"/>
      <c r="J802" s="85"/>
      <c r="K802" s="85"/>
      <c r="L802" s="85"/>
      <c r="M802" s="65"/>
      <c r="N802" s="85"/>
    </row>
    <row r="803" ht="15.75" customHeight="1">
      <c r="A803" s="85"/>
      <c r="B803" s="85"/>
      <c r="C803" s="65"/>
      <c r="D803" s="85"/>
      <c r="E803" s="85"/>
      <c r="F803" s="65"/>
      <c r="G803" s="65"/>
      <c r="H803" s="85"/>
      <c r="I803" s="85"/>
      <c r="J803" s="85"/>
      <c r="K803" s="85"/>
      <c r="L803" s="85"/>
      <c r="M803" s="65"/>
      <c r="N803" s="85"/>
    </row>
    <row r="804" ht="15.75" customHeight="1">
      <c r="A804" s="85"/>
      <c r="B804" s="85"/>
      <c r="C804" s="65"/>
      <c r="D804" s="85"/>
      <c r="E804" s="85"/>
      <c r="F804" s="65"/>
      <c r="G804" s="65"/>
      <c r="H804" s="85"/>
      <c r="I804" s="85"/>
      <c r="J804" s="85"/>
      <c r="K804" s="85"/>
      <c r="L804" s="85"/>
      <c r="M804" s="65"/>
      <c r="N804" s="85"/>
    </row>
    <row r="805" ht="15.75" customHeight="1">
      <c r="A805" s="85"/>
      <c r="B805" s="85"/>
      <c r="C805" s="65"/>
      <c r="D805" s="85"/>
      <c r="E805" s="85"/>
      <c r="F805" s="65"/>
      <c r="G805" s="65"/>
      <c r="H805" s="85"/>
      <c r="I805" s="85"/>
      <c r="J805" s="85"/>
      <c r="K805" s="85"/>
      <c r="L805" s="85"/>
      <c r="M805" s="65"/>
      <c r="N805" s="85"/>
    </row>
    <row r="806" ht="15.75" customHeight="1">
      <c r="A806" s="85"/>
      <c r="B806" s="85"/>
      <c r="C806" s="65"/>
      <c r="D806" s="85"/>
      <c r="E806" s="85"/>
      <c r="F806" s="65"/>
      <c r="G806" s="65"/>
      <c r="H806" s="85"/>
      <c r="I806" s="85"/>
      <c r="J806" s="85"/>
      <c r="K806" s="85"/>
      <c r="L806" s="85"/>
      <c r="M806" s="65"/>
      <c r="N806" s="85"/>
    </row>
    <row r="807" ht="15.75" customHeight="1">
      <c r="A807" s="85"/>
      <c r="B807" s="85"/>
      <c r="C807" s="65"/>
      <c r="D807" s="85"/>
      <c r="E807" s="85"/>
      <c r="F807" s="65"/>
      <c r="G807" s="65"/>
      <c r="H807" s="85"/>
      <c r="I807" s="85"/>
      <c r="J807" s="85"/>
      <c r="K807" s="85"/>
      <c r="L807" s="85"/>
      <c r="M807" s="65"/>
      <c r="N807" s="85"/>
    </row>
    <row r="808" ht="15.75" customHeight="1">
      <c r="A808" s="85"/>
      <c r="B808" s="85"/>
      <c r="C808" s="65"/>
      <c r="D808" s="85"/>
      <c r="E808" s="85"/>
      <c r="F808" s="65"/>
      <c r="G808" s="65"/>
      <c r="H808" s="85"/>
      <c r="I808" s="85"/>
      <c r="J808" s="85"/>
      <c r="K808" s="85"/>
      <c r="L808" s="85"/>
      <c r="M808" s="65"/>
      <c r="N808" s="85"/>
    </row>
    <row r="809" ht="15.75" customHeight="1">
      <c r="A809" s="85"/>
      <c r="B809" s="85"/>
      <c r="C809" s="65"/>
      <c r="D809" s="85"/>
      <c r="E809" s="85"/>
      <c r="F809" s="65"/>
      <c r="G809" s="65"/>
      <c r="H809" s="85"/>
      <c r="I809" s="85"/>
      <c r="J809" s="85"/>
      <c r="K809" s="85"/>
      <c r="L809" s="85"/>
      <c r="M809" s="65"/>
      <c r="N809" s="85"/>
    </row>
    <row r="810" ht="15.75" customHeight="1">
      <c r="A810" s="85"/>
      <c r="B810" s="85"/>
      <c r="C810" s="65"/>
      <c r="D810" s="85"/>
      <c r="E810" s="85"/>
      <c r="F810" s="65"/>
      <c r="G810" s="65"/>
      <c r="H810" s="85"/>
      <c r="I810" s="85"/>
      <c r="J810" s="85"/>
      <c r="K810" s="85"/>
      <c r="L810" s="85"/>
      <c r="M810" s="65"/>
      <c r="N810" s="85"/>
    </row>
    <row r="811" ht="15.75" customHeight="1">
      <c r="A811" s="85"/>
      <c r="B811" s="85"/>
      <c r="C811" s="65"/>
      <c r="D811" s="85"/>
      <c r="E811" s="85"/>
      <c r="F811" s="65"/>
      <c r="G811" s="65"/>
      <c r="H811" s="85"/>
      <c r="I811" s="85"/>
      <c r="J811" s="85"/>
      <c r="K811" s="85"/>
      <c r="L811" s="85"/>
      <c r="M811" s="65"/>
      <c r="N811" s="85"/>
    </row>
    <row r="812" ht="15.75" customHeight="1">
      <c r="A812" s="85"/>
      <c r="B812" s="85"/>
      <c r="C812" s="65"/>
      <c r="D812" s="85"/>
      <c r="E812" s="85"/>
      <c r="F812" s="65"/>
      <c r="G812" s="65"/>
      <c r="H812" s="85"/>
      <c r="I812" s="85"/>
      <c r="J812" s="85"/>
      <c r="K812" s="85"/>
      <c r="L812" s="85"/>
      <c r="M812" s="65"/>
      <c r="N812" s="85"/>
    </row>
    <row r="813" ht="15.75" customHeight="1">
      <c r="A813" s="85"/>
      <c r="B813" s="85"/>
      <c r="C813" s="65"/>
      <c r="D813" s="85"/>
      <c r="E813" s="85"/>
      <c r="F813" s="65"/>
      <c r="G813" s="65"/>
      <c r="H813" s="85"/>
      <c r="I813" s="85"/>
      <c r="J813" s="85"/>
      <c r="K813" s="85"/>
      <c r="L813" s="85"/>
      <c r="M813" s="65"/>
      <c r="N813" s="85"/>
    </row>
    <row r="814" ht="15.75" customHeight="1">
      <c r="A814" s="85"/>
      <c r="B814" s="85"/>
      <c r="C814" s="65"/>
      <c r="D814" s="85"/>
      <c r="E814" s="85"/>
      <c r="F814" s="65"/>
      <c r="G814" s="65"/>
      <c r="H814" s="85"/>
      <c r="I814" s="85"/>
      <c r="J814" s="85"/>
      <c r="K814" s="85"/>
      <c r="L814" s="85"/>
      <c r="M814" s="65"/>
      <c r="N814" s="85"/>
    </row>
    <row r="815" ht="15.75" customHeight="1">
      <c r="A815" s="85"/>
      <c r="B815" s="85"/>
      <c r="C815" s="65"/>
      <c r="D815" s="85"/>
      <c r="E815" s="85"/>
      <c r="F815" s="65"/>
      <c r="G815" s="65"/>
      <c r="H815" s="85"/>
      <c r="I815" s="85"/>
      <c r="J815" s="85"/>
      <c r="K815" s="85"/>
      <c r="L815" s="85"/>
      <c r="M815" s="65"/>
      <c r="N815" s="85"/>
    </row>
    <row r="816" ht="15.75" customHeight="1">
      <c r="A816" s="85"/>
      <c r="B816" s="85"/>
      <c r="C816" s="65"/>
      <c r="D816" s="85"/>
      <c r="E816" s="85"/>
      <c r="F816" s="65"/>
      <c r="G816" s="65"/>
      <c r="H816" s="85"/>
      <c r="I816" s="85"/>
      <c r="J816" s="85"/>
      <c r="K816" s="85"/>
      <c r="L816" s="85"/>
      <c r="M816" s="65"/>
      <c r="N816" s="85"/>
    </row>
    <row r="817" ht="15.75" customHeight="1">
      <c r="A817" s="85"/>
      <c r="B817" s="85"/>
      <c r="C817" s="65"/>
      <c r="D817" s="85"/>
      <c r="E817" s="85"/>
      <c r="F817" s="65"/>
      <c r="G817" s="65"/>
      <c r="H817" s="85"/>
      <c r="I817" s="85"/>
      <c r="J817" s="85"/>
      <c r="K817" s="85"/>
      <c r="L817" s="85"/>
      <c r="M817" s="65"/>
      <c r="N817" s="85"/>
    </row>
    <row r="818" ht="15.75" customHeight="1">
      <c r="A818" s="85"/>
      <c r="B818" s="85"/>
      <c r="C818" s="65"/>
      <c r="D818" s="85"/>
      <c r="E818" s="85"/>
      <c r="F818" s="65"/>
      <c r="G818" s="65"/>
      <c r="H818" s="85"/>
      <c r="I818" s="85"/>
      <c r="J818" s="85"/>
      <c r="K818" s="85"/>
      <c r="L818" s="85"/>
      <c r="M818" s="65"/>
      <c r="N818" s="85"/>
    </row>
    <row r="819" ht="15.75" customHeight="1">
      <c r="A819" s="85"/>
      <c r="B819" s="85"/>
      <c r="C819" s="65"/>
      <c r="D819" s="85"/>
      <c r="E819" s="85"/>
      <c r="F819" s="65"/>
      <c r="G819" s="65"/>
      <c r="H819" s="85"/>
      <c r="I819" s="85"/>
      <c r="J819" s="85"/>
      <c r="K819" s="85"/>
      <c r="L819" s="85"/>
      <c r="M819" s="65"/>
      <c r="N819" s="85"/>
    </row>
    <row r="820" ht="15.75" customHeight="1">
      <c r="A820" s="85"/>
      <c r="B820" s="85"/>
      <c r="C820" s="65"/>
      <c r="D820" s="85"/>
      <c r="E820" s="85"/>
      <c r="F820" s="65"/>
      <c r="G820" s="65"/>
      <c r="H820" s="85"/>
      <c r="I820" s="85"/>
      <c r="J820" s="85"/>
      <c r="K820" s="85"/>
      <c r="L820" s="85"/>
      <c r="M820" s="65"/>
      <c r="N820" s="85"/>
    </row>
    <row r="821" ht="15.75" customHeight="1">
      <c r="A821" s="85"/>
      <c r="B821" s="85"/>
      <c r="C821" s="65"/>
      <c r="D821" s="85"/>
      <c r="E821" s="85"/>
      <c r="F821" s="65"/>
      <c r="G821" s="65"/>
      <c r="H821" s="85"/>
      <c r="I821" s="85"/>
      <c r="J821" s="85"/>
      <c r="K821" s="85"/>
      <c r="L821" s="85"/>
      <c r="M821" s="65"/>
      <c r="N821" s="85"/>
    </row>
    <row r="822" ht="15.75" customHeight="1">
      <c r="A822" s="85"/>
      <c r="B822" s="85"/>
      <c r="C822" s="65"/>
      <c r="D822" s="85"/>
      <c r="E822" s="85"/>
      <c r="F822" s="65"/>
      <c r="G822" s="65"/>
      <c r="H822" s="85"/>
      <c r="I822" s="85"/>
      <c r="J822" s="85"/>
      <c r="K822" s="85"/>
      <c r="L822" s="85"/>
      <c r="M822" s="65"/>
      <c r="N822" s="85"/>
    </row>
    <row r="823" ht="15.75" customHeight="1">
      <c r="A823" s="85"/>
      <c r="B823" s="85"/>
      <c r="C823" s="65"/>
      <c r="D823" s="85"/>
      <c r="E823" s="85"/>
      <c r="F823" s="65"/>
      <c r="G823" s="65"/>
      <c r="H823" s="85"/>
      <c r="I823" s="85"/>
      <c r="J823" s="85"/>
      <c r="K823" s="85"/>
      <c r="L823" s="85"/>
      <c r="M823" s="65"/>
      <c r="N823" s="85"/>
    </row>
    <row r="824" ht="15.75" customHeight="1">
      <c r="A824" s="85"/>
      <c r="B824" s="85"/>
      <c r="C824" s="65"/>
      <c r="D824" s="85"/>
      <c r="E824" s="85"/>
      <c r="F824" s="65"/>
      <c r="G824" s="65"/>
      <c r="H824" s="85"/>
      <c r="I824" s="85"/>
      <c r="J824" s="85"/>
      <c r="K824" s="85"/>
      <c r="L824" s="85"/>
      <c r="M824" s="65"/>
      <c r="N824" s="85"/>
    </row>
    <row r="825" ht="15.75" customHeight="1">
      <c r="A825" s="85"/>
      <c r="B825" s="85"/>
      <c r="C825" s="65"/>
      <c r="D825" s="85"/>
      <c r="E825" s="85"/>
      <c r="F825" s="65"/>
      <c r="G825" s="65"/>
      <c r="H825" s="85"/>
      <c r="I825" s="85"/>
      <c r="J825" s="85"/>
      <c r="K825" s="85"/>
      <c r="L825" s="85"/>
      <c r="M825" s="65"/>
      <c r="N825" s="85"/>
    </row>
    <row r="826" ht="15.75" customHeight="1">
      <c r="A826" s="85"/>
      <c r="B826" s="85"/>
      <c r="C826" s="65"/>
      <c r="D826" s="85"/>
      <c r="E826" s="85"/>
      <c r="F826" s="65"/>
      <c r="G826" s="65"/>
      <c r="H826" s="85"/>
      <c r="I826" s="85"/>
      <c r="J826" s="85"/>
      <c r="K826" s="85"/>
      <c r="L826" s="85"/>
      <c r="M826" s="65"/>
      <c r="N826" s="85"/>
    </row>
    <row r="827" ht="15.75" customHeight="1">
      <c r="A827" s="85"/>
      <c r="B827" s="85"/>
      <c r="C827" s="65"/>
      <c r="D827" s="85"/>
      <c r="E827" s="85"/>
      <c r="F827" s="65"/>
      <c r="G827" s="65"/>
      <c r="H827" s="85"/>
      <c r="I827" s="85"/>
      <c r="J827" s="85"/>
      <c r="K827" s="85"/>
      <c r="L827" s="85"/>
      <c r="M827" s="65"/>
      <c r="N827" s="85"/>
    </row>
    <row r="828" ht="15.75" customHeight="1">
      <c r="A828" s="85"/>
      <c r="B828" s="85"/>
      <c r="C828" s="65"/>
      <c r="D828" s="85"/>
      <c r="E828" s="85"/>
      <c r="F828" s="65"/>
      <c r="G828" s="65"/>
      <c r="H828" s="85"/>
      <c r="I828" s="85"/>
      <c r="J828" s="85"/>
      <c r="K828" s="85"/>
      <c r="L828" s="85"/>
      <c r="M828" s="65"/>
      <c r="N828" s="85"/>
    </row>
    <row r="829" ht="15.75" customHeight="1">
      <c r="A829" s="85"/>
      <c r="B829" s="85"/>
      <c r="C829" s="65"/>
      <c r="D829" s="85"/>
      <c r="E829" s="85"/>
      <c r="F829" s="65"/>
      <c r="G829" s="65"/>
      <c r="H829" s="85"/>
      <c r="I829" s="85"/>
      <c r="J829" s="85"/>
      <c r="K829" s="85"/>
      <c r="L829" s="85"/>
      <c r="M829" s="65"/>
      <c r="N829" s="85"/>
    </row>
    <row r="830" ht="15.75" customHeight="1">
      <c r="A830" s="85"/>
      <c r="B830" s="85"/>
      <c r="C830" s="65"/>
      <c r="D830" s="85"/>
      <c r="E830" s="85"/>
      <c r="F830" s="65"/>
      <c r="G830" s="65"/>
      <c r="H830" s="85"/>
      <c r="I830" s="85"/>
      <c r="J830" s="85"/>
      <c r="K830" s="85"/>
      <c r="L830" s="85"/>
      <c r="M830" s="65"/>
      <c r="N830" s="85"/>
    </row>
    <row r="831" ht="15.75" customHeight="1">
      <c r="A831" s="85"/>
      <c r="B831" s="85"/>
      <c r="C831" s="65"/>
      <c r="D831" s="85"/>
      <c r="E831" s="85"/>
      <c r="F831" s="65"/>
      <c r="G831" s="65"/>
      <c r="H831" s="85"/>
      <c r="I831" s="85"/>
      <c r="J831" s="85"/>
      <c r="K831" s="85"/>
      <c r="L831" s="85"/>
      <c r="M831" s="65"/>
      <c r="N831" s="85"/>
    </row>
    <row r="832" ht="15.75" customHeight="1">
      <c r="A832" s="85"/>
      <c r="B832" s="85"/>
      <c r="C832" s="65"/>
      <c r="D832" s="85"/>
      <c r="E832" s="85"/>
      <c r="F832" s="65"/>
      <c r="G832" s="65"/>
      <c r="H832" s="85"/>
      <c r="I832" s="85"/>
      <c r="J832" s="85"/>
      <c r="K832" s="85"/>
      <c r="L832" s="85"/>
      <c r="M832" s="65"/>
      <c r="N832" s="85"/>
    </row>
    <row r="833" ht="15.75" customHeight="1">
      <c r="A833" s="85"/>
      <c r="B833" s="85"/>
      <c r="C833" s="65"/>
      <c r="D833" s="85"/>
      <c r="E833" s="85"/>
      <c r="F833" s="65"/>
      <c r="G833" s="65"/>
      <c r="H833" s="85"/>
      <c r="I833" s="85"/>
      <c r="J833" s="85"/>
      <c r="K833" s="85"/>
      <c r="L833" s="85"/>
      <c r="M833" s="65"/>
      <c r="N833" s="85"/>
    </row>
    <row r="834" ht="15.75" customHeight="1">
      <c r="A834" s="85"/>
      <c r="B834" s="85"/>
      <c r="C834" s="65"/>
      <c r="D834" s="85"/>
      <c r="E834" s="85"/>
      <c r="F834" s="65"/>
      <c r="G834" s="65"/>
      <c r="H834" s="85"/>
      <c r="I834" s="85"/>
      <c r="J834" s="85"/>
      <c r="K834" s="85"/>
      <c r="L834" s="85"/>
      <c r="M834" s="65"/>
      <c r="N834" s="85"/>
    </row>
    <row r="835" ht="15.75" customHeight="1">
      <c r="A835" s="85"/>
      <c r="B835" s="85"/>
      <c r="C835" s="65"/>
      <c r="D835" s="85"/>
      <c r="E835" s="85"/>
      <c r="F835" s="65"/>
      <c r="G835" s="65"/>
      <c r="H835" s="85"/>
      <c r="I835" s="85"/>
      <c r="J835" s="85"/>
      <c r="K835" s="85"/>
      <c r="L835" s="85"/>
      <c r="M835" s="65"/>
      <c r="N835" s="85"/>
    </row>
    <row r="836" ht="15.75" customHeight="1">
      <c r="A836" s="85"/>
      <c r="B836" s="85"/>
      <c r="C836" s="65"/>
      <c r="D836" s="85"/>
      <c r="E836" s="85"/>
      <c r="F836" s="65"/>
      <c r="G836" s="65"/>
      <c r="H836" s="85"/>
      <c r="I836" s="85"/>
      <c r="J836" s="85"/>
      <c r="K836" s="85"/>
      <c r="L836" s="85"/>
      <c r="M836" s="65"/>
      <c r="N836" s="85"/>
    </row>
    <row r="837" ht="15.75" customHeight="1">
      <c r="A837" s="85"/>
      <c r="B837" s="85"/>
      <c r="C837" s="65"/>
      <c r="D837" s="85"/>
      <c r="E837" s="85"/>
      <c r="F837" s="65"/>
      <c r="G837" s="65"/>
      <c r="H837" s="85"/>
      <c r="I837" s="85"/>
      <c r="J837" s="85"/>
      <c r="K837" s="85"/>
      <c r="L837" s="85"/>
      <c r="M837" s="65"/>
      <c r="N837" s="85"/>
    </row>
    <row r="838" ht="15.75" customHeight="1">
      <c r="A838" s="85"/>
      <c r="B838" s="85"/>
      <c r="C838" s="65"/>
      <c r="D838" s="85"/>
      <c r="E838" s="85"/>
      <c r="F838" s="65"/>
      <c r="G838" s="65"/>
      <c r="H838" s="85"/>
      <c r="I838" s="85"/>
      <c r="J838" s="85"/>
      <c r="K838" s="85"/>
      <c r="L838" s="85"/>
      <c r="M838" s="65"/>
      <c r="N838" s="85"/>
    </row>
    <row r="839" ht="15.75" customHeight="1">
      <c r="A839" s="85"/>
      <c r="B839" s="85"/>
      <c r="C839" s="65"/>
      <c r="D839" s="85"/>
      <c r="E839" s="85"/>
      <c r="F839" s="65"/>
      <c r="G839" s="65"/>
      <c r="H839" s="85"/>
      <c r="I839" s="85"/>
      <c r="J839" s="85"/>
      <c r="K839" s="85"/>
      <c r="L839" s="85"/>
      <c r="M839" s="65"/>
      <c r="N839" s="85"/>
    </row>
    <row r="840" ht="15.75" customHeight="1">
      <c r="A840" s="85"/>
      <c r="B840" s="85"/>
      <c r="C840" s="65"/>
      <c r="D840" s="85"/>
      <c r="E840" s="85"/>
      <c r="F840" s="65"/>
      <c r="G840" s="65"/>
      <c r="H840" s="85"/>
      <c r="I840" s="85"/>
      <c r="J840" s="85"/>
      <c r="K840" s="85"/>
      <c r="L840" s="85"/>
      <c r="M840" s="65"/>
      <c r="N840" s="85"/>
    </row>
    <row r="841" ht="15.75" customHeight="1">
      <c r="A841" s="85"/>
      <c r="B841" s="85"/>
      <c r="C841" s="65"/>
      <c r="D841" s="85"/>
      <c r="E841" s="85"/>
      <c r="F841" s="65"/>
      <c r="G841" s="65"/>
      <c r="H841" s="85"/>
      <c r="I841" s="85"/>
      <c r="J841" s="85"/>
      <c r="K841" s="85"/>
      <c r="L841" s="85"/>
      <c r="M841" s="65"/>
      <c r="N841" s="85"/>
    </row>
    <row r="842" ht="15.75" customHeight="1">
      <c r="A842" s="85"/>
      <c r="B842" s="85"/>
      <c r="C842" s="65"/>
      <c r="D842" s="85"/>
      <c r="E842" s="85"/>
      <c r="F842" s="65"/>
      <c r="G842" s="65"/>
      <c r="H842" s="85"/>
      <c r="I842" s="85"/>
      <c r="J842" s="85"/>
      <c r="K842" s="85"/>
      <c r="L842" s="85"/>
      <c r="M842" s="65"/>
      <c r="N842" s="85"/>
    </row>
    <row r="843" ht="15.75" customHeight="1">
      <c r="A843" s="85"/>
      <c r="B843" s="85"/>
      <c r="C843" s="65"/>
      <c r="D843" s="85"/>
      <c r="E843" s="85"/>
      <c r="F843" s="65"/>
      <c r="G843" s="65"/>
      <c r="H843" s="85"/>
      <c r="I843" s="85"/>
      <c r="J843" s="85"/>
      <c r="K843" s="85"/>
      <c r="L843" s="85"/>
      <c r="M843" s="65"/>
      <c r="N843" s="85"/>
    </row>
    <row r="844" ht="15.75" customHeight="1">
      <c r="A844" s="85"/>
      <c r="B844" s="85"/>
      <c r="C844" s="65"/>
      <c r="D844" s="85"/>
      <c r="E844" s="85"/>
      <c r="F844" s="65"/>
      <c r="G844" s="65"/>
      <c r="H844" s="85"/>
      <c r="I844" s="85"/>
      <c r="J844" s="85"/>
      <c r="K844" s="85"/>
      <c r="L844" s="85"/>
      <c r="M844" s="65"/>
      <c r="N844" s="85"/>
    </row>
    <row r="845" ht="15.75" customHeight="1">
      <c r="A845" s="85"/>
      <c r="B845" s="85"/>
      <c r="C845" s="65"/>
      <c r="D845" s="85"/>
      <c r="E845" s="85"/>
      <c r="F845" s="65"/>
      <c r="G845" s="65"/>
      <c r="H845" s="85"/>
      <c r="I845" s="85"/>
      <c r="J845" s="85"/>
      <c r="K845" s="85"/>
      <c r="L845" s="85"/>
      <c r="M845" s="65"/>
      <c r="N845" s="85"/>
    </row>
    <row r="846" ht="15.75" customHeight="1">
      <c r="A846" s="85"/>
      <c r="B846" s="85"/>
      <c r="C846" s="65"/>
      <c r="D846" s="85"/>
      <c r="E846" s="85"/>
      <c r="F846" s="65"/>
      <c r="G846" s="65"/>
      <c r="H846" s="85"/>
      <c r="I846" s="85"/>
      <c r="J846" s="85"/>
      <c r="K846" s="85"/>
      <c r="L846" s="85"/>
      <c r="M846" s="65"/>
      <c r="N846" s="85"/>
    </row>
    <row r="847" ht="15.75" customHeight="1">
      <c r="A847" s="85"/>
      <c r="B847" s="85"/>
      <c r="C847" s="65"/>
      <c r="D847" s="85"/>
      <c r="E847" s="85"/>
      <c r="F847" s="65"/>
      <c r="G847" s="65"/>
      <c r="H847" s="85"/>
      <c r="I847" s="85"/>
      <c r="J847" s="85"/>
      <c r="K847" s="85"/>
      <c r="L847" s="85"/>
      <c r="M847" s="65"/>
      <c r="N847" s="85"/>
    </row>
    <row r="848" ht="15.75" customHeight="1">
      <c r="A848" s="85"/>
      <c r="B848" s="85"/>
      <c r="C848" s="65"/>
      <c r="D848" s="85"/>
      <c r="E848" s="85"/>
      <c r="F848" s="65"/>
      <c r="G848" s="65"/>
      <c r="H848" s="85"/>
      <c r="I848" s="85"/>
      <c r="J848" s="85"/>
      <c r="K848" s="85"/>
      <c r="L848" s="85"/>
      <c r="M848" s="65"/>
      <c r="N848" s="85"/>
    </row>
    <row r="849" ht="15.75" customHeight="1">
      <c r="A849" s="85"/>
      <c r="B849" s="85"/>
      <c r="C849" s="65"/>
      <c r="D849" s="85"/>
      <c r="E849" s="85"/>
      <c r="F849" s="65"/>
      <c r="G849" s="65"/>
      <c r="H849" s="85"/>
      <c r="I849" s="85"/>
      <c r="J849" s="85"/>
      <c r="K849" s="85"/>
      <c r="L849" s="85"/>
      <c r="M849" s="65"/>
      <c r="N849" s="85"/>
    </row>
    <row r="850" ht="15.75" customHeight="1">
      <c r="A850" s="85"/>
      <c r="B850" s="85"/>
      <c r="C850" s="65"/>
      <c r="D850" s="85"/>
      <c r="E850" s="85"/>
      <c r="F850" s="65"/>
      <c r="G850" s="65"/>
      <c r="H850" s="85"/>
      <c r="I850" s="85"/>
      <c r="J850" s="85"/>
      <c r="K850" s="85"/>
      <c r="L850" s="85"/>
      <c r="M850" s="65"/>
      <c r="N850" s="85"/>
    </row>
    <row r="851" ht="15.75" customHeight="1">
      <c r="A851" s="85"/>
      <c r="B851" s="85"/>
      <c r="C851" s="65"/>
      <c r="D851" s="85"/>
      <c r="E851" s="85"/>
      <c r="F851" s="65"/>
      <c r="G851" s="65"/>
      <c r="H851" s="85"/>
      <c r="I851" s="85"/>
      <c r="J851" s="85"/>
      <c r="K851" s="85"/>
      <c r="L851" s="85"/>
      <c r="M851" s="65"/>
      <c r="N851" s="85"/>
    </row>
    <row r="852" ht="15.75" customHeight="1">
      <c r="A852" s="85"/>
      <c r="B852" s="85"/>
      <c r="C852" s="65"/>
      <c r="D852" s="85"/>
      <c r="E852" s="85"/>
      <c r="F852" s="65"/>
      <c r="G852" s="65"/>
      <c r="H852" s="85"/>
      <c r="I852" s="85"/>
      <c r="J852" s="85"/>
      <c r="K852" s="85"/>
      <c r="L852" s="85"/>
      <c r="M852" s="65"/>
      <c r="N852" s="85"/>
    </row>
    <row r="853" ht="15.75" customHeight="1">
      <c r="A853" s="85"/>
      <c r="B853" s="85"/>
      <c r="C853" s="65"/>
      <c r="D853" s="85"/>
      <c r="E853" s="85"/>
      <c r="F853" s="65"/>
      <c r="G853" s="65"/>
      <c r="H853" s="85"/>
      <c r="I853" s="85"/>
      <c r="J853" s="85"/>
      <c r="K853" s="85"/>
      <c r="L853" s="85"/>
      <c r="M853" s="65"/>
      <c r="N853" s="85"/>
    </row>
    <row r="854" ht="15.75" customHeight="1">
      <c r="A854" s="85"/>
      <c r="B854" s="85"/>
      <c r="C854" s="65"/>
      <c r="D854" s="85"/>
      <c r="E854" s="85"/>
      <c r="F854" s="65"/>
      <c r="G854" s="65"/>
      <c r="H854" s="85"/>
      <c r="I854" s="85"/>
      <c r="J854" s="85"/>
      <c r="K854" s="85"/>
      <c r="L854" s="85"/>
      <c r="M854" s="65"/>
      <c r="N854" s="85"/>
    </row>
    <row r="855" ht="15.75" customHeight="1">
      <c r="A855" s="85"/>
      <c r="B855" s="85"/>
      <c r="C855" s="65"/>
      <c r="D855" s="85"/>
      <c r="E855" s="85"/>
      <c r="F855" s="65"/>
      <c r="G855" s="65"/>
      <c r="H855" s="85"/>
      <c r="I855" s="85"/>
      <c r="J855" s="85"/>
      <c r="K855" s="85"/>
      <c r="L855" s="85"/>
      <c r="M855" s="65"/>
      <c r="N855" s="85"/>
    </row>
    <row r="856" ht="15.75" customHeight="1">
      <c r="A856" s="85"/>
      <c r="B856" s="85"/>
      <c r="C856" s="65"/>
      <c r="D856" s="85"/>
      <c r="E856" s="85"/>
      <c r="F856" s="65"/>
      <c r="G856" s="65"/>
      <c r="H856" s="85"/>
      <c r="I856" s="85"/>
      <c r="J856" s="85"/>
      <c r="K856" s="85"/>
      <c r="L856" s="85"/>
      <c r="M856" s="65"/>
      <c r="N856" s="85"/>
    </row>
    <row r="857" ht="15.75" customHeight="1">
      <c r="A857" s="85"/>
      <c r="B857" s="85"/>
      <c r="C857" s="65"/>
      <c r="D857" s="85"/>
      <c r="E857" s="85"/>
      <c r="F857" s="65"/>
      <c r="G857" s="65"/>
      <c r="H857" s="85"/>
      <c r="I857" s="85"/>
      <c r="J857" s="85"/>
      <c r="K857" s="85"/>
      <c r="L857" s="85"/>
      <c r="M857" s="65"/>
      <c r="N857" s="85"/>
    </row>
    <row r="858" ht="15.75" customHeight="1">
      <c r="A858" s="85"/>
      <c r="B858" s="85"/>
      <c r="C858" s="65"/>
      <c r="D858" s="85"/>
      <c r="E858" s="85"/>
      <c r="F858" s="65"/>
      <c r="G858" s="65"/>
      <c r="H858" s="85"/>
      <c r="I858" s="85"/>
      <c r="J858" s="85"/>
      <c r="K858" s="85"/>
      <c r="L858" s="85"/>
      <c r="M858" s="65"/>
      <c r="N858" s="85"/>
    </row>
    <row r="859" ht="15.75" customHeight="1">
      <c r="A859" s="85"/>
      <c r="B859" s="85"/>
      <c r="C859" s="65"/>
      <c r="D859" s="85"/>
      <c r="E859" s="85"/>
      <c r="F859" s="65"/>
      <c r="G859" s="65"/>
      <c r="H859" s="85"/>
      <c r="I859" s="85"/>
      <c r="J859" s="85"/>
      <c r="K859" s="85"/>
      <c r="L859" s="85"/>
      <c r="M859" s="65"/>
      <c r="N859" s="85"/>
    </row>
    <row r="860" ht="15.75" customHeight="1">
      <c r="A860" s="85"/>
      <c r="B860" s="85"/>
      <c r="C860" s="65"/>
      <c r="D860" s="85"/>
      <c r="E860" s="85"/>
      <c r="F860" s="65"/>
      <c r="G860" s="65"/>
      <c r="H860" s="85"/>
      <c r="I860" s="85"/>
      <c r="J860" s="85"/>
      <c r="K860" s="85"/>
      <c r="L860" s="85"/>
      <c r="M860" s="65"/>
      <c r="N860" s="85"/>
    </row>
    <row r="861" ht="15.75" customHeight="1">
      <c r="A861" s="85"/>
      <c r="B861" s="85"/>
      <c r="C861" s="65"/>
      <c r="D861" s="85"/>
      <c r="E861" s="85"/>
      <c r="F861" s="65"/>
      <c r="G861" s="65"/>
      <c r="H861" s="85"/>
      <c r="I861" s="85"/>
      <c r="J861" s="85"/>
      <c r="K861" s="85"/>
      <c r="L861" s="85"/>
      <c r="M861" s="65"/>
      <c r="N861" s="85"/>
    </row>
    <row r="862" ht="15.75" customHeight="1">
      <c r="A862" s="85"/>
      <c r="B862" s="85"/>
      <c r="C862" s="65"/>
      <c r="D862" s="85"/>
      <c r="E862" s="85"/>
      <c r="F862" s="65"/>
      <c r="G862" s="65"/>
      <c r="H862" s="85"/>
      <c r="I862" s="85"/>
      <c r="J862" s="85"/>
      <c r="K862" s="85"/>
      <c r="L862" s="85"/>
      <c r="M862" s="65"/>
      <c r="N862" s="85"/>
    </row>
    <row r="863" ht="15.75" customHeight="1">
      <c r="A863" s="85"/>
      <c r="B863" s="85"/>
      <c r="C863" s="65"/>
      <c r="D863" s="85"/>
      <c r="E863" s="85"/>
      <c r="F863" s="65"/>
      <c r="G863" s="65"/>
      <c r="H863" s="85"/>
      <c r="I863" s="85"/>
      <c r="J863" s="85"/>
      <c r="K863" s="85"/>
      <c r="L863" s="85"/>
      <c r="M863" s="65"/>
      <c r="N863" s="85"/>
    </row>
    <row r="864" ht="15.75" customHeight="1">
      <c r="A864" s="85"/>
      <c r="B864" s="85"/>
      <c r="C864" s="65"/>
      <c r="D864" s="85"/>
      <c r="E864" s="85"/>
      <c r="F864" s="65"/>
      <c r="G864" s="65"/>
      <c r="H864" s="85"/>
      <c r="I864" s="85"/>
      <c r="J864" s="85"/>
      <c r="K864" s="85"/>
      <c r="L864" s="85"/>
      <c r="M864" s="65"/>
      <c r="N864" s="85"/>
    </row>
    <row r="865" ht="15.75" customHeight="1">
      <c r="A865" s="85"/>
      <c r="B865" s="85"/>
      <c r="C865" s="65"/>
      <c r="D865" s="85"/>
      <c r="E865" s="85"/>
      <c r="F865" s="65"/>
      <c r="G865" s="65"/>
      <c r="H865" s="85"/>
      <c r="I865" s="85"/>
      <c r="J865" s="85"/>
      <c r="K865" s="85"/>
      <c r="L865" s="85"/>
      <c r="M865" s="65"/>
      <c r="N865" s="85"/>
    </row>
    <row r="866" ht="15.75" customHeight="1">
      <c r="A866" s="85"/>
      <c r="B866" s="85"/>
      <c r="C866" s="65"/>
      <c r="D866" s="85"/>
      <c r="E866" s="85"/>
      <c r="F866" s="65"/>
      <c r="G866" s="65"/>
      <c r="H866" s="85"/>
      <c r="I866" s="85"/>
      <c r="J866" s="85"/>
      <c r="K866" s="85"/>
      <c r="L866" s="85"/>
      <c r="M866" s="65"/>
      <c r="N866" s="85"/>
    </row>
    <row r="867" ht="15.75" customHeight="1">
      <c r="A867" s="85"/>
      <c r="B867" s="85"/>
      <c r="C867" s="65"/>
      <c r="D867" s="85"/>
      <c r="E867" s="85"/>
      <c r="F867" s="65"/>
      <c r="G867" s="65"/>
      <c r="H867" s="85"/>
      <c r="I867" s="85"/>
      <c r="J867" s="85"/>
      <c r="K867" s="85"/>
      <c r="L867" s="85"/>
      <c r="M867" s="65"/>
      <c r="N867" s="85"/>
    </row>
    <row r="868" ht="15.75" customHeight="1">
      <c r="A868" s="85"/>
      <c r="B868" s="85"/>
      <c r="C868" s="65"/>
      <c r="D868" s="85"/>
      <c r="E868" s="85"/>
      <c r="F868" s="65"/>
      <c r="G868" s="65"/>
      <c r="H868" s="85"/>
      <c r="I868" s="85"/>
      <c r="J868" s="85"/>
      <c r="K868" s="85"/>
      <c r="L868" s="85"/>
      <c r="M868" s="65"/>
      <c r="N868" s="85"/>
    </row>
    <row r="869" ht="15.75" customHeight="1">
      <c r="A869" s="85"/>
      <c r="B869" s="85"/>
      <c r="C869" s="65"/>
      <c r="D869" s="85"/>
      <c r="E869" s="85"/>
      <c r="F869" s="65"/>
      <c r="G869" s="65"/>
      <c r="H869" s="85"/>
      <c r="I869" s="85"/>
      <c r="J869" s="85"/>
      <c r="K869" s="85"/>
      <c r="L869" s="85"/>
      <c r="M869" s="65"/>
      <c r="N869" s="85"/>
    </row>
    <row r="870" ht="15.75" customHeight="1">
      <c r="A870" s="85"/>
      <c r="B870" s="85"/>
      <c r="C870" s="65"/>
      <c r="D870" s="85"/>
      <c r="E870" s="85"/>
      <c r="F870" s="65"/>
      <c r="G870" s="65"/>
      <c r="H870" s="85"/>
      <c r="I870" s="85"/>
      <c r="J870" s="85"/>
      <c r="K870" s="85"/>
      <c r="L870" s="85"/>
      <c r="M870" s="65"/>
      <c r="N870" s="85"/>
    </row>
    <row r="871" ht="15.75" customHeight="1">
      <c r="A871" s="85"/>
      <c r="B871" s="85"/>
      <c r="C871" s="65"/>
      <c r="D871" s="85"/>
      <c r="E871" s="85"/>
      <c r="F871" s="65"/>
      <c r="G871" s="65"/>
      <c r="H871" s="85"/>
      <c r="I871" s="85"/>
      <c r="J871" s="85"/>
      <c r="K871" s="85"/>
      <c r="L871" s="85"/>
      <c r="M871" s="65"/>
      <c r="N871" s="85"/>
    </row>
    <row r="872" ht="15.75" customHeight="1">
      <c r="A872" s="85"/>
      <c r="B872" s="85"/>
      <c r="C872" s="65"/>
      <c r="D872" s="85"/>
      <c r="E872" s="85"/>
      <c r="F872" s="65"/>
      <c r="G872" s="65"/>
      <c r="H872" s="85"/>
      <c r="I872" s="85"/>
      <c r="J872" s="85"/>
      <c r="K872" s="85"/>
      <c r="L872" s="85"/>
      <c r="M872" s="65"/>
      <c r="N872" s="85"/>
    </row>
    <row r="873" ht="15.75" customHeight="1">
      <c r="A873" s="85"/>
      <c r="B873" s="85"/>
      <c r="C873" s="65"/>
      <c r="D873" s="85"/>
      <c r="E873" s="85"/>
      <c r="F873" s="65"/>
      <c r="G873" s="65"/>
      <c r="H873" s="85"/>
      <c r="I873" s="85"/>
      <c r="J873" s="85"/>
      <c r="K873" s="85"/>
      <c r="L873" s="85"/>
      <c r="M873" s="65"/>
      <c r="N873" s="85"/>
    </row>
    <row r="874" ht="15.75" customHeight="1">
      <c r="A874" s="85"/>
      <c r="B874" s="85"/>
      <c r="C874" s="65"/>
      <c r="D874" s="85"/>
      <c r="E874" s="85"/>
      <c r="F874" s="65"/>
      <c r="G874" s="65"/>
      <c r="H874" s="85"/>
      <c r="I874" s="85"/>
      <c r="J874" s="85"/>
      <c r="K874" s="85"/>
      <c r="L874" s="85"/>
      <c r="M874" s="65"/>
      <c r="N874" s="85"/>
    </row>
    <row r="875" ht="15.75" customHeight="1">
      <c r="A875" s="85"/>
      <c r="B875" s="85"/>
      <c r="C875" s="65"/>
      <c r="D875" s="85"/>
      <c r="E875" s="85"/>
      <c r="F875" s="65"/>
      <c r="G875" s="65"/>
      <c r="H875" s="85"/>
      <c r="I875" s="85"/>
      <c r="J875" s="85"/>
      <c r="K875" s="85"/>
      <c r="L875" s="85"/>
      <c r="M875" s="65"/>
      <c r="N875" s="85"/>
    </row>
    <row r="876" ht="15.75" customHeight="1">
      <c r="A876" s="85"/>
      <c r="B876" s="85"/>
      <c r="C876" s="65"/>
      <c r="D876" s="85"/>
      <c r="E876" s="85"/>
      <c r="F876" s="65"/>
      <c r="G876" s="65"/>
      <c r="H876" s="85"/>
      <c r="I876" s="85"/>
      <c r="J876" s="85"/>
      <c r="K876" s="85"/>
      <c r="L876" s="85"/>
      <c r="M876" s="65"/>
      <c r="N876" s="85"/>
    </row>
    <row r="877" ht="15.75" customHeight="1">
      <c r="A877" s="85"/>
      <c r="B877" s="85"/>
      <c r="C877" s="65"/>
      <c r="D877" s="85"/>
      <c r="E877" s="85"/>
      <c r="F877" s="65"/>
      <c r="G877" s="65"/>
      <c r="H877" s="85"/>
      <c r="I877" s="85"/>
      <c r="J877" s="85"/>
      <c r="K877" s="85"/>
      <c r="L877" s="85"/>
      <c r="M877" s="65"/>
      <c r="N877" s="85"/>
    </row>
    <row r="878" ht="15.75" customHeight="1">
      <c r="A878" s="85"/>
      <c r="B878" s="85"/>
      <c r="C878" s="65"/>
      <c r="D878" s="85"/>
      <c r="E878" s="85"/>
      <c r="F878" s="65"/>
      <c r="G878" s="65"/>
      <c r="H878" s="85"/>
      <c r="I878" s="85"/>
      <c r="J878" s="85"/>
      <c r="K878" s="85"/>
      <c r="L878" s="85"/>
      <c r="M878" s="65"/>
      <c r="N878" s="85"/>
    </row>
    <row r="879" ht="15.75" customHeight="1">
      <c r="A879" s="85"/>
      <c r="B879" s="85"/>
      <c r="C879" s="65"/>
      <c r="D879" s="85"/>
      <c r="E879" s="85"/>
      <c r="F879" s="65"/>
      <c r="G879" s="65"/>
      <c r="H879" s="85"/>
      <c r="I879" s="85"/>
      <c r="J879" s="85"/>
      <c r="K879" s="85"/>
      <c r="L879" s="85"/>
      <c r="M879" s="65"/>
      <c r="N879" s="85"/>
    </row>
    <row r="880" ht="15.75" customHeight="1">
      <c r="A880" s="85"/>
      <c r="B880" s="85"/>
      <c r="C880" s="65"/>
      <c r="D880" s="85"/>
      <c r="E880" s="85"/>
      <c r="F880" s="65"/>
      <c r="G880" s="65"/>
      <c r="H880" s="85"/>
      <c r="I880" s="85"/>
      <c r="J880" s="85"/>
      <c r="K880" s="85"/>
      <c r="L880" s="85"/>
      <c r="M880" s="65"/>
      <c r="N880" s="85"/>
    </row>
    <row r="881" ht="15.75" customHeight="1">
      <c r="A881" s="85"/>
      <c r="B881" s="85"/>
      <c r="C881" s="65"/>
      <c r="D881" s="85"/>
      <c r="E881" s="85"/>
      <c r="F881" s="65"/>
      <c r="G881" s="65"/>
      <c r="H881" s="85"/>
      <c r="I881" s="85"/>
      <c r="J881" s="85"/>
      <c r="K881" s="85"/>
      <c r="L881" s="85"/>
      <c r="M881" s="65"/>
      <c r="N881" s="85"/>
    </row>
    <row r="882" ht="15.75" customHeight="1">
      <c r="A882" s="85"/>
      <c r="B882" s="85"/>
      <c r="C882" s="65"/>
      <c r="D882" s="85"/>
      <c r="E882" s="85"/>
      <c r="F882" s="65"/>
      <c r="G882" s="65"/>
      <c r="H882" s="85"/>
      <c r="I882" s="85"/>
      <c r="J882" s="85"/>
      <c r="K882" s="85"/>
      <c r="L882" s="85"/>
      <c r="M882" s="65"/>
      <c r="N882" s="85"/>
    </row>
    <row r="883" ht="15.75" customHeight="1">
      <c r="A883" s="85"/>
      <c r="B883" s="85"/>
      <c r="C883" s="65"/>
      <c r="D883" s="85"/>
      <c r="E883" s="85"/>
      <c r="F883" s="65"/>
      <c r="G883" s="65"/>
      <c r="H883" s="85"/>
      <c r="I883" s="85"/>
      <c r="J883" s="85"/>
      <c r="K883" s="85"/>
      <c r="L883" s="85"/>
      <c r="M883" s="65"/>
      <c r="N883" s="85"/>
    </row>
    <row r="884" ht="15.75" customHeight="1">
      <c r="A884" s="85"/>
      <c r="B884" s="85"/>
      <c r="C884" s="65"/>
      <c r="D884" s="85"/>
      <c r="E884" s="85"/>
      <c r="F884" s="65"/>
      <c r="G884" s="65"/>
      <c r="H884" s="85"/>
      <c r="I884" s="85"/>
      <c r="J884" s="85"/>
      <c r="K884" s="85"/>
      <c r="L884" s="85"/>
      <c r="M884" s="65"/>
      <c r="N884" s="85"/>
    </row>
    <row r="885" ht="15.75" customHeight="1">
      <c r="A885" s="85"/>
      <c r="B885" s="85"/>
      <c r="C885" s="65"/>
      <c r="D885" s="85"/>
      <c r="E885" s="85"/>
      <c r="F885" s="65"/>
      <c r="G885" s="65"/>
      <c r="H885" s="85"/>
      <c r="I885" s="85"/>
      <c r="J885" s="85"/>
      <c r="K885" s="85"/>
      <c r="L885" s="85"/>
      <c r="M885" s="65"/>
      <c r="N885" s="85"/>
    </row>
    <row r="886" ht="15.75" customHeight="1">
      <c r="A886" s="85"/>
      <c r="B886" s="85"/>
      <c r="C886" s="65"/>
      <c r="D886" s="85"/>
      <c r="E886" s="85"/>
      <c r="F886" s="65"/>
      <c r="G886" s="65"/>
      <c r="H886" s="85"/>
      <c r="I886" s="85"/>
      <c r="J886" s="85"/>
      <c r="K886" s="85"/>
      <c r="L886" s="85"/>
      <c r="M886" s="65"/>
      <c r="N886" s="85"/>
    </row>
    <row r="887" ht="15.75" customHeight="1">
      <c r="A887" s="85"/>
      <c r="B887" s="85"/>
      <c r="C887" s="65"/>
      <c r="D887" s="85"/>
      <c r="E887" s="85"/>
      <c r="F887" s="65"/>
      <c r="G887" s="65"/>
      <c r="H887" s="85"/>
      <c r="I887" s="85"/>
      <c r="J887" s="85"/>
      <c r="K887" s="85"/>
      <c r="L887" s="85"/>
      <c r="M887" s="65"/>
      <c r="N887" s="85"/>
    </row>
    <row r="888" ht="15.75" customHeight="1">
      <c r="A888" s="85"/>
      <c r="B888" s="85"/>
      <c r="C888" s="65"/>
      <c r="D888" s="85"/>
      <c r="E888" s="85"/>
      <c r="F888" s="65"/>
      <c r="G888" s="65"/>
      <c r="H888" s="85"/>
      <c r="I888" s="85"/>
      <c r="J888" s="85"/>
      <c r="K888" s="85"/>
      <c r="L888" s="85"/>
      <c r="M888" s="65"/>
      <c r="N888" s="85"/>
    </row>
    <row r="889" ht="15.75" customHeight="1">
      <c r="A889" s="85"/>
      <c r="B889" s="85"/>
      <c r="C889" s="65"/>
      <c r="D889" s="85"/>
      <c r="E889" s="85"/>
      <c r="F889" s="65"/>
      <c r="G889" s="65"/>
      <c r="H889" s="85"/>
      <c r="I889" s="85"/>
      <c r="J889" s="85"/>
      <c r="K889" s="85"/>
      <c r="L889" s="85"/>
      <c r="M889" s="65"/>
      <c r="N889" s="85"/>
    </row>
    <row r="890" ht="15.75" customHeight="1">
      <c r="A890" s="85"/>
      <c r="B890" s="85"/>
      <c r="C890" s="65"/>
      <c r="D890" s="85"/>
      <c r="E890" s="85"/>
      <c r="F890" s="65"/>
      <c r="G890" s="65"/>
      <c r="H890" s="85"/>
      <c r="I890" s="85"/>
      <c r="J890" s="85"/>
      <c r="K890" s="85"/>
      <c r="L890" s="85"/>
      <c r="M890" s="65"/>
      <c r="N890" s="85"/>
    </row>
    <row r="891" ht="15.75" customHeight="1">
      <c r="A891" s="85"/>
      <c r="B891" s="85"/>
      <c r="C891" s="65"/>
      <c r="D891" s="85"/>
      <c r="E891" s="85"/>
      <c r="F891" s="65"/>
      <c r="G891" s="65"/>
      <c r="H891" s="85"/>
      <c r="I891" s="85"/>
      <c r="J891" s="85"/>
      <c r="K891" s="85"/>
      <c r="L891" s="85"/>
      <c r="M891" s="65"/>
      <c r="N891" s="85"/>
    </row>
    <row r="892" ht="15.75" customHeight="1">
      <c r="A892" s="85"/>
      <c r="B892" s="85"/>
      <c r="C892" s="65"/>
      <c r="D892" s="85"/>
      <c r="E892" s="85"/>
      <c r="F892" s="65"/>
      <c r="G892" s="65"/>
      <c r="H892" s="85"/>
      <c r="I892" s="85"/>
      <c r="J892" s="85"/>
      <c r="K892" s="85"/>
      <c r="L892" s="85"/>
      <c r="M892" s="65"/>
      <c r="N892" s="85"/>
    </row>
    <row r="893" ht="15.75" customHeight="1">
      <c r="A893" s="85"/>
      <c r="B893" s="85"/>
      <c r="C893" s="65"/>
      <c r="D893" s="85"/>
      <c r="E893" s="85"/>
      <c r="F893" s="65"/>
      <c r="G893" s="65"/>
      <c r="H893" s="85"/>
      <c r="I893" s="85"/>
      <c r="J893" s="85"/>
      <c r="K893" s="85"/>
      <c r="L893" s="85"/>
      <c r="M893" s="65"/>
      <c r="N893" s="85"/>
    </row>
    <row r="894" ht="15.75" customHeight="1">
      <c r="A894" s="85"/>
      <c r="B894" s="85"/>
      <c r="C894" s="65"/>
      <c r="D894" s="85"/>
      <c r="E894" s="85"/>
      <c r="F894" s="65"/>
      <c r="G894" s="65"/>
      <c r="H894" s="85"/>
      <c r="I894" s="85"/>
      <c r="J894" s="85"/>
      <c r="K894" s="85"/>
      <c r="L894" s="85"/>
      <c r="M894" s="65"/>
      <c r="N894" s="85"/>
    </row>
    <row r="895" ht="15.75" customHeight="1">
      <c r="A895" s="85"/>
      <c r="B895" s="85"/>
      <c r="C895" s="65"/>
      <c r="D895" s="85"/>
      <c r="E895" s="85"/>
      <c r="F895" s="65"/>
      <c r="G895" s="65"/>
      <c r="H895" s="85"/>
      <c r="I895" s="85"/>
      <c r="J895" s="85"/>
      <c r="K895" s="85"/>
      <c r="L895" s="85"/>
      <c r="M895" s="65"/>
      <c r="N895" s="85"/>
    </row>
    <row r="896" ht="15.75" customHeight="1">
      <c r="A896" s="85"/>
      <c r="B896" s="85"/>
      <c r="C896" s="65"/>
      <c r="D896" s="85"/>
      <c r="E896" s="85"/>
      <c r="F896" s="65"/>
      <c r="G896" s="65"/>
      <c r="H896" s="85"/>
      <c r="I896" s="85"/>
      <c r="J896" s="85"/>
      <c r="K896" s="85"/>
      <c r="L896" s="85"/>
      <c r="M896" s="65"/>
      <c r="N896" s="85"/>
    </row>
    <row r="897" ht="15.75" customHeight="1">
      <c r="A897" s="85"/>
      <c r="B897" s="85"/>
      <c r="C897" s="65"/>
      <c r="D897" s="85"/>
      <c r="E897" s="85"/>
      <c r="F897" s="65"/>
      <c r="G897" s="65"/>
      <c r="H897" s="85"/>
      <c r="I897" s="85"/>
      <c r="J897" s="85"/>
      <c r="K897" s="85"/>
      <c r="L897" s="85"/>
      <c r="M897" s="65"/>
      <c r="N897" s="85"/>
    </row>
    <row r="898" ht="15.75" customHeight="1">
      <c r="A898" s="85"/>
      <c r="B898" s="85"/>
      <c r="C898" s="65"/>
      <c r="D898" s="85"/>
      <c r="E898" s="85"/>
      <c r="F898" s="65"/>
      <c r="G898" s="65"/>
      <c r="H898" s="85"/>
      <c r="I898" s="85"/>
      <c r="J898" s="85"/>
      <c r="K898" s="85"/>
      <c r="L898" s="85"/>
      <c r="M898" s="65"/>
      <c r="N898" s="85"/>
    </row>
    <row r="899" ht="15.75" customHeight="1">
      <c r="A899" s="85"/>
      <c r="B899" s="85"/>
      <c r="C899" s="65"/>
      <c r="D899" s="85"/>
      <c r="E899" s="85"/>
      <c r="F899" s="65"/>
      <c r="G899" s="65"/>
      <c r="H899" s="85"/>
      <c r="I899" s="85"/>
      <c r="J899" s="85"/>
      <c r="K899" s="85"/>
      <c r="L899" s="85"/>
      <c r="M899" s="65"/>
      <c r="N899" s="85"/>
    </row>
    <row r="900" ht="15.75" customHeight="1">
      <c r="A900" s="85"/>
      <c r="B900" s="85"/>
      <c r="C900" s="65"/>
      <c r="D900" s="85"/>
      <c r="E900" s="85"/>
      <c r="F900" s="65"/>
      <c r="G900" s="65"/>
      <c r="H900" s="85"/>
      <c r="I900" s="85"/>
      <c r="J900" s="85"/>
      <c r="K900" s="85"/>
      <c r="L900" s="85"/>
      <c r="M900" s="65"/>
      <c r="N900" s="85"/>
    </row>
    <row r="901" ht="15.75" customHeight="1">
      <c r="A901" s="85"/>
      <c r="B901" s="85"/>
      <c r="C901" s="65"/>
      <c r="D901" s="85"/>
      <c r="E901" s="85"/>
      <c r="F901" s="65"/>
      <c r="G901" s="65"/>
      <c r="H901" s="85"/>
      <c r="I901" s="85"/>
      <c r="J901" s="85"/>
      <c r="K901" s="85"/>
      <c r="L901" s="85"/>
      <c r="M901" s="65"/>
      <c r="N901" s="85"/>
    </row>
    <row r="902" ht="15.75" customHeight="1">
      <c r="A902" s="85"/>
      <c r="B902" s="85"/>
      <c r="C902" s="65"/>
      <c r="D902" s="85"/>
      <c r="E902" s="85"/>
      <c r="F902" s="65"/>
      <c r="G902" s="65"/>
      <c r="H902" s="85"/>
      <c r="I902" s="85"/>
      <c r="J902" s="85"/>
      <c r="K902" s="85"/>
      <c r="L902" s="85"/>
      <c r="M902" s="65"/>
      <c r="N902" s="85"/>
    </row>
    <row r="903" ht="15.75" customHeight="1">
      <c r="A903" s="85"/>
      <c r="B903" s="85"/>
      <c r="C903" s="65"/>
      <c r="D903" s="85"/>
      <c r="E903" s="85"/>
      <c r="F903" s="65"/>
      <c r="G903" s="65"/>
      <c r="H903" s="85"/>
      <c r="I903" s="85"/>
      <c r="J903" s="85"/>
      <c r="K903" s="85"/>
      <c r="L903" s="85"/>
      <c r="M903" s="65"/>
      <c r="N903" s="85"/>
    </row>
    <row r="904" ht="15.75" customHeight="1">
      <c r="A904" s="85"/>
      <c r="B904" s="85"/>
      <c r="C904" s="65"/>
      <c r="D904" s="85"/>
      <c r="E904" s="85"/>
      <c r="F904" s="65"/>
      <c r="G904" s="65"/>
      <c r="H904" s="85"/>
      <c r="I904" s="85"/>
      <c r="J904" s="85"/>
      <c r="K904" s="85"/>
      <c r="L904" s="85"/>
      <c r="M904" s="65"/>
      <c r="N904" s="85"/>
    </row>
    <row r="905" ht="15.75" customHeight="1">
      <c r="A905" s="85"/>
      <c r="B905" s="85"/>
      <c r="C905" s="65"/>
      <c r="D905" s="85"/>
      <c r="E905" s="85"/>
      <c r="F905" s="65"/>
      <c r="G905" s="65"/>
      <c r="H905" s="85"/>
      <c r="I905" s="85"/>
      <c r="J905" s="85"/>
      <c r="K905" s="85"/>
      <c r="L905" s="85"/>
      <c r="M905" s="65"/>
      <c r="N905" s="85"/>
    </row>
    <row r="906" ht="15.75" customHeight="1">
      <c r="A906" s="85"/>
      <c r="B906" s="85"/>
      <c r="C906" s="65"/>
      <c r="D906" s="85"/>
      <c r="E906" s="85"/>
      <c r="F906" s="65"/>
      <c r="G906" s="65"/>
      <c r="H906" s="85"/>
      <c r="I906" s="85"/>
      <c r="J906" s="85"/>
      <c r="K906" s="85"/>
      <c r="L906" s="85"/>
      <c r="M906" s="65"/>
      <c r="N906" s="85"/>
    </row>
    <row r="907" ht="15.75" customHeight="1">
      <c r="A907" s="85"/>
      <c r="B907" s="85"/>
      <c r="C907" s="65"/>
      <c r="D907" s="85"/>
      <c r="E907" s="85"/>
      <c r="F907" s="65"/>
      <c r="G907" s="65"/>
      <c r="H907" s="85"/>
      <c r="I907" s="85"/>
      <c r="J907" s="85"/>
      <c r="K907" s="85"/>
      <c r="L907" s="85"/>
      <c r="M907" s="65"/>
      <c r="N907" s="85"/>
    </row>
    <row r="908" ht="15.75" customHeight="1">
      <c r="A908" s="85"/>
      <c r="B908" s="85"/>
      <c r="C908" s="65"/>
      <c r="D908" s="85"/>
      <c r="E908" s="85"/>
      <c r="F908" s="65"/>
      <c r="G908" s="65"/>
      <c r="H908" s="85"/>
      <c r="I908" s="85"/>
      <c r="J908" s="85"/>
      <c r="K908" s="85"/>
      <c r="L908" s="85"/>
      <c r="M908" s="65"/>
      <c r="N908" s="85"/>
    </row>
    <row r="909" ht="15.75" customHeight="1">
      <c r="A909" s="85"/>
      <c r="B909" s="85"/>
      <c r="C909" s="65"/>
      <c r="D909" s="85"/>
      <c r="E909" s="85"/>
      <c r="F909" s="65"/>
      <c r="G909" s="65"/>
      <c r="H909" s="85"/>
      <c r="I909" s="85"/>
      <c r="J909" s="85"/>
      <c r="K909" s="85"/>
      <c r="L909" s="85"/>
      <c r="M909" s="65"/>
      <c r="N909" s="85"/>
    </row>
    <row r="910" ht="15.75" customHeight="1">
      <c r="A910" s="85"/>
      <c r="B910" s="85"/>
      <c r="C910" s="65"/>
      <c r="D910" s="85"/>
      <c r="E910" s="85"/>
      <c r="F910" s="65"/>
      <c r="G910" s="65"/>
      <c r="H910" s="85"/>
      <c r="I910" s="85"/>
      <c r="J910" s="85"/>
      <c r="K910" s="85"/>
      <c r="L910" s="85"/>
      <c r="M910" s="65"/>
      <c r="N910" s="85"/>
    </row>
    <row r="911" ht="15.75" customHeight="1">
      <c r="A911" s="85"/>
      <c r="B911" s="85"/>
      <c r="C911" s="65"/>
      <c r="D911" s="85"/>
      <c r="E911" s="85"/>
      <c r="F911" s="65"/>
      <c r="G911" s="65"/>
      <c r="H911" s="85"/>
      <c r="I911" s="85"/>
      <c r="J911" s="85"/>
      <c r="K911" s="85"/>
      <c r="L911" s="85"/>
      <c r="M911" s="65"/>
      <c r="N911" s="85"/>
    </row>
    <row r="912" ht="15.75" customHeight="1">
      <c r="A912" s="85"/>
      <c r="B912" s="85"/>
      <c r="C912" s="65"/>
      <c r="D912" s="85"/>
      <c r="E912" s="85"/>
      <c r="F912" s="65"/>
      <c r="G912" s="65"/>
      <c r="H912" s="85"/>
      <c r="I912" s="85"/>
      <c r="J912" s="85"/>
      <c r="K912" s="85"/>
      <c r="L912" s="85"/>
      <c r="M912" s="65"/>
      <c r="N912" s="85"/>
    </row>
    <row r="913" ht="15.75" customHeight="1">
      <c r="A913" s="85"/>
      <c r="B913" s="85"/>
      <c r="C913" s="65"/>
      <c r="D913" s="85"/>
      <c r="E913" s="85"/>
      <c r="F913" s="65"/>
      <c r="G913" s="65"/>
      <c r="H913" s="85"/>
      <c r="I913" s="85"/>
      <c r="J913" s="85"/>
      <c r="K913" s="85"/>
      <c r="L913" s="85"/>
      <c r="M913" s="65"/>
      <c r="N913" s="85"/>
    </row>
    <row r="914" ht="15.75" customHeight="1">
      <c r="A914" s="85"/>
      <c r="B914" s="85"/>
      <c r="C914" s="65"/>
      <c r="D914" s="85"/>
      <c r="E914" s="85"/>
      <c r="F914" s="65"/>
      <c r="G914" s="65"/>
      <c r="H914" s="85"/>
      <c r="I914" s="85"/>
      <c r="J914" s="85"/>
      <c r="K914" s="85"/>
      <c r="L914" s="85"/>
      <c r="M914" s="65"/>
      <c r="N914" s="85"/>
    </row>
    <row r="915" ht="15.75" customHeight="1">
      <c r="A915" s="85"/>
      <c r="B915" s="85"/>
      <c r="C915" s="65"/>
      <c r="D915" s="85"/>
      <c r="E915" s="85"/>
      <c r="F915" s="65"/>
      <c r="G915" s="65"/>
      <c r="H915" s="85"/>
      <c r="I915" s="85"/>
      <c r="J915" s="85"/>
      <c r="K915" s="85"/>
      <c r="L915" s="85"/>
      <c r="M915" s="65"/>
      <c r="N915" s="85"/>
    </row>
    <row r="916" ht="15.75" customHeight="1">
      <c r="A916" s="85"/>
      <c r="B916" s="85"/>
      <c r="C916" s="65"/>
      <c r="D916" s="85"/>
      <c r="E916" s="85"/>
      <c r="F916" s="65"/>
      <c r="G916" s="65"/>
      <c r="H916" s="85"/>
      <c r="I916" s="85"/>
      <c r="J916" s="85"/>
      <c r="K916" s="85"/>
      <c r="L916" s="85"/>
      <c r="M916" s="65"/>
      <c r="N916" s="85"/>
    </row>
    <row r="917" ht="15.75" customHeight="1">
      <c r="A917" s="85"/>
      <c r="B917" s="85"/>
      <c r="C917" s="65"/>
      <c r="D917" s="85"/>
      <c r="E917" s="85"/>
      <c r="F917" s="65"/>
      <c r="G917" s="65"/>
      <c r="H917" s="85"/>
      <c r="I917" s="85"/>
      <c r="J917" s="85"/>
      <c r="K917" s="85"/>
      <c r="L917" s="85"/>
      <c r="M917" s="65"/>
      <c r="N917" s="85"/>
    </row>
    <row r="918" ht="15.75" customHeight="1">
      <c r="A918" s="85"/>
      <c r="B918" s="85"/>
      <c r="C918" s="65"/>
      <c r="D918" s="85"/>
      <c r="E918" s="85"/>
      <c r="F918" s="65"/>
      <c r="G918" s="65"/>
      <c r="H918" s="85"/>
      <c r="I918" s="85"/>
      <c r="J918" s="85"/>
      <c r="K918" s="85"/>
      <c r="L918" s="85"/>
      <c r="M918" s="65"/>
      <c r="N918" s="85"/>
    </row>
    <row r="919" ht="15.75" customHeight="1">
      <c r="A919" s="85"/>
      <c r="B919" s="85"/>
      <c r="C919" s="65"/>
      <c r="D919" s="85"/>
      <c r="E919" s="85"/>
      <c r="F919" s="65"/>
      <c r="G919" s="65"/>
      <c r="H919" s="85"/>
      <c r="I919" s="85"/>
      <c r="J919" s="85"/>
      <c r="K919" s="85"/>
      <c r="L919" s="85"/>
      <c r="M919" s="65"/>
      <c r="N919" s="85"/>
    </row>
    <row r="920" ht="15.75" customHeight="1">
      <c r="A920" s="85"/>
      <c r="B920" s="85"/>
      <c r="C920" s="65"/>
      <c r="D920" s="85"/>
      <c r="E920" s="85"/>
      <c r="F920" s="65"/>
      <c r="G920" s="65"/>
      <c r="H920" s="85"/>
      <c r="I920" s="85"/>
      <c r="J920" s="85"/>
      <c r="K920" s="85"/>
      <c r="L920" s="85"/>
      <c r="M920" s="65"/>
      <c r="N920" s="85"/>
    </row>
    <row r="921" ht="15.75" customHeight="1">
      <c r="A921" s="85"/>
      <c r="B921" s="85"/>
      <c r="C921" s="65"/>
      <c r="D921" s="85"/>
      <c r="E921" s="85"/>
      <c r="F921" s="65"/>
      <c r="G921" s="65"/>
      <c r="H921" s="85"/>
      <c r="I921" s="85"/>
      <c r="J921" s="85"/>
      <c r="K921" s="85"/>
      <c r="L921" s="85"/>
      <c r="M921" s="65"/>
      <c r="N921" s="85"/>
    </row>
    <row r="922" ht="15.75" customHeight="1">
      <c r="A922" s="85"/>
      <c r="B922" s="85"/>
      <c r="C922" s="65"/>
      <c r="D922" s="85"/>
      <c r="E922" s="85"/>
      <c r="F922" s="65"/>
      <c r="G922" s="65"/>
      <c r="H922" s="85"/>
      <c r="I922" s="85"/>
      <c r="J922" s="85"/>
      <c r="K922" s="85"/>
      <c r="L922" s="85"/>
      <c r="M922" s="65"/>
      <c r="N922" s="85"/>
    </row>
    <row r="923" ht="15.75" customHeight="1">
      <c r="A923" s="85"/>
      <c r="B923" s="85"/>
      <c r="C923" s="65"/>
      <c r="D923" s="85"/>
      <c r="E923" s="85"/>
      <c r="F923" s="65"/>
      <c r="G923" s="65"/>
      <c r="H923" s="85"/>
      <c r="I923" s="85"/>
      <c r="J923" s="85"/>
      <c r="K923" s="85"/>
      <c r="L923" s="85"/>
      <c r="M923" s="65"/>
      <c r="N923" s="85"/>
    </row>
    <row r="924" ht="15.75" customHeight="1">
      <c r="A924" s="85"/>
      <c r="B924" s="85"/>
      <c r="C924" s="65"/>
      <c r="D924" s="85"/>
      <c r="E924" s="85"/>
      <c r="F924" s="65"/>
      <c r="G924" s="65"/>
      <c r="H924" s="85"/>
      <c r="I924" s="85"/>
      <c r="J924" s="85"/>
      <c r="K924" s="85"/>
      <c r="L924" s="85"/>
      <c r="M924" s="65"/>
      <c r="N924" s="85"/>
    </row>
    <row r="925" ht="15.75" customHeight="1">
      <c r="A925" s="85"/>
      <c r="B925" s="85"/>
      <c r="C925" s="65"/>
      <c r="D925" s="85"/>
      <c r="E925" s="85"/>
      <c r="F925" s="65"/>
      <c r="G925" s="65"/>
      <c r="H925" s="85"/>
      <c r="I925" s="85"/>
      <c r="J925" s="85"/>
      <c r="K925" s="85"/>
      <c r="L925" s="85"/>
      <c r="M925" s="65"/>
      <c r="N925" s="85"/>
    </row>
    <row r="926" ht="15.75" customHeight="1">
      <c r="A926" s="85"/>
      <c r="B926" s="85"/>
      <c r="C926" s="65"/>
      <c r="D926" s="85"/>
      <c r="E926" s="85"/>
      <c r="F926" s="65"/>
      <c r="G926" s="65"/>
      <c r="H926" s="85"/>
      <c r="I926" s="85"/>
      <c r="J926" s="85"/>
      <c r="K926" s="85"/>
      <c r="L926" s="85"/>
      <c r="M926" s="65"/>
      <c r="N926" s="85"/>
    </row>
    <row r="927" ht="15.75" customHeight="1">
      <c r="A927" s="85"/>
      <c r="B927" s="85"/>
      <c r="C927" s="65"/>
      <c r="D927" s="85"/>
      <c r="E927" s="85"/>
      <c r="F927" s="65"/>
      <c r="G927" s="65"/>
      <c r="H927" s="85"/>
      <c r="I927" s="85"/>
      <c r="J927" s="85"/>
      <c r="K927" s="85"/>
      <c r="L927" s="85"/>
      <c r="M927" s="65"/>
      <c r="N927" s="85"/>
    </row>
    <row r="928" ht="15.75" customHeight="1">
      <c r="A928" s="85"/>
      <c r="B928" s="85"/>
      <c r="C928" s="65"/>
      <c r="D928" s="85"/>
      <c r="E928" s="85"/>
      <c r="F928" s="65"/>
      <c r="G928" s="65"/>
      <c r="H928" s="85"/>
      <c r="I928" s="85"/>
      <c r="J928" s="85"/>
      <c r="K928" s="85"/>
      <c r="L928" s="85"/>
      <c r="M928" s="65"/>
      <c r="N928" s="85"/>
    </row>
    <row r="929" ht="15.75" customHeight="1">
      <c r="A929" s="85"/>
      <c r="B929" s="85"/>
      <c r="C929" s="65"/>
      <c r="D929" s="85"/>
      <c r="E929" s="85"/>
      <c r="F929" s="65"/>
      <c r="G929" s="65"/>
      <c r="H929" s="85"/>
      <c r="I929" s="85"/>
      <c r="J929" s="85"/>
      <c r="K929" s="85"/>
      <c r="L929" s="85"/>
      <c r="M929" s="65"/>
      <c r="N929" s="85"/>
    </row>
    <row r="930" ht="15.75" customHeight="1">
      <c r="A930" s="85"/>
      <c r="B930" s="85"/>
      <c r="C930" s="65"/>
      <c r="D930" s="85"/>
      <c r="E930" s="85"/>
      <c r="F930" s="65"/>
      <c r="G930" s="65"/>
      <c r="H930" s="85"/>
      <c r="I930" s="85"/>
      <c r="J930" s="85"/>
      <c r="K930" s="85"/>
      <c r="L930" s="85"/>
      <c r="M930" s="65"/>
      <c r="N930" s="85"/>
    </row>
    <row r="931" ht="15.75" customHeight="1">
      <c r="A931" s="85"/>
      <c r="B931" s="85"/>
      <c r="C931" s="65"/>
      <c r="D931" s="85"/>
      <c r="E931" s="85"/>
      <c r="F931" s="65"/>
      <c r="G931" s="65"/>
      <c r="H931" s="85"/>
      <c r="I931" s="85"/>
      <c r="J931" s="85"/>
      <c r="K931" s="85"/>
      <c r="L931" s="85"/>
      <c r="M931" s="65"/>
      <c r="N931" s="85"/>
    </row>
    <row r="932" ht="15.75" customHeight="1">
      <c r="A932" s="85"/>
      <c r="B932" s="85"/>
      <c r="C932" s="65"/>
      <c r="D932" s="85"/>
      <c r="E932" s="85"/>
      <c r="F932" s="65"/>
      <c r="G932" s="65"/>
      <c r="H932" s="85"/>
      <c r="I932" s="85"/>
      <c r="J932" s="85"/>
      <c r="K932" s="85"/>
      <c r="L932" s="85"/>
      <c r="M932" s="65"/>
      <c r="N932" s="85"/>
    </row>
    <row r="933" ht="15.75" customHeight="1">
      <c r="A933" s="85"/>
      <c r="B933" s="85"/>
      <c r="C933" s="65"/>
      <c r="D933" s="85"/>
      <c r="E933" s="85"/>
      <c r="F933" s="65"/>
      <c r="G933" s="65"/>
      <c r="H933" s="85"/>
      <c r="I933" s="85"/>
      <c r="J933" s="85"/>
      <c r="K933" s="85"/>
      <c r="L933" s="85"/>
      <c r="M933" s="65"/>
      <c r="N933" s="85"/>
    </row>
    <row r="934" ht="15.75" customHeight="1">
      <c r="A934" s="85"/>
      <c r="B934" s="85"/>
      <c r="C934" s="65"/>
      <c r="D934" s="85"/>
      <c r="E934" s="85"/>
      <c r="F934" s="65"/>
      <c r="G934" s="65"/>
      <c r="H934" s="85"/>
      <c r="I934" s="85"/>
      <c r="J934" s="85"/>
      <c r="K934" s="85"/>
      <c r="L934" s="85"/>
      <c r="M934" s="65"/>
      <c r="N934" s="85"/>
    </row>
    <row r="935" ht="15.75" customHeight="1">
      <c r="A935" s="85"/>
      <c r="B935" s="85"/>
      <c r="C935" s="65"/>
      <c r="D935" s="85"/>
      <c r="E935" s="85"/>
      <c r="F935" s="65"/>
      <c r="G935" s="65"/>
      <c r="H935" s="85"/>
      <c r="I935" s="85"/>
      <c r="J935" s="85"/>
      <c r="K935" s="85"/>
      <c r="L935" s="85"/>
      <c r="M935" s="65"/>
      <c r="N935" s="85"/>
    </row>
    <row r="936" ht="15.75" customHeight="1">
      <c r="A936" s="85"/>
      <c r="B936" s="85"/>
      <c r="C936" s="65"/>
      <c r="D936" s="85"/>
      <c r="E936" s="85"/>
      <c r="F936" s="65"/>
      <c r="G936" s="65"/>
      <c r="H936" s="85"/>
      <c r="I936" s="85"/>
      <c r="J936" s="85"/>
      <c r="K936" s="85"/>
      <c r="L936" s="85"/>
      <c r="M936" s="65"/>
      <c r="N936" s="85"/>
    </row>
    <row r="937" ht="15.75" customHeight="1">
      <c r="A937" s="85"/>
      <c r="B937" s="85"/>
      <c r="C937" s="65"/>
      <c r="D937" s="85"/>
      <c r="E937" s="85"/>
      <c r="F937" s="65"/>
      <c r="G937" s="65"/>
      <c r="H937" s="85"/>
      <c r="I937" s="85"/>
      <c r="J937" s="85"/>
      <c r="K937" s="85"/>
      <c r="L937" s="85"/>
      <c r="M937" s="65"/>
      <c r="N937" s="85"/>
    </row>
    <row r="938" ht="15.75" customHeight="1">
      <c r="A938" s="85"/>
      <c r="B938" s="85"/>
      <c r="C938" s="65"/>
      <c r="D938" s="85"/>
      <c r="E938" s="85"/>
      <c r="F938" s="65"/>
      <c r="G938" s="65"/>
      <c r="H938" s="85"/>
      <c r="I938" s="85"/>
      <c r="J938" s="85"/>
      <c r="K938" s="85"/>
      <c r="L938" s="85"/>
      <c r="M938" s="65"/>
      <c r="N938" s="85"/>
    </row>
    <row r="939" ht="15.75" customHeight="1">
      <c r="A939" s="85"/>
      <c r="B939" s="85"/>
      <c r="C939" s="65"/>
      <c r="D939" s="85"/>
      <c r="E939" s="85"/>
      <c r="F939" s="65"/>
      <c r="G939" s="65"/>
      <c r="H939" s="85"/>
      <c r="I939" s="85"/>
      <c r="J939" s="85"/>
      <c r="K939" s="85"/>
      <c r="L939" s="85"/>
      <c r="M939" s="65"/>
      <c r="N939" s="85"/>
    </row>
    <row r="940" ht="15.75" customHeight="1">
      <c r="A940" s="85"/>
      <c r="B940" s="85"/>
      <c r="C940" s="65"/>
      <c r="D940" s="85"/>
      <c r="E940" s="85"/>
      <c r="F940" s="65"/>
      <c r="G940" s="65"/>
      <c r="H940" s="85"/>
      <c r="I940" s="85"/>
      <c r="J940" s="85"/>
      <c r="K940" s="85"/>
      <c r="L940" s="85"/>
      <c r="M940" s="65"/>
      <c r="N940" s="85"/>
    </row>
    <row r="941" ht="15.75" customHeight="1">
      <c r="A941" s="85"/>
      <c r="B941" s="85"/>
      <c r="C941" s="65"/>
      <c r="D941" s="85"/>
      <c r="E941" s="85"/>
      <c r="F941" s="65"/>
      <c r="G941" s="65"/>
      <c r="H941" s="85"/>
      <c r="I941" s="85"/>
      <c r="J941" s="85"/>
      <c r="K941" s="85"/>
      <c r="L941" s="85"/>
      <c r="M941" s="65"/>
      <c r="N941" s="85"/>
    </row>
    <row r="942" ht="15.75" customHeight="1">
      <c r="A942" s="85"/>
      <c r="B942" s="85"/>
      <c r="C942" s="65"/>
      <c r="D942" s="85"/>
      <c r="E942" s="85"/>
      <c r="F942" s="65"/>
      <c r="G942" s="65"/>
      <c r="H942" s="85"/>
      <c r="I942" s="85"/>
      <c r="J942" s="85"/>
      <c r="K942" s="85"/>
      <c r="L942" s="85"/>
      <c r="M942" s="65"/>
      <c r="N942" s="85"/>
    </row>
    <row r="943" ht="15.75" customHeight="1">
      <c r="A943" s="85"/>
      <c r="B943" s="85"/>
      <c r="C943" s="65"/>
      <c r="D943" s="85"/>
      <c r="E943" s="85"/>
      <c r="F943" s="65"/>
      <c r="G943" s="65"/>
      <c r="H943" s="85"/>
      <c r="I943" s="85"/>
      <c r="J943" s="85"/>
      <c r="K943" s="85"/>
      <c r="L943" s="85"/>
      <c r="M943" s="65"/>
      <c r="N943" s="85"/>
    </row>
    <row r="944" ht="15.75" customHeight="1">
      <c r="A944" s="85"/>
      <c r="B944" s="85"/>
      <c r="C944" s="65"/>
      <c r="D944" s="85"/>
      <c r="E944" s="85"/>
      <c r="F944" s="65"/>
      <c r="G944" s="65"/>
      <c r="H944" s="85"/>
      <c r="I944" s="85"/>
      <c r="J944" s="85"/>
      <c r="K944" s="85"/>
      <c r="L944" s="85"/>
      <c r="M944" s="65"/>
      <c r="N944" s="85"/>
    </row>
    <row r="945" ht="15.75" customHeight="1">
      <c r="A945" s="85"/>
      <c r="B945" s="85"/>
      <c r="C945" s="65"/>
      <c r="D945" s="85"/>
      <c r="E945" s="85"/>
      <c r="F945" s="65"/>
      <c r="G945" s="65"/>
      <c r="H945" s="85"/>
      <c r="I945" s="85"/>
      <c r="J945" s="85"/>
      <c r="K945" s="85"/>
      <c r="L945" s="85"/>
      <c r="M945" s="65"/>
      <c r="N945" s="85"/>
    </row>
    <row r="946" ht="15.75" customHeight="1">
      <c r="A946" s="85"/>
      <c r="B946" s="85"/>
      <c r="C946" s="65"/>
      <c r="D946" s="85"/>
      <c r="E946" s="85"/>
      <c r="F946" s="65"/>
      <c r="G946" s="65"/>
      <c r="H946" s="85"/>
      <c r="I946" s="85"/>
      <c r="J946" s="85"/>
      <c r="K946" s="85"/>
      <c r="L946" s="85"/>
      <c r="M946" s="65"/>
      <c r="N946" s="85"/>
    </row>
    <row r="947" ht="15.75" customHeight="1">
      <c r="A947" s="85"/>
      <c r="B947" s="85"/>
      <c r="C947" s="65"/>
      <c r="D947" s="85"/>
      <c r="E947" s="85"/>
      <c r="F947" s="65"/>
      <c r="G947" s="65"/>
      <c r="H947" s="85"/>
      <c r="I947" s="85"/>
      <c r="J947" s="85"/>
      <c r="K947" s="85"/>
      <c r="L947" s="85"/>
      <c r="M947" s="65"/>
      <c r="N947" s="85"/>
    </row>
    <row r="948" ht="15.75" customHeight="1">
      <c r="A948" s="85"/>
      <c r="B948" s="85"/>
      <c r="C948" s="65"/>
      <c r="D948" s="85"/>
      <c r="E948" s="85"/>
      <c r="F948" s="65"/>
      <c r="G948" s="65"/>
      <c r="H948" s="85"/>
      <c r="I948" s="85"/>
      <c r="J948" s="85"/>
      <c r="K948" s="85"/>
      <c r="L948" s="85"/>
      <c r="M948" s="65"/>
      <c r="N948" s="85"/>
    </row>
    <row r="949" ht="15.75" customHeight="1">
      <c r="A949" s="85"/>
      <c r="B949" s="85"/>
      <c r="C949" s="65"/>
      <c r="D949" s="85"/>
      <c r="E949" s="85"/>
      <c r="F949" s="65"/>
      <c r="G949" s="65"/>
      <c r="H949" s="85"/>
      <c r="I949" s="85"/>
      <c r="J949" s="85"/>
      <c r="K949" s="85"/>
      <c r="L949" s="85"/>
      <c r="M949" s="65"/>
      <c r="N949" s="85"/>
    </row>
    <row r="950" ht="15.75" customHeight="1">
      <c r="A950" s="85"/>
      <c r="B950" s="85"/>
      <c r="C950" s="65"/>
      <c r="D950" s="85"/>
      <c r="E950" s="85"/>
      <c r="F950" s="65"/>
      <c r="G950" s="65"/>
      <c r="H950" s="85"/>
      <c r="I950" s="85"/>
      <c r="J950" s="85"/>
      <c r="K950" s="85"/>
      <c r="L950" s="85"/>
      <c r="M950" s="65"/>
      <c r="N950" s="85"/>
    </row>
    <row r="951" ht="15.75" customHeight="1">
      <c r="A951" s="85"/>
      <c r="B951" s="85"/>
      <c r="C951" s="65"/>
      <c r="D951" s="85"/>
      <c r="E951" s="85"/>
      <c r="F951" s="65"/>
      <c r="G951" s="65"/>
      <c r="H951" s="85"/>
      <c r="I951" s="85"/>
      <c r="J951" s="85"/>
      <c r="K951" s="85"/>
      <c r="L951" s="85"/>
      <c r="M951" s="65"/>
      <c r="N951" s="85"/>
    </row>
    <row r="952" ht="15.75" customHeight="1">
      <c r="A952" s="85"/>
      <c r="B952" s="85"/>
      <c r="C952" s="65"/>
      <c r="D952" s="85"/>
      <c r="E952" s="85"/>
      <c r="F952" s="65"/>
      <c r="G952" s="65"/>
      <c r="H952" s="85"/>
      <c r="I952" s="85"/>
      <c r="J952" s="85"/>
      <c r="K952" s="85"/>
      <c r="L952" s="85"/>
      <c r="M952" s="65"/>
      <c r="N952" s="85"/>
    </row>
    <row r="953" ht="15.75" customHeight="1">
      <c r="A953" s="85"/>
      <c r="B953" s="85"/>
      <c r="C953" s="65"/>
      <c r="D953" s="85"/>
      <c r="E953" s="85"/>
      <c r="F953" s="65"/>
      <c r="G953" s="65"/>
      <c r="H953" s="85"/>
      <c r="I953" s="85"/>
      <c r="J953" s="85"/>
      <c r="K953" s="85"/>
      <c r="L953" s="85"/>
      <c r="M953" s="65"/>
      <c r="N953" s="85"/>
    </row>
    <row r="954" ht="15.75" customHeight="1">
      <c r="A954" s="85"/>
      <c r="B954" s="85"/>
      <c r="C954" s="65"/>
      <c r="D954" s="85"/>
      <c r="E954" s="85"/>
      <c r="F954" s="65"/>
      <c r="G954" s="65"/>
      <c r="H954" s="85"/>
      <c r="I954" s="85"/>
      <c r="J954" s="85"/>
      <c r="K954" s="85"/>
      <c r="L954" s="85"/>
      <c r="M954" s="65"/>
      <c r="N954" s="85"/>
    </row>
    <row r="955" ht="15.75" customHeight="1">
      <c r="A955" s="85"/>
      <c r="B955" s="85"/>
      <c r="C955" s="65"/>
      <c r="D955" s="85"/>
      <c r="E955" s="85"/>
      <c r="F955" s="65"/>
      <c r="G955" s="65"/>
      <c r="H955" s="85"/>
      <c r="I955" s="85"/>
      <c r="J955" s="85"/>
      <c r="K955" s="85"/>
      <c r="L955" s="85"/>
      <c r="M955" s="65"/>
      <c r="N955" s="85"/>
    </row>
    <row r="956" ht="15.75" customHeight="1">
      <c r="A956" s="85"/>
      <c r="B956" s="85"/>
      <c r="C956" s="65"/>
      <c r="D956" s="85"/>
      <c r="E956" s="85"/>
      <c r="F956" s="65"/>
      <c r="G956" s="65"/>
      <c r="H956" s="85"/>
      <c r="I956" s="85"/>
      <c r="J956" s="85"/>
      <c r="K956" s="85"/>
      <c r="L956" s="85"/>
      <c r="M956" s="65"/>
      <c r="N956" s="85"/>
    </row>
    <row r="957" ht="15.75" customHeight="1">
      <c r="A957" s="85"/>
      <c r="B957" s="85"/>
      <c r="C957" s="65"/>
      <c r="D957" s="85"/>
      <c r="E957" s="85"/>
      <c r="F957" s="65"/>
      <c r="G957" s="65"/>
      <c r="H957" s="85"/>
      <c r="I957" s="85"/>
      <c r="J957" s="85"/>
      <c r="K957" s="85"/>
      <c r="L957" s="85"/>
      <c r="M957" s="65"/>
      <c r="N957" s="85"/>
    </row>
    <row r="958" ht="15.75" customHeight="1">
      <c r="A958" s="85"/>
      <c r="B958" s="85"/>
      <c r="C958" s="65"/>
      <c r="D958" s="85"/>
      <c r="E958" s="85"/>
      <c r="F958" s="65"/>
      <c r="G958" s="65"/>
      <c r="H958" s="85"/>
      <c r="I958" s="85"/>
      <c r="J958" s="85"/>
      <c r="K958" s="85"/>
      <c r="L958" s="85"/>
      <c r="M958" s="65"/>
      <c r="N958" s="85"/>
    </row>
    <row r="959" ht="15.75" customHeight="1">
      <c r="A959" s="85"/>
      <c r="B959" s="85"/>
      <c r="C959" s="65"/>
      <c r="D959" s="85"/>
      <c r="E959" s="85"/>
      <c r="F959" s="65"/>
      <c r="G959" s="65"/>
      <c r="H959" s="85"/>
      <c r="I959" s="85"/>
      <c r="J959" s="85"/>
      <c r="K959" s="85"/>
      <c r="L959" s="85"/>
      <c r="M959" s="65"/>
      <c r="N959" s="85"/>
    </row>
    <row r="960" ht="15.75" customHeight="1">
      <c r="A960" s="85"/>
      <c r="B960" s="85"/>
      <c r="C960" s="65"/>
      <c r="D960" s="85"/>
      <c r="E960" s="85"/>
      <c r="F960" s="65"/>
      <c r="G960" s="65"/>
      <c r="H960" s="85"/>
      <c r="I960" s="85"/>
      <c r="J960" s="85"/>
      <c r="K960" s="85"/>
      <c r="L960" s="85"/>
      <c r="M960" s="65"/>
      <c r="N960" s="85"/>
    </row>
    <row r="961" ht="15.75" customHeight="1">
      <c r="A961" s="85"/>
      <c r="B961" s="85"/>
      <c r="C961" s="65"/>
      <c r="D961" s="85"/>
      <c r="E961" s="85"/>
      <c r="F961" s="65"/>
      <c r="G961" s="65"/>
      <c r="H961" s="85"/>
      <c r="I961" s="85"/>
      <c r="J961" s="85"/>
      <c r="K961" s="85"/>
      <c r="L961" s="85"/>
      <c r="M961" s="65"/>
      <c r="N961" s="85"/>
    </row>
    <row r="962" ht="15.75" customHeight="1">
      <c r="A962" s="85"/>
      <c r="B962" s="85"/>
      <c r="C962" s="65"/>
      <c r="D962" s="85"/>
      <c r="E962" s="85"/>
      <c r="F962" s="65"/>
      <c r="G962" s="65"/>
      <c r="H962" s="85"/>
      <c r="I962" s="85"/>
      <c r="J962" s="85"/>
      <c r="K962" s="85"/>
      <c r="L962" s="85"/>
      <c r="M962" s="65"/>
      <c r="N962" s="85"/>
    </row>
    <row r="963" ht="15.75" customHeight="1">
      <c r="A963" s="85"/>
      <c r="B963" s="85"/>
      <c r="C963" s="65"/>
      <c r="D963" s="85"/>
      <c r="E963" s="85"/>
      <c r="F963" s="65"/>
      <c r="G963" s="65"/>
      <c r="H963" s="85"/>
      <c r="I963" s="85"/>
      <c r="J963" s="85"/>
      <c r="K963" s="85"/>
      <c r="L963" s="85"/>
      <c r="M963" s="65"/>
      <c r="N963" s="85"/>
    </row>
    <row r="964" ht="15.75" customHeight="1">
      <c r="A964" s="85"/>
      <c r="B964" s="85"/>
      <c r="C964" s="65"/>
      <c r="D964" s="85"/>
      <c r="E964" s="85"/>
      <c r="F964" s="65"/>
      <c r="G964" s="65"/>
      <c r="H964" s="85"/>
      <c r="I964" s="85"/>
      <c r="J964" s="85"/>
      <c r="K964" s="85"/>
      <c r="L964" s="85"/>
      <c r="M964" s="65"/>
      <c r="N964" s="85"/>
    </row>
    <row r="965" ht="15.75" customHeight="1">
      <c r="A965" s="85"/>
      <c r="B965" s="85"/>
      <c r="C965" s="65"/>
      <c r="D965" s="85"/>
      <c r="E965" s="85"/>
      <c r="F965" s="65"/>
      <c r="G965" s="65"/>
      <c r="H965" s="85"/>
      <c r="I965" s="85"/>
      <c r="J965" s="85"/>
      <c r="K965" s="85"/>
      <c r="L965" s="85"/>
      <c r="M965" s="65"/>
      <c r="N965" s="85"/>
    </row>
    <row r="966" ht="15.75" customHeight="1">
      <c r="A966" s="85"/>
      <c r="B966" s="85"/>
      <c r="C966" s="65"/>
      <c r="D966" s="85"/>
      <c r="E966" s="85"/>
      <c r="F966" s="65"/>
      <c r="G966" s="65"/>
      <c r="H966" s="85"/>
      <c r="I966" s="85"/>
      <c r="J966" s="85"/>
      <c r="K966" s="85"/>
      <c r="L966" s="85"/>
      <c r="M966" s="65"/>
      <c r="N966" s="85"/>
    </row>
    <row r="967" ht="15.75" customHeight="1">
      <c r="A967" s="85"/>
      <c r="B967" s="85"/>
      <c r="C967" s="65"/>
      <c r="D967" s="85"/>
      <c r="E967" s="85"/>
      <c r="F967" s="65"/>
      <c r="G967" s="65"/>
      <c r="H967" s="85"/>
      <c r="I967" s="85"/>
      <c r="J967" s="85"/>
      <c r="K967" s="85"/>
      <c r="L967" s="85"/>
      <c r="M967" s="65"/>
      <c r="N967" s="85"/>
    </row>
    <row r="968" ht="15.75" customHeight="1">
      <c r="A968" s="85"/>
      <c r="B968" s="85"/>
      <c r="C968" s="65"/>
      <c r="D968" s="85"/>
      <c r="E968" s="85"/>
      <c r="F968" s="65"/>
      <c r="G968" s="65"/>
      <c r="H968" s="85"/>
      <c r="I968" s="85"/>
      <c r="J968" s="85"/>
      <c r="K968" s="85"/>
      <c r="L968" s="85"/>
      <c r="M968" s="65"/>
      <c r="N968" s="85"/>
    </row>
    <row r="969" ht="15.75" customHeight="1">
      <c r="A969" s="85"/>
      <c r="B969" s="85"/>
      <c r="C969" s="65"/>
      <c r="D969" s="85"/>
      <c r="E969" s="85"/>
      <c r="F969" s="65"/>
      <c r="G969" s="65"/>
      <c r="H969" s="85"/>
      <c r="I969" s="85"/>
      <c r="J969" s="85"/>
      <c r="K969" s="85"/>
      <c r="L969" s="85"/>
      <c r="M969" s="65"/>
      <c r="N969" s="85"/>
    </row>
    <row r="970" ht="15.75" customHeight="1">
      <c r="A970" s="85"/>
      <c r="B970" s="85"/>
      <c r="C970" s="65"/>
      <c r="D970" s="85"/>
      <c r="E970" s="85"/>
      <c r="F970" s="65"/>
      <c r="G970" s="65"/>
      <c r="H970" s="85"/>
      <c r="I970" s="85"/>
      <c r="J970" s="85"/>
      <c r="K970" s="85"/>
      <c r="L970" s="85"/>
      <c r="M970" s="65"/>
      <c r="N970" s="85"/>
    </row>
    <row r="971" ht="15.75" customHeight="1">
      <c r="A971" s="85"/>
      <c r="B971" s="85"/>
      <c r="C971" s="65"/>
      <c r="D971" s="85"/>
      <c r="E971" s="85"/>
      <c r="F971" s="65"/>
      <c r="G971" s="65"/>
      <c r="H971" s="85"/>
      <c r="I971" s="85"/>
      <c r="J971" s="85"/>
      <c r="K971" s="85"/>
      <c r="L971" s="85"/>
      <c r="M971" s="65"/>
      <c r="N971" s="85"/>
    </row>
    <row r="972" ht="15.75" customHeight="1">
      <c r="A972" s="85"/>
      <c r="B972" s="85"/>
      <c r="C972" s="65"/>
      <c r="D972" s="85"/>
      <c r="E972" s="85"/>
      <c r="F972" s="65"/>
      <c r="G972" s="65"/>
      <c r="H972" s="85"/>
      <c r="I972" s="85"/>
      <c r="J972" s="85"/>
      <c r="K972" s="85"/>
      <c r="L972" s="85"/>
      <c r="M972" s="65"/>
      <c r="N972" s="85"/>
    </row>
    <row r="973" ht="15.75" customHeight="1">
      <c r="A973" s="85"/>
      <c r="B973" s="85"/>
      <c r="C973" s="65"/>
      <c r="D973" s="85"/>
      <c r="E973" s="85"/>
      <c r="F973" s="65"/>
      <c r="G973" s="65"/>
      <c r="H973" s="85"/>
      <c r="I973" s="85"/>
      <c r="J973" s="85"/>
      <c r="K973" s="85"/>
      <c r="L973" s="85"/>
      <c r="M973" s="65"/>
      <c r="N973" s="85"/>
    </row>
    <row r="974" ht="15.75" customHeight="1">
      <c r="A974" s="85"/>
      <c r="B974" s="85"/>
      <c r="C974" s="65"/>
      <c r="D974" s="85"/>
      <c r="E974" s="85"/>
      <c r="F974" s="65"/>
      <c r="G974" s="65"/>
      <c r="H974" s="85"/>
      <c r="I974" s="85"/>
      <c r="J974" s="85"/>
      <c r="K974" s="85"/>
      <c r="L974" s="85"/>
      <c r="M974" s="65"/>
      <c r="N974" s="85"/>
    </row>
    <row r="975" ht="15.75" customHeight="1">
      <c r="A975" s="85"/>
      <c r="B975" s="85"/>
      <c r="C975" s="65"/>
      <c r="D975" s="85"/>
      <c r="E975" s="85"/>
      <c r="F975" s="65"/>
      <c r="G975" s="65"/>
      <c r="H975" s="85"/>
      <c r="I975" s="85"/>
      <c r="J975" s="85"/>
      <c r="K975" s="85"/>
      <c r="L975" s="85"/>
      <c r="M975" s="65"/>
      <c r="N975" s="85"/>
    </row>
    <row r="976" ht="15.75" customHeight="1">
      <c r="A976" s="85"/>
      <c r="B976" s="85"/>
      <c r="C976" s="65"/>
      <c r="D976" s="85"/>
      <c r="E976" s="85"/>
      <c r="F976" s="65"/>
      <c r="G976" s="65"/>
      <c r="H976" s="85"/>
      <c r="I976" s="85"/>
      <c r="J976" s="85"/>
      <c r="K976" s="85"/>
      <c r="L976" s="85"/>
      <c r="M976" s="65"/>
      <c r="N976" s="85"/>
    </row>
    <row r="977" ht="15.75" customHeight="1">
      <c r="A977" s="85"/>
      <c r="B977" s="85"/>
      <c r="C977" s="65"/>
      <c r="D977" s="85"/>
      <c r="E977" s="85"/>
      <c r="F977" s="65"/>
      <c r="G977" s="65"/>
      <c r="H977" s="85"/>
      <c r="I977" s="85"/>
      <c r="J977" s="85"/>
      <c r="K977" s="85"/>
      <c r="L977" s="85"/>
      <c r="M977" s="65"/>
      <c r="N977" s="85"/>
    </row>
    <row r="978" ht="15.75" customHeight="1">
      <c r="A978" s="85"/>
      <c r="B978" s="85"/>
      <c r="C978" s="65"/>
      <c r="D978" s="85"/>
      <c r="E978" s="85"/>
      <c r="F978" s="65"/>
      <c r="G978" s="65"/>
      <c r="H978" s="85"/>
      <c r="I978" s="85"/>
      <c r="J978" s="85"/>
      <c r="K978" s="85"/>
      <c r="L978" s="85"/>
      <c r="M978" s="65"/>
      <c r="N978" s="85"/>
    </row>
    <row r="979" ht="15.75" customHeight="1">
      <c r="A979" s="85"/>
      <c r="B979" s="85"/>
      <c r="C979" s="65"/>
      <c r="D979" s="85"/>
      <c r="E979" s="85"/>
      <c r="F979" s="65"/>
      <c r="G979" s="65"/>
      <c r="H979" s="85"/>
      <c r="I979" s="85"/>
      <c r="J979" s="85"/>
      <c r="K979" s="85"/>
      <c r="L979" s="85"/>
      <c r="M979" s="65"/>
      <c r="N979" s="85"/>
    </row>
    <row r="980" ht="15.75" customHeight="1">
      <c r="A980" s="85"/>
      <c r="B980" s="85"/>
      <c r="C980" s="65"/>
      <c r="D980" s="85"/>
      <c r="E980" s="85"/>
      <c r="F980" s="65"/>
      <c r="G980" s="65"/>
      <c r="H980" s="85"/>
      <c r="I980" s="85"/>
      <c r="J980" s="85"/>
      <c r="K980" s="85"/>
      <c r="L980" s="85"/>
      <c r="M980" s="65"/>
      <c r="N980" s="85"/>
    </row>
    <row r="981" ht="15.75" customHeight="1">
      <c r="A981" s="85"/>
      <c r="B981" s="85"/>
      <c r="C981" s="65"/>
      <c r="D981" s="85"/>
      <c r="E981" s="85"/>
      <c r="F981" s="65"/>
      <c r="G981" s="65"/>
      <c r="H981" s="85"/>
      <c r="I981" s="85"/>
      <c r="J981" s="85"/>
      <c r="K981" s="85"/>
      <c r="L981" s="85"/>
      <c r="M981" s="65"/>
      <c r="N981" s="85"/>
    </row>
    <row r="982" ht="15.75" customHeight="1">
      <c r="A982" s="85"/>
      <c r="B982" s="85"/>
      <c r="C982" s="65"/>
      <c r="D982" s="85"/>
      <c r="E982" s="85"/>
      <c r="F982" s="65"/>
      <c r="G982" s="65"/>
      <c r="H982" s="85"/>
      <c r="I982" s="85"/>
      <c r="J982" s="85"/>
      <c r="K982" s="85"/>
      <c r="L982" s="85"/>
      <c r="M982" s="65"/>
      <c r="N982" s="85"/>
    </row>
    <row r="983" ht="15.75" customHeight="1">
      <c r="A983" s="85"/>
      <c r="B983" s="85"/>
      <c r="C983" s="65"/>
      <c r="D983" s="85"/>
      <c r="E983" s="85"/>
      <c r="F983" s="65"/>
      <c r="G983" s="65"/>
      <c r="H983" s="85"/>
      <c r="I983" s="85"/>
      <c r="J983" s="85"/>
      <c r="K983" s="85"/>
      <c r="L983" s="85"/>
      <c r="M983" s="65"/>
      <c r="N983" s="85"/>
    </row>
    <row r="984" ht="15.75" customHeight="1">
      <c r="A984" s="85"/>
      <c r="B984" s="85"/>
      <c r="C984" s="65"/>
      <c r="D984" s="85"/>
      <c r="E984" s="85"/>
      <c r="F984" s="65"/>
      <c r="G984" s="65"/>
      <c r="H984" s="85"/>
      <c r="I984" s="85"/>
      <c r="J984" s="85"/>
      <c r="K984" s="85"/>
      <c r="L984" s="85"/>
      <c r="M984" s="65"/>
      <c r="N984" s="85"/>
    </row>
    <row r="985" ht="15.75" customHeight="1">
      <c r="A985" s="85"/>
      <c r="B985" s="85"/>
      <c r="C985" s="65"/>
      <c r="D985" s="85"/>
      <c r="E985" s="85"/>
      <c r="F985" s="65"/>
      <c r="G985" s="65"/>
      <c r="H985" s="85"/>
      <c r="I985" s="85"/>
      <c r="J985" s="85"/>
      <c r="K985" s="85"/>
      <c r="L985" s="85"/>
      <c r="M985" s="65"/>
      <c r="N985" s="85"/>
    </row>
    <row r="986" ht="15.75" customHeight="1">
      <c r="A986" s="85"/>
      <c r="B986" s="85"/>
      <c r="C986" s="65"/>
      <c r="D986" s="85"/>
      <c r="E986" s="85"/>
      <c r="F986" s="65"/>
      <c r="G986" s="65"/>
      <c r="H986" s="85"/>
      <c r="I986" s="85"/>
      <c r="J986" s="85"/>
      <c r="K986" s="85"/>
      <c r="L986" s="85"/>
      <c r="M986" s="65"/>
      <c r="N986" s="85"/>
    </row>
    <row r="987" ht="15.75" customHeight="1">
      <c r="A987" s="85"/>
      <c r="B987" s="85"/>
      <c r="C987" s="65"/>
      <c r="D987" s="85"/>
      <c r="E987" s="85"/>
      <c r="F987" s="65"/>
      <c r="G987" s="65"/>
      <c r="H987" s="85"/>
      <c r="I987" s="85"/>
      <c r="J987" s="85"/>
      <c r="K987" s="85"/>
      <c r="L987" s="85"/>
      <c r="M987" s="65"/>
      <c r="N987" s="85"/>
    </row>
    <row r="988" ht="15.75" customHeight="1">
      <c r="A988" s="85"/>
      <c r="B988" s="85"/>
      <c r="C988" s="65"/>
      <c r="D988" s="85"/>
      <c r="E988" s="85"/>
      <c r="F988" s="65"/>
      <c r="G988" s="65"/>
      <c r="H988" s="85"/>
      <c r="I988" s="85"/>
      <c r="J988" s="85"/>
      <c r="K988" s="85"/>
      <c r="L988" s="85"/>
      <c r="M988" s="65"/>
      <c r="N988" s="85"/>
    </row>
    <row r="989" ht="15.75" customHeight="1">
      <c r="A989" s="85"/>
      <c r="B989" s="85"/>
      <c r="C989" s="65"/>
      <c r="D989" s="85"/>
      <c r="E989" s="85"/>
      <c r="F989" s="65"/>
      <c r="G989" s="65"/>
      <c r="H989" s="85"/>
      <c r="I989" s="85"/>
      <c r="J989" s="85"/>
      <c r="K989" s="85"/>
      <c r="L989" s="85"/>
      <c r="M989" s="65"/>
      <c r="N989" s="85"/>
    </row>
    <row r="990" ht="15.75" customHeight="1">
      <c r="A990" s="85"/>
      <c r="B990" s="85"/>
      <c r="C990" s="65"/>
      <c r="D990" s="85"/>
      <c r="E990" s="85"/>
      <c r="F990" s="65"/>
      <c r="G990" s="65"/>
      <c r="H990" s="85"/>
      <c r="I990" s="85"/>
      <c r="J990" s="85"/>
      <c r="K990" s="85"/>
      <c r="L990" s="85"/>
      <c r="M990" s="65"/>
      <c r="N990" s="85"/>
    </row>
    <row r="991" ht="15.75" customHeight="1">
      <c r="A991" s="85"/>
      <c r="B991" s="85"/>
      <c r="C991" s="65"/>
      <c r="D991" s="85"/>
      <c r="E991" s="85"/>
      <c r="F991" s="65"/>
      <c r="G991" s="65"/>
      <c r="H991" s="85"/>
      <c r="I991" s="85"/>
      <c r="J991" s="85"/>
      <c r="K991" s="85"/>
      <c r="L991" s="85"/>
      <c r="M991" s="65"/>
      <c r="N991" s="85"/>
    </row>
    <row r="992" ht="15.75" customHeight="1">
      <c r="A992" s="85"/>
      <c r="B992" s="85"/>
      <c r="C992" s="65"/>
      <c r="D992" s="85"/>
      <c r="E992" s="85"/>
      <c r="F992" s="65"/>
      <c r="G992" s="65"/>
      <c r="H992" s="85"/>
      <c r="I992" s="85"/>
      <c r="J992" s="85"/>
      <c r="K992" s="85"/>
      <c r="L992" s="85"/>
      <c r="M992" s="65"/>
      <c r="N992" s="85"/>
    </row>
    <row r="993" ht="15.75" customHeight="1">
      <c r="A993" s="85"/>
      <c r="B993" s="85"/>
      <c r="C993" s="65"/>
      <c r="D993" s="85"/>
      <c r="E993" s="85"/>
      <c r="F993" s="65"/>
      <c r="G993" s="65"/>
      <c r="H993" s="85"/>
      <c r="I993" s="85"/>
      <c r="J993" s="85"/>
      <c r="K993" s="85"/>
      <c r="L993" s="85"/>
      <c r="M993" s="65"/>
      <c r="N993" s="85"/>
    </row>
    <row r="994" ht="15.75" customHeight="1">
      <c r="A994" s="85"/>
      <c r="B994" s="85"/>
      <c r="C994" s="65"/>
      <c r="D994" s="85"/>
      <c r="E994" s="85"/>
      <c r="F994" s="65"/>
      <c r="G994" s="65"/>
      <c r="H994" s="85"/>
      <c r="I994" s="85"/>
      <c r="J994" s="85"/>
      <c r="K994" s="85"/>
      <c r="L994" s="85"/>
      <c r="M994" s="65"/>
      <c r="N994" s="85"/>
    </row>
    <row r="995" ht="15.75" customHeight="1">
      <c r="A995" s="85"/>
      <c r="B995" s="85"/>
      <c r="C995" s="65"/>
      <c r="D995" s="85"/>
      <c r="E995" s="85"/>
      <c r="F995" s="65"/>
      <c r="G995" s="65"/>
      <c r="H995" s="85"/>
      <c r="I995" s="85"/>
      <c r="J995" s="85"/>
      <c r="K995" s="85"/>
      <c r="L995" s="85"/>
      <c r="M995" s="65"/>
      <c r="N995" s="85"/>
    </row>
  </sheetData>
  <autoFilter ref="$A$1:$N$463"/>
  <mergeCells count="2">
    <mergeCell ref="N202:N208"/>
    <mergeCell ref="N331:N332"/>
  </mergeCells>
  <conditionalFormatting sqref="K2:K487">
    <cfRule type="cellIs" dxfId="0" priority="1" operator="equal">
      <formula>"미확인"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29"/>
    <col customWidth="1" min="3" max="3" width="11.14"/>
    <col customWidth="1" min="4" max="4" width="12.86"/>
    <col customWidth="1" min="5" max="5" width="18.57"/>
    <col customWidth="1" min="6" max="6" width="20.14"/>
    <col customWidth="1" min="7" max="7" width="21.29"/>
    <col customWidth="1" min="8" max="8" width="18.57"/>
    <col customWidth="1" min="9" max="9" width="10.0"/>
    <col customWidth="1" min="10" max="10" width="9.43"/>
    <col customWidth="1" min="11" max="11" width="19.43"/>
    <col customWidth="1" min="12" max="12" width="22.43"/>
    <col customWidth="1" min="13" max="13" width="21.57"/>
    <col customWidth="1" min="14" max="14" width="68.57"/>
    <col customWidth="1" min="15" max="15" width="82.29"/>
    <col customWidth="1" min="16" max="26" width="8.71"/>
  </cols>
  <sheetData>
    <row r="1" ht="30.0" customHeight="1">
      <c r="A1" s="5" t="s">
        <v>9</v>
      </c>
      <c r="B1" s="3" t="s">
        <v>5</v>
      </c>
      <c r="C1" s="3" t="s">
        <v>6</v>
      </c>
      <c r="D1" s="3" t="s">
        <v>30</v>
      </c>
      <c r="E1" s="3" t="s">
        <v>12</v>
      </c>
      <c r="F1" s="3" t="s">
        <v>13</v>
      </c>
      <c r="G1" s="3" t="s">
        <v>38</v>
      </c>
      <c r="H1" s="3" t="s">
        <v>40</v>
      </c>
      <c r="I1" s="3" t="s">
        <v>43</v>
      </c>
      <c r="J1" s="3" t="s">
        <v>45</v>
      </c>
      <c r="K1" s="3" t="s">
        <v>47</v>
      </c>
      <c r="L1" s="3" t="s">
        <v>49</v>
      </c>
      <c r="M1" s="3" t="s">
        <v>51</v>
      </c>
      <c r="N1" s="3" t="s">
        <v>53</v>
      </c>
    </row>
    <row r="2" ht="15.75" customHeight="1">
      <c r="A2" s="10" t="s">
        <v>57</v>
      </c>
      <c r="B2" s="10" t="s">
        <v>61</v>
      </c>
      <c r="C2" s="13" t="str">
        <f t="array" ref="C2">IFERROR(INDEX('간병신청대장'!$B:$B,MATCH($B2,'간병신청대장'!$A:$A,0)),"")</f>
        <v>엄정현</v>
      </c>
      <c r="D2" s="10" t="s">
        <v>91</v>
      </c>
      <c r="E2" s="10"/>
      <c r="F2" s="10"/>
      <c r="G2" s="10" t="s">
        <v>92</v>
      </c>
      <c r="H2" s="10"/>
      <c r="I2" s="10"/>
      <c r="J2" s="19">
        <v>80000.0</v>
      </c>
      <c r="K2" s="19"/>
      <c r="L2" s="10" t="s">
        <v>97</v>
      </c>
      <c r="M2" s="20" t="s">
        <v>100</v>
      </c>
      <c r="N2" s="13" t="s">
        <v>101</v>
      </c>
    </row>
    <row r="3" ht="15.75" customHeight="1">
      <c r="A3" s="10" t="s">
        <v>105</v>
      </c>
      <c r="B3" s="10" t="s">
        <v>107</v>
      </c>
      <c r="C3" s="13" t="str">
        <f t="array" ref="C3">IFERROR(INDEX('간병신청대장'!$B:$B,MATCH($B3,'간병신청대장'!$A:$A,0)),"")</f>
        <v>김미영</v>
      </c>
      <c r="D3" s="10" t="s">
        <v>114</v>
      </c>
      <c r="E3" s="10"/>
      <c r="F3" s="10" t="s">
        <v>115</v>
      </c>
      <c r="G3" s="10" t="s">
        <v>92</v>
      </c>
      <c r="H3" s="10"/>
      <c r="I3" s="10"/>
      <c r="J3" s="19"/>
      <c r="K3" s="19"/>
      <c r="L3" s="10" t="s">
        <v>116</v>
      </c>
      <c r="M3" s="10" t="s">
        <v>117</v>
      </c>
      <c r="N3" s="13"/>
    </row>
    <row r="4" ht="15.75" customHeight="1">
      <c r="A4" s="10" t="s">
        <v>119</v>
      </c>
      <c r="B4" s="10" t="s">
        <v>120</v>
      </c>
      <c r="C4" s="13" t="str">
        <f t="array" ref="C4">IFERROR(INDEX('간병신청대장'!$B:$B,MATCH($B4,'간병신청대장'!$A:$A,0)),"")</f>
        <v>성정주</v>
      </c>
      <c r="D4" s="10" t="s">
        <v>134</v>
      </c>
      <c r="E4" s="10"/>
      <c r="F4" s="10" t="s">
        <v>136</v>
      </c>
      <c r="G4" s="10" t="s">
        <v>137</v>
      </c>
      <c r="H4" s="10" t="s">
        <v>138</v>
      </c>
      <c r="I4" s="10" t="s">
        <v>139</v>
      </c>
      <c r="J4" s="19">
        <v>135000.0</v>
      </c>
      <c r="K4" s="19"/>
      <c r="L4" s="10" t="s">
        <v>140</v>
      </c>
      <c r="M4" s="10" t="s">
        <v>142</v>
      </c>
      <c r="N4" s="13" t="s">
        <v>143</v>
      </c>
    </row>
    <row r="5" ht="15.75" customHeight="1">
      <c r="A5" s="10" t="s">
        <v>144</v>
      </c>
      <c r="B5" s="10" t="s">
        <v>145</v>
      </c>
      <c r="C5" s="13" t="str">
        <f t="array" ref="C5">IFERROR(INDEX('간병신청대장'!$B:$B,MATCH($B5,'간병신청대장'!$A:$A,0)),"")</f>
        <v>김순년</v>
      </c>
      <c r="D5" s="10" t="s">
        <v>151</v>
      </c>
      <c r="E5" s="10" t="s">
        <v>152</v>
      </c>
      <c r="F5" s="10" t="s">
        <v>153</v>
      </c>
      <c r="G5" s="10" t="s">
        <v>92</v>
      </c>
      <c r="H5" s="10"/>
      <c r="I5" s="10" t="s">
        <v>139</v>
      </c>
      <c r="J5" s="19">
        <v>130000.0</v>
      </c>
      <c r="K5" s="19"/>
      <c r="L5" s="10" t="s">
        <v>156</v>
      </c>
      <c r="M5" s="10" t="s">
        <v>157</v>
      </c>
      <c r="N5" s="13"/>
    </row>
    <row r="6" ht="15.75" customHeight="1">
      <c r="A6" s="10" t="s">
        <v>158</v>
      </c>
      <c r="B6" s="10" t="s">
        <v>159</v>
      </c>
      <c r="C6" s="13" t="str">
        <f t="array" ref="C6">IFERROR(INDEX('간병신청대장'!$B:$B,MATCH($B6,'간병신청대장'!$A:$A,0)),"")</f>
        <v>차정옥</v>
      </c>
      <c r="D6" s="10" t="s">
        <v>177</v>
      </c>
      <c r="E6" s="10"/>
      <c r="F6" s="10" t="s">
        <v>179</v>
      </c>
      <c r="G6" s="10" t="s">
        <v>180</v>
      </c>
      <c r="H6" s="10" t="s">
        <v>181</v>
      </c>
      <c r="I6" s="10" t="s">
        <v>139</v>
      </c>
      <c r="J6" s="19">
        <v>130000.0</v>
      </c>
      <c r="K6" s="19"/>
      <c r="L6" s="10" t="s">
        <v>184</v>
      </c>
      <c r="M6" s="10" t="s">
        <v>185</v>
      </c>
      <c r="N6" s="13" t="s">
        <v>186</v>
      </c>
    </row>
    <row r="7" ht="15.75" customHeight="1">
      <c r="A7" s="10" t="s">
        <v>187</v>
      </c>
      <c r="B7" s="10" t="s">
        <v>188</v>
      </c>
      <c r="C7" s="13" t="str">
        <f t="array" ref="C7">IFERROR(INDEX('간병신청대장'!$B:$B,MATCH($B7,'간병신청대장'!$A:$A,0)),"")</f>
        <v>이춘자</v>
      </c>
      <c r="D7" s="10" t="s">
        <v>195</v>
      </c>
      <c r="E7" s="10"/>
      <c r="F7" s="10" t="s">
        <v>196</v>
      </c>
      <c r="G7" s="10" t="s">
        <v>197</v>
      </c>
      <c r="H7" s="10" t="s">
        <v>198</v>
      </c>
      <c r="I7" s="10"/>
      <c r="J7" s="19">
        <v>140000.0</v>
      </c>
      <c r="K7" s="19"/>
      <c r="L7" s="10" t="s">
        <v>199</v>
      </c>
      <c r="M7" s="10" t="s">
        <v>200</v>
      </c>
      <c r="N7" s="13" t="s">
        <v>201</v>
      </c>
    </row>
    <row r="8" ht="15.75" customHeight="1">
      <c r="A8" s="10" t="s">
        <v>202</v>
      </c>
      <c r="B8" s="10" t="s">
        <v>203</v>
      </c>
      <c r="C8" s="13" t="str">
        <f t="array" ref="C8">IFERROR(INDEX('간병신청대장'!$B:$B,MATCH($B8,'간병신청대장'!$A:$A,0)),"")</f>
        <v>심윤주 </v>
      </c>
      <c r="D8" s="10" t="s">
        <v>225</v>
      </c>
      <c r="E8" s="10" t="s">
        <v>226</v>
      </c>
      <c r="F8" s="10" t="s">
        <v>228</v>
      </c>
      <c r="G8" s="10" t="s">
        <v>92</v>
      </c>
      <c r="H8" s="10"/>
      <c r="I8" s="10" t="s">
        <v>139</v>
      </c>
      <c r="J8" s="19">
        <v>130000.0</v>
      </c>
      <c r="K8" s="19"/>
      <c r="L8" s="10" t="s">
        <v>229</v>
      </c>
      <c r="M8" s="20" t="s">
        <v>230</v>
      </c>
      <c r="N8" s="13" t="s">
        <v>232</v>
      </c>
    </row>
    <row r="9" ht="15.75" customHeight="1">
      <c r="A9" s="10" t="s">
        <v>234</v>
      </c>
      <c r="B9" s="10" t="s">
        <v>235</v>
      </c>
      <c r="C9" s="13" t="str">
        <f t="array" ref="C9">IFERROR(INDEX('간병신청대장'!$B:$B,MATCH($B9,'간병신청대장'!$A:$A,0)),"")</f>
        <v>김진선</v>
      </c>
      <c r="D9" s="10" t="s">
        <v>246</v>
      </c>
      <c r="E9" s="10" t="s">
        <v>249</v>
      </c>
      <c r="F9" s="10" t="s">
        <v>250</v>
      </c>
      <c r="G9" s="10" t="s">
        <v>92</v>
      </c>
      <c r="H9" s="10"/>
      <c r="I9" s="10" t="s">
        <v>139</v>
      </c>
      <c r="J9" s="19">
        <v>140000.0</v>
      </c>
      <c r="K9" s="19"/>
      <c r="L9" s="10" t="s">
        <v>253</v>
      </c>
      <c r="M9" s="10" t="s">
        <v>255</v>
      </c>
      <c r="N9" s="13"/>
    </row>
    <row r="10" ht="15.75" customHeight="1">
      <c r="A10" s="10" t="s">
        <v>258</v>
      </c>
      <c r="B10" s="10" t="s">
        <v>259</v>
      </c>
      <c r="C10" s="13" t="str">
        <f t="array" ref="C10">IFERROR(INDEX('간병신청대장'!$B:$B,MATCH($B10,'간병신청대장'!$A:$A,0)),"")</f>
        <v>김진선</v>
      </c>
      <c r="D10" s="10" t="s">
        <v>268</v>
      </c>
      <c r="E10" s="10"/>
      <c r="F10" s="10" t="s">
        <v>270</v>
      </c>
      <c r="G10" s="10" t="s">
        <v>272</v>
      </c>
      <c r="H10" s="10" t="s">
        <v>273</v>
      </c>
      <c r="I10" s="10" t="s">
        <v>274</v>
      </c>
      <c r="J10" s="19">
        <v>140000.0</v>
      </c>
      <c r="K10" s="19"/>
      <c r="L10" s="10" t="s">
        <v>275</v>
      </c>
      <c r="M10" s="10" t="s">
        <v>276</v>
      </c>
      <c r="N10" s="13" t="s">
        <v>277</v>
      </c>
    </row>
    <row r="11" ht="15.75" customHeight="1">
      <c r="A11" s="10" t="s">
        <v>279</v>
      </c>
      <c r="B11" s="10" t="s">
        <v>280</v>
      </c>
      <c r="C11" s="13" t="str">
        <f t="array" ref="C11">IFERROR(INDEX('간병신청대장'!$B:$B,MATCH($B11,'간병신청대장'!$A:$A,0)),"")</f>
        <v/>
      </c>
      <c r="D11" s="10" t="s">
        <v>268</v>
      </c>
      <c r="E11" s="10"/>
      <c r="F11" s="10" t="s">
        <v>270</v>
      </c>
      <c r="G11" s="10" t="s">
        <v>272</v>
      </c>
      <c r="H11" s="10" t="s">
        <v>273</v>
      </c>
      <c r="I11" s="10"/>
      <c r="J11" s="19"/>
      <c r="K11" s="19"/>
      <c r="L11" s="10" t="s">
        <v>276</v>
      </c>
      <c r="M11" s="10" t="s">
        <v>285</v>
      </c>
      <c r="N11" s="13"/>
    </row>
    <row r="12" ht="15.75" customHeight="1">
      <c r="A12" s="10" t="s">
        <v>287</v>
      </c>
      <c r="B12" s="10" t="s">
        <v>288</v>
      </c>
      <c r="C12" s="13" t="str">
        <f t="array" ref="C12">IFERROR(INDEX('간병신청대장'!$B:$B,MATCH($B12,'간병신청대장'!$A:$A,0)),"")</f>
        <v/>
      </c>
      <c r="D12" s="10" t="s">
        <v>268</v>
      </c>
      <c r="E12" s="10"/>
      <c r="F12" s="10" t="s">
        <v>270</v>
      </c>
      <c r="G12" s="10" t="s">
        <v>272</v>
      </c>
      <c r="H12" s="10" t="s">
        <v>273</v>
      </c>
      <c r="I12" s="10"/>
      <c r="J12" s="19"/>
      <c r="K12" s="19"/>
      <c r="L12" s="10" t="s">
        <v>285</v>
      </c>
      <c r="M12" s="10" t="s">
        <v>293</v>
      </c>
      <c r="N12" s="13"/>
    </row>
    <row r="13" ht="15.75" customHeight="1">
      <c r="A13" s="10" t="s">
        <v>294</v>
      </c>
      <c r="B13" s="10" t="s">
        <v>295</v>
      </c>
      <c r="C13" s="13" t="str">
        <f t="array" ref="C13">IFERROR(INDEX('간병신청대장'!$B:$B,MATCH($B13,'간병신청대장'!$A:$A,0)),"")</f>
        <v>김진선</v>
      </c>
      <c r="D13" s="10" t="s">
        <v>300</v>
      </c>
      <c r="E13" s="10"/>
      <c r="F13" s="10" t="s">
        <v>301</v>
      </c>
      <c r="G13" s="10" t="s">
        <v>302</v>
      </c>
      <c r="H13" s="10"/>
      <c r="I13" s="10"/>
      <c r="J13" s="19">
        <v>140000.0</v>
      </c>
      <c r="K13" s="19"/>
      <c r="L13" s="10" t="s">
        <v>293</v>
      </c>
      <c r="M13" s="10" t="s">
        <v>303</v>
      </c>
      <c r="N13" s="13" t="s">
        <v>305</v>
      </c>
    </row>
    <row r="14" ht="15.75" customHeight="1">
      <c r="A14" s="10" t="s">
        <v>306</v>
      </c>
      <c r="B14" s="10" t="s">
        <v>307</v>
      </c>
      <c r="C14" s="13" t="str">
        <f t="array" ref="C14">IFERROR(INDEX('간병신청대장'!$B:$B,MATCH($B14,'간병신청대장'!$A:$A,0)),"")</f>
        <v>김진선</v>
      </c>
      <c r="D14" s="10" t="s">
        <v>300</v>
      </c>
      <c r="E14" s="10"/>
      <c r="F14" s="10" t="s">
        <v>301</v>
      </c>
      <c r="G14" s="10" t="s">
        <v>302</v>
      </c>
      <c r="H14" s="10"/>
      <c r="I14" s="10"/>
      <c r="J14" s="19">
        <v>140000.0</v>
      </c>
      <c r="K14" s="19"/>
      <c r="L14" s="10" t="s">
        <v>303</v>
      </c>
      <c r="M14" s="10" t="s">
        <v>324</v>
      </c>
      <c r="N14" s="13" t="s">
        <v>305</v>
      </c>
    </row>
    <row r="15" ht="15.75" customHeight="1">
      <c r="A15" s="10" t="s">
        <v>325</v>
      </c>
      <c r="B15" s="10" t="s">
        <v>326</v>
      </c>
      <c r="C15" s="13" t="str">
        <f t="array" ref="C15">IFERROR(INDEX('간병신청대장'!$B:$B,MATCH($B15,'간병신청대장'!$A:$A,0)),"")</f>
        <v>김진선</v>
      </c>
      <c r="D15" s="10" t="s">
        <v>300</v>
      </c>
      <c r="E15" s="10"/>
      <c r="F15" s="10" t="s">
        <v>301</v>
      </c>
      <c r="G15" s="10" t="s">
        <v>302</v>
      </c>
      <c r="H15" s="10"/>
      <c r="I15" s="10"/>
      <c r="J15" s="19">
        <v>140000.0</v>
      </c>
      <c r="K15" s="19"/>
      <c r="L15" s="10" t="s">
        <v>329</v>
      </c>
      <c r="M15" s="10" t="s">
        <v>330</v>
      </c>
      <c r="N15" s="13" t="s">
        <v>331</v>
      </c>
    </row>
    <row r="16" ht="15.75" customHeight="1">
      <c r="A16" s="10" t="s">
        <v>332</v>
      </c>
      <c r="B16" s="10" t="s">
        <v>333</v>
      </c>
      <c r="C16" s="13" t="str">
        <f t="array" ref="C16">IFERROR(INDEX('간병신청대장'!$B:$B,MATCH($B16,'간병신청대장'!$A:$A,0)),"")</f>
        <v>김진선</v>
      </c>
      <c r="D16" s="10" t="s">
        <v>300</v>
      </c>
      <c r="E16" s="10"/>
      <c r="F16" s="10" t="s">
        <v>301</v>
      </c>
      <c r="G16" s="10" t="s">
        <v>302</v>
      </c>
      <c r="H16" s="10"/>
      <c r="I16" s="10"/>
      <c r="J16" s="19">
        <v>140000.0</v>
      </c>
      <c r="K16" s="19"/>
      <c r="L16" s="10" t="s">
        <v>330</v>
      </c>
      <c r="M16" s="10" t="s">
        <v>351</v>
      </c>
      <c r="N16" s="13"/>
    </row>
    <row r="17" ht="15.75" customHeight="1">
      <c r="A17" s="10" t="s">
        <v>352</v>
      </c>
      <c r="B17" s="10" t="s">
        <v>353</v>
      </c>
      <c r="C17" s="13" t="str">
        <f t="array" ref="C17">IFERROR(INDEX('간병신청대장'!$B:$B,MATCH($B17,'간병신청대장'!$A:$A,0)),"")</f>
        <v>김진선</v>
      </c>
      <c r="D17" s="10" t="s">
        <v>360</v>
      </c>
      <c r="E17" s="10"/>
      <c r="F17" s="10" t="s">
        <v>361</v>
      </c>
      <c r="G17" s="10" t="s">
        <v>364</v>
      </c>
      <c r="H17" s="10"/>
      <c r="I17" s="10"/>
      <c r="J17" s="19">
        <v>140000.0</v>
      </c>
      <c r="K17" s="19"/>
      <c r="L17" s="10" t="s">
        <v>351</v>
      </c>
      <c r="M17" s="10" t="s">
        <v>368</v>
      </c>
      <c r="N17" s="13" t="s">
        <v>370</v>
      </c>
    </row>
    <row r="18" ht="15.75" customHeight="1">
      <c r="A18" s="10" t="s">
        <v>373</v>
      </c>
      <c r="B18" s="10" t="s">
        <v>375</v>
      </c>
      <c r="C18" s="13" t="str">
        <f t="array" ref="C18">IFERROR(INDEX('간병신청대장'!$B:$B,MATCH($B18,'간병신청대장'!$A:$A,0)),"")</f>
        <v>권영술</v>
      </c>
      <c r="D18" s="10" t="s">
        <v>378</v>
      </c>
      <c r="E18" s="10"/>
      <c r="F18" s="10" t="s">
        <v>379</v>
      </c>
      <c r="G18" s="10" t="s">
        <v>92</v>
      </c>
      <c r="H18" s="10"/>
      <c r="I18" s="10" t="s">
        <v>139</v>
      </c>
      <c r="J18" s="19">
        <v>130000.0</v>
      </c>
      <c r="K18" s="19"/>
      <c r="L18" s="10" t="s">
        <v>382</v>
      </c>
      <c r="M18" s="10" t="s">
        <v>383</v>
      </c>
      <c r="N18" s="13" t="s">
        <v>384</v>
      </c>
    </row>
    <row r="19" ht="15.75" customHeight="1">
      <c r="A19" s="10" t="s">
        <v>385</v>
      </c>
      <c r="B19" s="10" t="s">
        <v>386</v>
      </c>
      <c r="C19" s="13" t="str">
        <f t="array" ref="C19">IFERROR(INDEX('간병신청대장'!$B:$B,MATCH($B19,'간병신청대장'!$A:$A,0)),"")</f>
        <v>김진선</v>
      </c>
      <c r="D19" s="10" t="s">
        <v>300</v>
      </c>
      <c r="E19" s="10"/>
      <c r="F19" s="10" t="s">
        <v>301</v>
      </c>
      <c r="G19" s="10" t="s">
        <v>302</v>
      </c>
      <c r="H19" s="10"/>
      <c r="I19" s="10"/>
      <c r="J19" s="19">
        <v>140000.0</v>
      </c>
      <c r="K19" s="19"/>
      <c r="L19" s="10" t="s">
        <v>368</v>
      </c>
      <c r="M19" s="10" t="s">
        <v>401</v>
      </c>
      <c r="N19" s="13" t="s">
        <v>331</v>
      </c>
    </row>
    <row r="20" ht="15.75" customHeight="1">
      <c r="A20" s="10" t="s">
        <v>403</v>
      </c>
      <c r="B20" s="10" t="s">
        <v>404</v>
      </c>
      <c r="C20" s="13" t="str">
        <f t="array" ref="C20">IFERROR(INDEX('간병신청대장'!$B:$B,MATCH($B20,'간병신청대장'!$A:$A,0)),"")</f>
        <v>김진선</v>
      </c>
      <c r="D20" s="10" t="s">
        <v>300</v>
      </c>
      <c r="E20" s="10"/>
      <c r="F20" s="10" t="s">
        <v>301</v>
      </c>
      <c r="G20" s="10" t="s">
        <v>302</v>
      </c>
      <c r="H20" s="10"/>
      <c r="I20" s="10"/>
      <c r="J20" s="19">
        <v>140000.0</v>
      </c>
      <c r="K20" s="19"/>
      <c r="L20" s="10" t="s">
        <v>414</v>
      </c>
      <c r="M20" s="10" t="s">
        <v>415</v>
      </c>
      <c r="N20" s="13" t="s">
        <v>331</v>
      </c>
    </row>
    <row r="21" ht="15.75" customHeight="1">
      <c r="A21" s="10" t="s">
        <v>416</v>
      </c>
      <c r="B21" s="10" t="s">
        <v>417</v>
      </c>
      <c r="C21" s="13" t="str">
        <f t="array" ref="C21">IFERROR(INDEX('간병신청대장'!$B:$B,MATCH($B21,'간병신청대장'!$A:$A,0)),"")</f>
        <v>김진선</v>
      </c>
      <c r="D21" s="10" t="s">
        <v>300</v>
      </c>
      <c r="E21" s="10"/>
      <c r="F21" s="10" t="s">
        <v>301</v>
      </c>
      <c r="G21" s="10" t="s">
        <v>432</v>
      </c>
      <c r="H21" s="10"/>
      <c r="I21" s="10"/>
      <c r="J21" s="19">
        <v>140000.0</v>
      </c>
      <c r="K21" s="19"/>
      <c r="L21" s="10" t="s">
        <v>415</v>
      </c>
      <c r="M21" s="10" t="s">
        <v>433</v>
      </c>
      <c r="N21" s="13"/>
    </row>
    <row r="22" ht="15.75" customHeight="1">
      <c r="A22" s="10" t="s">
        <v>434</v>
      </c>
      <c r="B22" s="10" t="s">
        <v>435</v>
      </c>
      <c r="C22" s="13" t="str">
        <f t="array" ref="C22">IFERROR(INDEX('간병신청대장'!$B:$B,MATCH($B22,'간병신청대장'!$A:$A,0)),"")</f>
        <v>김진선</v>
      </c>
      <c r="D22" s="10" t="s">
        <v>300</v>
      </c>
      <c r="E22" s="10"/>
      <c r="F22" s="10" t="s">
        <v>301</v>
      </c>
      <c r="G22" s="10" t="s">
        <v>432</v>
      </c>
      <c r="H22" s="10"/>
      <c r="I22" s="10"/>
      <c r="J22" s="19">
        <v>140000.0</v>
      </c>
      <c r="K22" s="19"/>
      <c r="L22" s="10" t="s">
        <v>433</v>
      </c>
      <c r="M22" s="10" t="s">
        <v>447</v>
      </c>
      <c r="N22" s="13" t="s">
        <v>331</v>
      </c>
    </row>
    <row r="23" ht="15.75" customHeight="1">
      <c r="A23" s="10" t="s">
        <v>449</v>
      </c>
      <c r="B23" s="10" t="s">
        <v>450</v>
      </c>
      <c r="C23" s="13" t="str">
        <f t="array" ref="C23">IFERROR(INDEX('간병신청대장'!$B:$B,MATCH($B23,'간병신청대장'!$A:$A,0)),"")</f>
        <v>김진선</v>
      </c>
      <c r="D23" s="10" t="s">
        <v>456</v>
      </c>
      <c r="E23" s="10"/>
      <c r="F23" s="10" t="s">
        <v>457</v>
      </c>
      <c r="G23" s="10" t="s">
        <v>364</v>
      </c>
      <c r="H23" s="10"/>
      <c r="I23" s="10"/>
      <c r="J23" s="19">
        <v>140000.0</v>
      </c>
      <c r="K23" s="19"/>
      <c r="L23" s="10" t="s">
        <v>447</v>
      </c>
      <c r="M23" s="10" t="s">
        <v>458</v>
      </c>
      <c r="N23" s="13" t="s">
        <v>370</v>
      </c>
    </row>
    <row r="24" ht="15.75" customHeight="1">
      <c r="A24" s="10" t="s">
        <v>460</v>
      </c>
      <c r="B24" s="10" t="s">
        <v>461</v>
      </c>
      <c r="C24" s="13" t="str">
        <f t="array" ref="C24">IFERROR(INDEX('간병신청대장'!$B:$B,MATCH($B24,'간병신청대장'!$A:$A,0)),"")</f>
        <v>김진선</v>
      </c>
      <c r="D24" s="10" t="s">
        <v>300</v>
      </c>
      <c r="E24" s="10"/>
      <c r="F24" s="10" t="s">
        <v>301</v>
      </c>
      <c r="G24" s="10" t="s">
        <v>432</v>
      </c>
      <c r="H24" s="10"/>
      <c r="I24" s="10"/>
      <c r="J24" s="19">
        <v>140000.0</v>
      </c>
      <c r="K24" s="19"/>
      <c r="L24" s="10" t="s">
        <v>475</v>
      </c>
      <c r="M24" s="10" t="s">
        <v>477</v>
      </c>
      <c r="N24" s="13" t="s">
        <v>331</v>
      </c>
    </row>
    <row r="25" ht="15.75" customHeight="1">
      <c r="A25" s="10" t="s">
        <v>478</v>
      </c>
      <c r="B25" s="10" t="s">
        <v>480</v>
      </c>
      <c r="C25" s="13" t="str">
        <f t="array" ref="C25">IFERROR(INDEX('간병신청대장'!$B:$B,MATCH($B25,'간병신청대장'!$A:$A,0)),"")</f>
        <v>김진선</v>
      </c>
      <c r="D25" s="10" t="s">
        <v>300</v>
      </c>
      <c r="E25" s="10"/>
      <c r="F25" s="10" t="s">
        <v>301</v>
      </c>
      <c r="G25" s="10" t="s">
        <v>432</v>
      </c>
      <c r="H25" s="10"/>
      <c r="I25" s="10"/>
      <c r="J25" s="19">
        <v>140000.0</v>
      </c>
      <c r="K25" s="19"/>
      <c r="L25" s="10" t="s">
        <v>477</v>
      </c>
      <c r="M25" s="10" t="s">
        <v>484</v>
      </c>
      <c r="N25" s="13" t="s">
        <v>331</v>
      </c>
    </row>
    <row r="26" ht="15.75" customHeight="1">
      <c r="A26" s="10" t="s">
        <v>485</v>
      </c>
      <c r="B26" s="10" t="s">
        <v>486</v>
      </c>
      <c r="C26" s="13" t="str">
        <f t="array" ref="C26">IFERROR(INDEX('간병신청대장'!$B:$B,MATCH($B26,'간병신청대장'!$A:$A,0)),"")</f>
        <v>김진선</v>
      </c>
      <c r="D26" s="10" t="s">
        <v>300</v>
      </c>
      <c r="E26" s="10"/>
      <c r="F26" s="10" t="s">
        <v>301</v>
      </c>
      <c r="G26" s="10" t="s">
        <v>432</v>
      </c>
      <c r="H26" s="10"/>
      <c r="I26" s="10"/>
      <c r="J26" s="19">
        <v>140000.0</v>
      </c>
      <c r="K26" s="19"/>
      <c r="L26" s="10" t="s">
        <v>484</v>
      </c>
      <c r="M26" s="10" t="s">
        <v>499</v>
      </c>
      <c r="N26" s="13" t="s">
        <v>305</v>
      </c>
    </row>
    <row r="27" ht="15.75" customHeight="1">
      <c r="A27" s="10" t="s">
        <v>500</v>
      </c>
      <c r="B27" s="10" t="s">
        <v>501</v>
      </c>
      <c r="C27" s="13" t="str">
        <f t="array" ref="C27">IFERROR(INDEX('간병신청대장'!$B:$B,MATCH($B27,'간병신청대장'!$A:$A,0)),"")</f>
        <v>김진선</v>
      </c>
      <c r="D27" s="10" t="s">
        <v>504</v>
      </c>
      <c r="E27" s="10"/>
      <c r="F27" s="10" t="s">
        <v>505</v>
      </c>
      <c r="G27" s="10" t="s">
        <v>432</v>
      </c>
      <c r="H27" s="10"/>
      <c r="I27" s="10"/>
      <c r="J27" s="19">
        <v>140000.0</v>
      </c>
      <c r="K27" s="19"/>
      <c r="L27" s="10" t="s">
        <v>499</v>
      </c>
      <c r="M27" s="10" t="s">
        <v>506</v>
      </c>
      <c r="N27" s="13" t="s">
        <v>507</v>
      </c>
    </row>
    <row r="28" ht="15.75" customHeight="1">
      <c r="A28" s="10" t="s">
        <v>508</v>
      </c>
      <c r="B28" s="10" t="s">
        <v>510</v>
      </c>
      <c r="C28" s="13" t="str">
        <f t="array" ref="C28">IFERROR(INDEX('간병신청대장'!$B:$B,MATCH($B28,'간병신청대장'!$A:$A,0)),"")</f>
        <v>권영술</v>
      </c>
      <c r="D28" s="10" t="s">
        <v>522</v>
      </c>
      <c r="E28" s="10" t="s">
        <v>523</v>
      </c>
      <c r="F28" s="10" t="s">
        <v>524</v>
      </c>
      <c r="G28" s="10" t="s">
        <v>92</v>
      </c>
      <c r="H28" s="10"/>
      <c r="I28" s="10"/>
      <c r="J28" s="19">
        <v>140000.0</v>
      </c>
      <c r="K28" s="19"/>
      <c r="L28" s="10" t="s">
        <v>526</v>
      </c>
      <c r="M28" s="10" t="s">
        <v>527</v>
      </c>
      <c r="N28" s="13" t="s">
        <v>528</v>
      </c>
    </row>
    <row r="29" ht="15.75" customHeight="1">
      <c r="A29" s="10" t="s">
        <v>529</v>
      </c>
      <c r="B29" s="10" t="s">
        <v>530</v>
      </c>
      <c r="C29" s="13" t="str">
        <f t="array" ref="C29">IFERROR(INDEX('간병신청대장'!$B:$B,MATCH($B29,'간병신청대장'!$A:$A,0)),"")</f>
        <v>전남영</v>
      </c>
      <c r="D29" s="10" t="s">
        <v>535</v>
      </c>
      <c r="E29" s="10" t="s">
        <v>536</v>
      </c>
      <c r="F29" s="10" t="s">
        <v>537</v>
      </c>
      <c r="G29" s="10" t="s">
        <v>538</v>
      </c>
      <c r="H29" s="10" t="s">
        <v>539</v>
      </c>
      <c r="I29" s="10" t="s">
        <v>139</v>
      </c>
      <c r="J29" s="19">
        <v>130000.0</v>
      </c>
      <c r="K29" s="19"/>
      <c r="L29" s="10" t="s">
        <v>156</v>
      </c>
      <c r="M29" s="10" t="s">
        <v>540</v>
      </c>
      <c r="N29" s="13" t="s">
        <v>541</v>
      </c>
    </row>
    <row r="30" ht="15.75" customHeight="1">
      <c r="A30" s="10" t="s">
        <v>543</v>
      </c>
      <c r="B30" s="10" t="s">
        <v>544</v>
      </c>
      <c r="C30" s="13" t="str">
        <f t="array" ref="C30">IFERROR(INDEX('간병신청대장'!$B:$B,MATCH($B30,'간병신청대장'!$A:$A,0)),"")</f>
        <v>전남영</v>
      </c>
      <c r="D30" s="10" t="s">
        <v>556</v>
      </c>
      <c r="E30" s="10"/>
      <c r="F30" s="10" t="s">
        <v>558</v>
      </c>
      <c r="G30" s="10" t="s">
        <v>559</v>
      </c>
      <c r="H30" s="10"/>
      <c r="I30" s="10"/>
      <c r="J30" s="19">
        <v>135000.0</v>
      </c>
      <c r="K30" s="19"/>
      <c r="L30" s="10" t="s">
        <v>560</v>
      </c>
      <c r="M30" s="10" t="s">
        <v>561</v>
      </c>
      <c r="N30" s="13" t="s">
        <v>562</v>
      </c>
    </row>
    <row r="31" ht="15.75" customHeight="1">
      <c r="A31" s="10" t="s">
        <v>563</v>
      </c>
      <c r="B31" s="10" t="s">
        <v>564</v>
      </c>
      <c r="C31" s="13" t="str">
        <f t="array" ref="C31">IFERROR(INDEX('간병신청대장'!$B:$B,MATCH($B31,'간병신청대장'!$A:$A,0)),"")</f>
        <v>전남영</v>
      </c>
      <c r="D31" s="33" t="s">
        <v>581</v>
      </c>
      <c r="E31" s="10"/>
      <c r="F31" s="10" t="s">
        <v>584</v>
      </c>
      <c r="G31" s="10" t="s">
        <v>585</v>
      </c>
      <c r="H31" s="10" t="s">
        <v>586</v>
      </c>
      <c r="I31" s="10"/>
      <c r="J31" s="19">
        <v>140000.0</v>
      </c>
      <c r="K31" s="19"/>
      <c r="L31" s="10" t="s">
        <v>587</v>
      </c>
      <c r="M31" s="20" t="s">
        <v>588</v>
      </c>
      <c r="N31" s="13" t="s">
        <v>589</v>
      </c>
    </row>
    <row r="32" ht="15.75" customHeight="1">
      <c r="A32" s="10" t="s">
        <v>590</v>
      </c>
      <c r="B32" s="10" t="s">
        <v>591</v>
      </c>
      <c r="C32" s="13" t="str">
        <f t="array" ref="C32">IFERROR(INDEX('간병신청대장'!$B:$B,MATCH($B32,'간병신청대장'!$A:$A,0)),"")</f>
        <v>이성자</v>
      </c>
      <c r="D32" s="10" t="s">
        <v>605</v>
      </c>
      <c r="E32" s="10" t="s">
        <v>606</v>
      </c>
      <c r="F32" s="10" t="s">
        <v>607</v>
      </c>
      <c r="G32" s="10" t="s">
        <v>92</v>
      </c>
      <c r="H32" s="10"/>
      <c r="I32" s="10" t="s">
        <v>139</v>
      </c>
      <c r="J32" s="19">
        <v>150000.0</v>
      </c>
      <c r="K32" s="19"/>
      <c r="L32" s="10" t="s">
        <v>156</v>
      </c>
      <c r="M32" s="10" t="s">
        <v>608</v>
      </c>
      <c r="N32" s="13" t="s">
        <v>609</v>
      </c>
    </row>
    <row r="33" ht="15.75" customHeight="1">
      <c r="A33" s="10" t="s">
        <v>610</v>
      </c>
      <c r="B33" s="10" t="s">
        <v>611</v>
      </c>
      <c r="C33" s="13" t="str">
        <f t="array" ref="C33">IFERROR(INDEX('간병신청대장'!$B:$B,MATCH($B33,'간병신청대장'!$A:$A,0)),"")</f>
        <v>이성자</v>
      </c>
      <c r="D33" s="10" t="s">
        <v>617</v>
      </c>
      <c r="E33" s="10" t="s">
        <v>619</v>
      </c>
      <c r="F33" s="10" t="s">
        <v>620</v>
      </c>
      <c r="G33" s="10" t="s">
        <v>621</v>
      </c>
      <c r="H33" s="10"/>
      <c r="I33" s="10" t="s">
        <v>139</v>
      </c>
      <c r="J33" s="19">
        <v>140000.0</v>
      </c>
      <c r="K33" s="19"/>
      <c r="L33" s="10" t="s">
        <v>330</v>
      </c>
      <c r="M33" s="10" t="s">
        <v>624</v>
      </c>
      <c r="N33" s="13" t="s">
        <v>625</v>
      </c>
    </row>
    <row r="34" ht="15.75" customHeight="1">
      <c r="A34" s="10" t="s">
        <v>626</v>
      </c>
      <c r="B34" s="10" t="s">
        <v>628</v>
      </c>
      <c r="C34" s="13" t="str">
        <f t="array" ref="C34">IFERROR(INDEX('간병신청대장'!$B:$B,MATCH($B34,'간병신청대장'!$A:$A,0)),"")</f>
        <v>신용찬</v>
      </c>
      <c r="D34" s="10" t="s">
        <v>633</v>
      </c>
      <c r="E34" s="10"/>
      <c r="F34" s="10" t="s">
        <v>634</v>
      </c>
      <c r="G34" s="10" t="s">
        <v>635</v>
      </c>
      <c r="H34" s="10" t="s">
        <v>636</v>
      </c>
      <c r="I34" s="10" t="s">
        <v>139</v>
      </c>
      <c r="J34" s="19">
        <v>160000.0</v>
      </c>
      <c r="K34" s="19"/>
      <c r="L34" s="10" t="s">
        <v>637</v>
      </c>
      <c r="M34" s="10" t="s">
        <v>638</v>
      </c>
      <c r="N34" s="13" t="s">
        <v>639</v>
      </c>
    </row>
    <row r="35" ht="15.75" customHeight="1">
      <c r="A35" s="10" t="s">
        <v>640</v>
      </c>
      <c r="B35" s="10" t="s">
        <v>641</v>
      </c>
      <c r="C35" s="13" t="str">
        <f t="array" ref="C35">IFERROR(INDEX('간병신청대장'!$B:$B,MATCH($B35,'간병신청대장'!$A:$A,0)),"")</f>
        <v>오죽삼</v>
      </c>
      <c r="D35" s="10" t="s">
        <v>646</v>
      </c>
      <c r="E35" s="10" t="s">
        <v>647</v>
      </c>
      <c r="F35" s="10" t="s">
        <v>648</v>
      </c>
      <c r="G35" s="10" t="s">
        <v>92</v>
      </c>
      <c r="H35" s="10"/>
      <c r="I35" s="10"/>
      <c r="J35" s="19"/>
      <c r="K35" s="19"/>
      <c r="L35" s="10" t="s">
        <v>140</v>
      </c>
      <c r="M35" s="10" t="s">
        <v>650</v>
      </c>
      <c r="N35" s="13"/>
    </row>
    <row r="36" ht="15.75" customHeight="1">
      <c r="A36" s="10" t="s">
        <v>651</v>
      </c>
      <c r="B36" s="10" t="s">
        <v>652</v>
      </c>
      <c r="C36" s="13" t="str">
        <f t="array" ref="C36">IFERROR(INDEX('간병신청대장'!$B:$B,MATCH($B36,'간병신청대장'!$A:$A,0)),"")</f>
        <v>오죽삼</v>
      </c>
      <c r="D36" s="10" t="s">
        <v>654</v>
      </c>
      <c r="E36" s="10" t="s">
        <v>655</v>
      </c>
      <c r="F36" s="10" t="s">
        <v>656</v>
      </c>
      <c r="G36" s="10" t="s">
        <v>92</v>
      </c>
      <c r="H36" s="10"/>
      <c r="I36" s="10" t="s">
        <v>139</v>
      </c>
      <c r="J36" s="19">
        <v>135000.0</v>
      </c>
      <c r="K36" s="19"/>
      <c r="L36" s="10" t="s">
        <v>657</v>
      </c>
      <c r="M36" s="10" t="s">
        <v>658</v>
      </c>
      <c r="N36" s="13" t="s">
        <v>659</v>
      </c>
    </row>
    <row r="37" ht="15.75" customHeight="1">
      <c r="A37" s="10" t="s">
        <v>661</v>
      </c>
      <c r="B37" s="10" t="s">
        <v>662</v>
      </c>
      <c r="C37" s="13" t="str">
        <f t="array" ref="C37">IFERROR(INDEX('간병신청대장'!$B:$B,MATCH($B37,'간병신청대장'!$A:$A,0)),"")</f>
        <v>박영희</v>
      </c>
      <c r="D37" s="10" t="s">
        <v>666</v>
      </c>
      <c r="E37" s="10"/>
      <c r="F37" s="10" t="s">
        <v>667</v>
      </c>
      <c r="G37" s="10" t="s">
        <v>621</v>
      </c>
      <c r="H37" s="10" t="s">
        <v>668</v>
      </c>
      <c r="I37" s="10" t="s">
        <v>669</v>
      </c>
      <c r="J37" s="19">
        <v>130000.0</v>
      </c>
      <c r="K37" s="19"/>
      <c r="L37" s="10" t="s">
        <v>156</v>
      </c>
      <c r="M37" s="10" t="s">
        <v>670</v>
      </c>
      <c r="N37" s="13" t="s">
        <v>671</v>
      </c>
    </row>
    <row r="38" ht="15.75" customHeight="1">
      <c r="A38" s="10" t="s">
        <v>672</v>
      </c>
      <c r="B38" s="10" t="s">
        <v>673</v>
      </c>
      <c r="C38" s="13" t="str">
        <f t="array" ref="C38">IFERROR(INDEX('간병신청대장'!$B:$B,MATCH($B38,'간병신청대장'!$A:$A,0)),"")</f>
        <v>조하랑</v>
      </c>
      <c r="D38" s="10" t="s">
        <v>675</v>
      </c>
      <c r="E38" s="10" t="s">
        <v>676</v>
      </c>
      <c r="F38" s="10" t="s">
        <v>677</v>
      </c>
      <c r="G38" s="10" t="s">
        <v>678</v>
      </c>
      <c r="H38" s="10" t="s">
        <v>679</v>
      </c>
      <c r="I38" s="10" t="s">
        <v>139</v>
      </c>
      <c r="J38" s="19">
        <v>140000.0</v>
      </c>
      <c r="K38" s="19"/>
      <c r="L38" s="10" t="s">
        <v>680</v>
      </c>
      <c r="M38" s="10" t="s">
        <v>681</v>
      </c>
      <c r="N38" s="13"/>
    </row>
    <row r="39" ht="15.75" customHeight="1">
      <c r="A39" s="10" t="s">
        <v>682</v>
      </c>
      <c r="B39" s="10" t="s">
        <v>683</v>
      </c>
      <c r="C39" s="13" t="str">
        <f t="array" ref="C39">IFERROR(INDEX('간병신청대장'!$B:$B,MATCH($B39,'간병신청대장'!$A:$A,0)),"")</f>
        <v>조하륜</v>
      </c>
      <c r="D39" s="10" t="s">
        <v>688</v>
      </c>
      <c r="E39" s="10" t="s">
        <v>689</v>
      </c>
      <c r="F39" s="10" t="s">
        <v>690</v>
      </c>
      <c r="G39" s="10" t="s">
        <v>678</v>
      </c>
      <c r="H39" s="10" t="s">
        <v>679</v>
      </c>
      <c r="I39" s="10" t="s">
        <v>139</v>
      </c>
      <c r="J39" s="19">
        <v>140000.0</v>
      </c>
      <c r="K39" s="19"/>
      <c r="L39" s="10" t="s">
        <v>680</v>
      </c>
      <c r="M39" s="10" t="s">
        <v>681</v>
      </c>
      <c r="N39" s="13"/>
    </row>
    <row r="40" ht="15.75" customHeight="1">
      <c r="A40" s="10" t="s">
        <v>691</v>
      </c>
      <c r="B40" s="10" t="s">
        <v>692</v>
      </c>
      <c r="C40" s="13" t="str">
        <f t="array" ref="C40">IFERROR(INDEX('간병신청대장'!$B:$B,MATCH($B40,'간병신청대장'!$A:$A,0)),"")</f>
        <v>전영수</v>
      </c>
      <c r="D40" s="10" t="s">
        <v>698</v>
      </c>
      <c r="E40" s="10"/>
      <c r="F40" s="10" t="s">
        <v>699</v>
      </c>
      <c r="G40" s="10" t="s">
        <v>559</v>
      </c>
      <c r="H40" s="10" t="s">
        <v>700</v>
      </c>
      <c r="I40" s="10" t="s">
        <v>701</v>
      </c>
      <c r="J40" s="19">
        <v>135000.0</v>
      </c>
      <c r="K40" s="19"/>
      <c r="L40" s="10" t="s">
        <v>702</v>
      </c>
      <c r="M40" s="10" t="s">
        <v>703</v>
      </c>
      <c r="N40" s="13" t="s">
        <v>704</v>
      </c>
    </row>
    <row r="41" ht="15.75" customHeight="1">
      <c r="A41" s="10" t="s">
        <v>706</v>
      </c>
      <c r="B41" s="10" t="s">
        <v>707</v>
      </c>
      <c r="C41" s="13" t="str">
        <f t="array" ref="C41">IFERROR(INDEX('간병신청대장'!$B:$B,MATCH($B41,'간병신청대장'!$A:$A,0)),"")</f>
        <v>고봉석</v>
      </c>
      <c r="D41" s="10" t="s">
        <v>712</v>
      </c>
      <c r="E41" s="10"/>
      <c r="F41" s="10" t="s">
        <v>713</v>
      </c>
      <c r="G41" s="10" t="s">
        <v>714</v>
      </c>
      <c r="H41" s="10" t="s">
        <v>715</v>
      </c>
      <c r="I41" s="10" t="s">
        <v>139</v>
      </c>
      <c r="J41" s="19">
        <v>140000.0</v>
      </c>
      <c r="K41" s="19"/>
      <c r="L41" s="10" t="s">
        <v>156</v>
      </c>
      <c r="M41" s="10" t="s">
        <v>681</v>
      </c>
      <c r="N41" s="13" t="s">
        <v>716</v>
      </c>
    </row>
    <row r="42" ht="15.75" customHeight="1">
      <c r="A42" s="10" t="s">
        <v>717</v>
      </c>
      <c r="B42" s="10" t="s">
        <v>718</v>
      </c>
      <c r="C42" s="13" t="str">
        <f t="array" ref="C42">IFERROR(INDEX('간병신청대장'!$B:$B,MATCH($B42,'간병신청대장'!$A:$A,0)),"")</f>
        <v>김명수</v>
      </c>
      <c r="D42" s="10" t="s">
        <v>721</v>
      </c>
      <c r="E42" s="10"/>
      <c r="F42" s="10" t="s">
        <v>722</v>
      </c>
      <c r="G42" s="10" t="s">
        <v>197</v>
      </c>
      <c r="H42" s="10" t="s">
        <v>198</v>
      </c>
      <c r="I42" s="10" t="s">
        <v>139</v>
      </c>
      <c r="J42" s="19">
        <v>135000.0</v>
      </c>
      <c r="K42" s="19"/>
      <c r="L42" s="10" t="s">
        <v>723</v>
      </c>
      <c r="M42" s="10" t="s">
        <v>724</v>
      </c>
      <c r="N42" s="13" t="s">
        <v>725</v>
      </c>
    </row>
    <row r="43" ht="15.75" customHeight="1">
      <c r="A43" s="10" t="s">
        <v>726</v>
      </c>
      <c r="B43" s="10" t="s">
        <v>727</v>
      </c>
      <c r="C43" s="13" t="str">
        <f t="array" ref="C43">IFERROR(INDEX('간병신청대장'!$B:$B,MATCH($B43,'간병신청대장'!$A:$A,0)),"")</f>
        <v>김명수</v>
      </c>
      <c r="D43" s="10" t="s">
        <v>730</v>
      </c>
      <c r="E43" s="10"/>
      <c r="F43" s="10" t="s">
        <v>731</v>
      </c>
      <c r="G43" s="10" t="s">
        <v>197</v>
      </c>
      <c r="H43" s="10" t="s">
        <v>198</v>
      </c>
      <c r="I43" s="10" t="s">
        <v>139</v>
      </c>
      <c r="J43" s="19">
        <v>135000.0</v>
      </c>
      <c r="K43" s="19"/>
      <c r="L43" s="10" t="s">
        <v>724</v>
      </c>
      <c r="M43" s="10" t="s">
        <v>732</v>
      </c>
      <c r="N43" s="13" t="s">
        <v>733</v>
      </c>
    </row>
    <row r="44" ht="15.75" customHeight="1">
      <c r="A44" s="10" t="s">
        <v>734</v>
      </c>
      <c r="B44" s="10" t="s">
        <v>735</v>
      </c>
      <c r="C44" s="13" t="str">
        <f t="array" ref="C44">IFERROR(INDEX('간병신청대장'!$B:$B,MATCH($B44,'간병신청대장'!$A:$A,0)),"")</f>
        <v>김명수</v>
      </c>
      <c r="D44" s="10" t="s">
        <v>749</v>
      </c>
      <c r="E44" s="10"/>
      <c r="F44" s="10" t="s">
        <v>750</v>
      </c>
      <c r="G44" s="10" t="s">
        <v>197</v>
      </c>
      <c r="H44" s="10" t="s">
        <v>198</v>
      </c>
      <c r="I44" s="10" t="s">
        <v>139</v>
      </c>
      <c r="J44" s="19">
        <v>135000.0</v>
      </c>
      <c r="K44" s="19"/>
      <c r="L44" s="10" t="s">
        <v>751</v>
      </c>
      <c r="M44" s="10" t="s">
        <v>710</v>
      </c>
      <c r="N44" s="13" t="s">
        <v>752</v>
      </c>
    </row>
    <row r="45" ht="15.75" customHeight="1">
      <c r="A45" s="10" t="s">
        <v>753</v>
      </c>
      <c r="B45" s="10" t="s">
        <v>754</v>
      </c>
      <c r="C45" s="13" t="str">
        <f t="array" ref="C45">IFERROR(INDEX('간병신청대장'!$B:$B,MATCH($B45,'간병신청대장'!$A:$A,0)),"")</f>
        <v>김명수</v>
      </c>
      <c r="D45" s="10" t="s">
        <v>749</v>
      </c>
      <c r="E45" s="10"/>
      <c r="F45" s="10" t="s">
        <v>750</v>
      </c>
      <c r="G45" s="10" t="s">
        <v>197</v>
      </c>
      <c r="H45" s="10" t="s">
        <v>198</v>
      </c>
      <c r="I45" s="10" t="s">
        <v>139</v>
      </c>
      <c r="J45" s="19">
        <v>135000.0</v>
      </c>
      <c r="K45" s="19"/>
      <c r="L45" s="10" t="s">
        <v>757</v>
      </c>
      <c r="M45" s="10" t="s">
        <v>758</v>
      </c>
      <c r="N45" s="13" t="s">
        <v>752</v>
      </c>
    </row>
    <row r="46" ht="15.75" customHeight="1">
      <c r="A46" s="10" t="s">
        <v>759</v>
      </c>
      <c r="B46" s="10" t="s">
        <v>760</v>
      </c>
      <c r="C46" s="13" t="str">
        <f t="array" ref="C46">IFERROR(INDEX('간병신청대장'!$B:$B,MATCH($B46,'간병신청대장'!$A:$A,0)),"")</f>
        <v>김명수</v>
      </c>
      <c r="D46" s="10" t="s">
        <v>749</v>
      </c>
      <c r="E46" s="10"/>
      <c r="F46" s="10" t="s">
        <v>750</v>
      </c>
      <c r="G46" s="10" t="s">
        <v>197</v>
      </c>
      <c r="H46" s="10" t="s">
        <v>198</v>
      </c>
      <c r="I46" s="10"/>
      <c r="J46" s="19">
        <v>135000.0</v>
      </c>
      <c r="K46" s="19"/>
      <c r="L46" s="10" t="s">
        <v>765</v>
      </c>
      <c r="M46" s="10" t="s">
        <v>766</v>
      </c>
      <c r="N46" s="13" t="s">
        <v>752</v>
      </c>
    </row>
    <row r="47" ht="15.75" customHeight="1">
      <c r="A47" s="10" t="s">
        <v>767</v>
      </c>
      <c r="B47" s="10" t="s">
        <v>768</v>
      </c>
      <c r="C47" s="13" t="str">
        <f t="array" ref="C47">IFERROR(INDEX('간병신청대장'!$B:$B,MATCH($B47,'간병신청대장'!$A:$A,0)),"")</f>
        <v>김명수</v>
      </c>
      <c r="D47" s="10" t="s">
        <v>749</v>
      </c>
      <c r="E47" s="10"/>
      <c r="F47" s="10" t="s">
        <v>750</v>
      </c>
      <c r="G47" s="10" t="s">
        <v>197</v>
      </c>
      <c r="H47" s="10" t="s">
        <v>198</v>
      </c>
      <c r="I47" s="10"/>
      <c r="J47" s="19">
        <v>135000.0</v>
      </c>
      <c r="K47" s="19"/>
      <c r="L47" s="10" t="s">
        <v>772</v>
      </c>
      <c r="M47" s="10" t="s">
        <v>774</v>
      </c>
      <c r="N47" s="13" t="s">
        <v>752</v>
      </c>
    </row>
    <row r="48" ht="15.75" customHeight="1">
      <c r="A48" s="10" t="s">
        <v>775</v>
      </c>
      <c r="B48" s="10" t="s">
        <v>776</v>
      </c>
      <c r="C48" s="13" t="str">
        <f t="array" ref="C48">IFERROR(INDEX('간병신청대장'!$B:$B,MATCH($B48,'간병신청대장'!$A:$A,0)),"")</f>
        <v>마율하</v>
      </c>
      <c r="D48" s="10" t="s">
        <v>781</v>
      </c>
      <c r="E48" s="10"/>
      <c r="F48" s="10" t="s">
        <v>782</v>
      </c>
      <c r="G48" s="10" t="s">
        <v>197</v>
      </c>
      <c r="H48" s="10" t="s">
        <v>198</v>
      </c>
      <c r="I48" s="10" t="s">
        <v>669</v>
      </c>
      <c r="J48" s="19">
        <v>135000.0</v>
      </c>
      <c r="K48" s="19"/>
      <c r="L48" s="10" t="s">
        <v>783</v>
      </c>
      <c r="M48" s="10" t="s">
        <v>784</v>
      </c>
      <c r="N48" s="13" t="s">
        <v>786</v>
      </c>
    </row>
    <row r="49" ht="15.75" customHeight="1">
      <c r="A49" s="10" t="s">
        <v>787</v>
      </c>
      <c r="B49" s="10" t="s">
        <v>788</v>
      </c>
      <c r="C49" s="13" t="str">
        <f t="array" ref="C49">IFERROR(INDEX('간병신청대장'!$B:$B,MATCH($B49,'간병신청대장'!$A:$A,0)),"")</f>
        <v>문굉순</v>
      </c>
      <c r="D49" s="10" t="s">
        <v>792</v>
      </c>
      <c r="E49" s="10"/>
      <c r="F49" s="10" t="s">
        <v>794</v>
      </c>
      <c r="G49" s="10" t="s">
        <v>795</v>
      </c>
      <c r="H49" s="10" t="s">
        <v>796</v>
      </c>
      <c r="I49" s="10" t="s">
        <v>139</v>
      </c>
      <c r="J49" s="19">
        <v>140000.0</v>
      </c>
      <c r="K49" s="19"/>
      <c r="L49" s="10" t="s">
        <v>797</v>
      </c>
      <c r="M49" s="10" t="s">
        <v>799</v>
      </c>
      <c r="N49" s="13" t="s">
        <v>800</v>
      </c>
    </row>
    <row r="50" ht="15.75" customHeight="1">
      <c r="A50" s="10" t="s">
        <v>801</v>
      </c>
      <c r="B50" s="10" t="s">
        <v>802</v>
      </c>
      <c r="C50" s="13" t="str">
        <f t="array" ref="C50">IFERROR(INDEX('간병신청대장'!$B:$B,MATCH($B50,'간병신청대장'!$A:$A,0)),"")</f>
        <v>이지연</v>
      </c>
      <c r="D50" s="10" t="s">
        <v>806</v>
      </c>
      <c r="E50" s="10"/>
      <c r="F50" s="10" t="s">
        <v>807</v>
      </c>
      <c r="G50" s="10" t="s">
        <v>808</v>
      </c>
      <c r="H50" s="10" t="s">
        <v>809</v>
      </c>
      <c r="I50" s="10" t="s">
        <v>669</v>
      </c>
      <c r="J50" s="19">
        <v>138000.0</v>
      </c>
      <c r="K50" s="19"/>
      <c r="L50" s="10" t="s">
        <v>810</v>
      </c>
      <c r="M50" s="10" t="s">
        <v>811</v>
      </c>
      <c r="N50" s="13" t="s">
        <v>812</v>
      </c>
    </row>
    <row r="51" ht="15.75" customHeight="1">
      <c r="A51" s="10" t="s">
        <v>813</v>
      </c>
      <c r="B51" s="10" t="s">
        <v>814</v>
      </c>
      <c r="C51" s="13" t="str">
        <f t="array" ref="C51">IFERROR(INDEX('간병신청대장'!$B:$B,MATCH($B51,'간병신청대장'!$A:$A,0)),"")</f>
        <v>고원석</v>
      </c>
      <c r="D51" s="10" t="s">
        <v>817</v>
      </c>
      <c r="E51" s="10"/>
      <c r="F51" s="10" t="s">
        <v>818</v>
      </c>
      <c r="G51" s="10" t="s">
        <v>819</v>
      </c>
      <c r="H51" s="10" t="s">
        <v>820</v>
      </c>
      <c r="I51" s="10" t="s">
        <v>139</v>
      </c>
      <c r="J51" s="19"/>
      <c r="K51" s="19"/>
      <c r="L51" s="10" t="s">
        <v>822</v>
      </c>
      <c r="M51" s="10" t="s">
        <v>658</v>
      </c>
      <c r="N51" s="13" t="s">
        <v>824</v>
      </c>
    </row>
    <row r="52" ht="15.75" customHeight="1">
      <c r="A52" s="10" t="s">
        <v>825</v>
      </c>
      <c r="B52" s="10" t="s">
        <v>826</v>
      </c>
      <c r="C52" s="13" t="str">
        <f t="array" ref="C52">IFERROR(INDEX('간병신청대장'!$B:$B,MATCH($B52,'간병신청대장'!$A:$A,0)),"")</f>
        <v>김현철</v>
      </c>
      <c r="D52" s="10" t="s">
        <v>828</v>
      </c>
      <c r="E52" s="10"/>
      <c r="F52" s="10"/>
      <c r="G52" s="10"/>
      <c r="H52" s="10"/>
      <c r="I52" s="10"/>
      <c r="J52" s="19"/>
      <c r="K52" s="19"/>
      <c r="L52" s="10" t="s">
        <v>829</v>
      </c>
      <c r="M52" s="20" t="s">
        <v>830</v>
      </c>
      <c r="N52" s="13"/>
    </row>
    <row r="53" ht="15.75" customHeight="1">
      <c r="A53" s="10" t="s">
        <v>831</v>
      </c>
      <c r="B53" s="10" t="s">
        <v>833</v>
      </c>
      <c r="C53" s="13" t="str">
        <f t="array" ref="C53">IFERROR(INDEX('간병신청대장'!$B:$B,MATCH($B53,'간병신청대장'!$A:$A,0)),"")</f>
        <v>조용운</v>
      </c>
      <c r="D53" s="10" t="s">
        <v>838</v>
      </c>
      <c r="E53" s="10"/>
      <c r="F53" s="10" t="s">
        <v>839</v>
      </c>
      <c r="G53" s="10" t="s">
        <v>840</v>
      </c>
      <c r="H53" s="10" t="s">
        <v>841</v>
      </c>
      <c r="I53" s="10" t="s">
        <v>274</v>
      </c>
      <c r="J53" s="19">
        <v>135000.0</v>
      </c>
      <c r="K53" s="19"/>
      <c r="L53" s="10" t="s">
        <v>842</v>
      </c>
      <c r="M53" s="10" t="s">
        <v>843</v>
      </c>
      <c r="N53" s="13" t="s">
        <v>844</v>
      </c>
    </row>
    <row r="54" ht="15.75" customHeight="1">
      <c r="A54" s="10" t="s">
        <v>845</v>
      </c>
      <c r="B54" s="10" t="s">
        <v>846</v>
      </c>
      <c r="C54" s="13" t="str">
        <f t="array" ref="C54">IFERROR(INDEX('간병신청대장'!$B:$B,MATCH($B54,'간병신청대장'!$A:$A,0)),"")</f>
        <v>조용운</v>
      </c>
      <c r="D54" s="10" t="s">
        <v>378</v>
      </c>
      <c r="E54" s="10"/>
      <c r="F54" s="10" t="s">
        <v>848</v>
      </c>
      <c r="G54" s="10" t="s">
        <v>840</v>
      </c>
      <c r="H54" s="10" t="s">
        <v>841</v>
      </c>
      <c r="I54" s="10" t="s">
        <v>274</v>
      </c>
      <c r="J54" s="19">
        <v>135000.0</v>
      </c>
      <c r="K54" s="19"/>
      <c r="L54" s="10" t="s">
        <v>843</v>
      </c>
      <c r="M54" s="10" t="s">
        <v>850</v>
      </c>
      <c r="N54" s="13" t="s">
        <v>844</v>
      </c>
    </row>
    <row r="55" ht="15.75" customHeight="1">
      <c r="A55" s="10" t="s">
        <v>851</v>
      </c>
      <c r="B55" s="10" t="s">
        <v>852</v>
      </c>
      <c r="C55" s="13" t="str">
        <f t="array" ref="C55">IFERROR(INDEX('간병신청대장'!$B:$B,MATCH($B55,'간병신청대장'!$A:$A,0)),"")</f>
        <v>조용운</v>
      </c>
      <c r="D55" s="10" t="s">
        <v>857</v>
      </c>
      <c r="E55" s="10">
        <v>6508010.0</v>
      </c>
      <c r="F55" s="10" t="s">
        <v>858</v>
      </c>
      <c r="G55" s="10" t="s">
        <v>840</v>
      </c>
      <c r="H55" s="10" t="s">
        <v>841</v>
      </c>
      <c r="I55" s="10" t="s">
        <v>274</v>
      </c>
      <c r="J55" s="19">
        <v>135000.0</v>
      </c>
      <c r="K55" s="19"/>
      <c r="L55" s="10" t="s">
        <v>850</v>
      </c>
      <c r="M55" s="10" t="s">
        <v>859</v>
      </c>
      <c r="N55" s="13" t="s">
        <v>844</v>
      </c>
    </row>
    <row r="56" ht="15.75" customHeight="1">
      <c r="A56" s="10" t="s">
        <v>860</v>
      </c>
      <c r="B56" s="10" t="s">
        <v>861</v>
      </c>
      <c r="C56" s="13" t="str">
        <f t="array" ref="C56">IFERROR(INDEX('간병신청대장'!$B:$B,MATCH($B56,'간병신청대장'!$A:$A,0)),"")</f>
        <v>조용운</v>
      </c>
      <c r="D56" s="10" t="s">
        <v>857</v>
      </c>
      <c r="E56" s="10">
        <v>6508010.0</v>
      </c>
      <c r="F56" s="10" t="s">
        <v>858</v>
      </c>
      <c r="G56" s="10" t="s">
        <v>840</v>
      </c>
      <c r="H56" s="10" t="s">
        <v>841</v>
      </c>
      <c r="I56" s="10" t="s">
        <v>274</v>
      </c>
      <c r="J56" s="19">
        <v>135000.0</v>
      </c>
      <c r="K56" s="19"/>
      <c r="L56" s="10" t="s">
        <v>859</v>
      </c>
      <c r="M56" s="10" t="s">
        <v>705</v>
      </c>
      <c r="N56" s="13" t="s">
        <v>844</v>
      </c>
    </row>
    <row r="57" ht="15.75" customHeight="1">
      <c r="A57" s="10" t="s">
        <v>866</v>
      </c>
      <c r="B57" s="10" t="s">
        <v>867</v>
      </c>
      <c r="C57" s="13" t="str">
        <f t="array" ref="C57">IFERROR(INDEX('간병신청대장'!$B:$B,MATCH($B57,'간병신청대장'!$A:$A,0)),"")</f>
        <v>조용운</v>
      </c>
      <c r="D57" s="10" t="s">
        <v>857</v>
      </c>
      <c r="E57" s="10">
        <v>6508010.0</v>
      </c>
      <c r="F57" s="10" t="s">
        <v>858</v>
      </c>
      <c r="G57" s="10" t="s">
        <v>840</v>
      </c>
      <c r="H57" s="10" t="s">
        <v>841</v>
      </c>
      <c r="I57" s="10" t="s">
        <v>274</v>
      </c>
      <c r="J57" s="19">
        <v>135000.0</v>
      </c>
      <c r="K57" s="19"/>
      <c r="L57" s="10" t="s">
        <v>705</v>
      </c>
      <c r="M57" s="10" t="s">
        <v>872</v>
      </c>
      <c r="N57" s="13" t="s">
        <v>844</v>
      </c>
    </row>
    <row r="58" ht="15.75" customHeight="1">
      <c r="A58" s="10" t="s">
        <v>873</v>
      </c>
      <c r="B58" s="10" t="s">
        <v>874</v>
      </c>
      <c r="C58" s="13" t="str">
        <f t="array" ref="C58">IFERROR(INDEX('간병신청대장'!$B:$B,MATCH($B58,'간병신청대장'!$A:$A,0)),"")</f>
        <v>조용운</v>
      </c>
      <c r="D58" s="10" t="s">
        <v>877</v>
      </c>
      <c r="E58" s="10">
        <v>580407.0</v>
      </c>
      <c r="F58" s="10" t="s">
        <v>878</v>
      </c>
      <c r="G58" s="10" t="s">
        <v>840</v>
      </c>
      <c r="H58" s="10" t="s">
        <v>841</v>
      </c>
      <c r="I58" s="10"/>
      <c r="J58" s="19">
        <v>135000.0</v>
      </c>
      <c r="K58" s="19"/>
      <c r="L58" s="10" t="s">
        <v>872</v>
      </c>
      <c r="M58" s="10" t="s">
        <v>879</v>
      </c>
      <c r="N58" s="13" t="s">
        <v>880</v>
      </c>
    </row>
    <row r="59" ht="15.75" customHeight="1">
      <c r="A59" s="10" t="s">
        <v>881</v>
      </c>
      <c r="B59" s="10" t="s">
        <v>882</v>
      </c>
      <c r="C59" s="13" t="str">
        <f t="array" ref="C59">IFERROR(INDEX('간병신청대장'!$B:$B,MATCH($B59,'간병신청대장'!$A:$A,0)),"")</f>
        <v>이윤정</v>
      </c>
      <c r="D59" s="10" t="s">
        <v>887</v>
      </c>
      <c r="E59" s="10"/>
      <c r="F59" s="10" t="s">
        <v>888</v>
      </c>
      <c r="G59" s="10" t="s">
        <v>92</v>
      </c>
      <c r="H59" s="10"/>
      <c r="I59" s="10" t="s">
        <v>274</v>
      </c>
      <c r="J59" s="19"/>
      <c r="K59" s="19"/>
      <c r="L59" s="10" t="s">
        <v>889</v>
      </c>
      <c r="M59" s="20" t="s">
        <v>890</v>
      </c>
      <c r="N59" s="13"/>
    </row>
    <row r="60" ht="15.75" customHeight="1">
      <c r="A60" s="10" t="s">
        <v>891</v>
      </c>
      <c r="B60" s="10" t="s">
        <v>892</v>
      </c>
      <c r="C60" s="13" t="str">
        <f t="array" ref="C60">IFERROR(INDEX('간병신청대장'!$B:$B,MATCH($B60,'간병신청대장'!$A:$A,0)),"")</f>
        <v>김용신</v>
      </c>
      <c r="D60" s="10" t="s">
        <v>898</v>
      </c>
      <c r="E60" s="10"/>
      <c r="F60" s="10" t="s">
        <v>899</v>
      </c>
      <c r="G60" s="10" t="s">
        <v>92</v>
      </c>
      <c r="H60" s="10"/>
      <c r="I60" s="10" t="s">
        <v>139</v>
      </c>
      <c r="J60" s="19">
        <v>135000.0</v>
      </c>
      <c r="K60" s="19"/>
      <c r="L60" s="10" t="s">
        <v>900</v>
      </c>
      <c r="M60" s="10" t="s">
        <v>901</v>
      </c>
      <c r="N60" s="13" t="s">
        <v>902</v>
      </c>
    </row>
    <row r="61" ht="15.75" customHeight="1">
      <c r="A61" s="10" t="s">
        <v>903</v>
      </c>
      <c r="B61" s="10" t="s">
        <v>904</v>
      </c>
      <c r="C61" s="13" t="str">
        <f t="array" ref="C61">IFERROR(INDEX('간병신청대장'!$B:$B,MATCH($B61,'간병신청대장'!$A:$A,0)),"")</f>
        <v>김용신</v>
      </c>
      <c r="D61" s="10" t="s">
        <v>907</v>
      </c>
      <c r="E61" s="10" t="s">
        <v>908</v>
      </c>
      <c r="F61" s="10" t="s">
        <v>909</v>
      </c>
      <c r="G61" s="10" t="s">
        <v>92</v>
      </c>
      <c r="H61" s="10"/>
      <c r="I61" s="10" t="s">
        <v>139</v>
      </c>
      <c r="J61" s="19">
        <v>135000.0</v>
      </c>
      <c r="K61" s="19"/>
      <c r="L61" s="10" t="s">
        <v>901</v>
      </c>
      <c r="M61" s="10" t="s">
        <v>910</v>
      </c>
      <c r="N61" s="13" t="s">
        <v>911</v>
      </c>
    </row>
    <row r="62" ht="15.75" customHeight="1">
      <c r="A62" s="10" t="s">
        <v>912</v>
      </c>
      <c r="B62" s="10" t="s">
        <v>913</v>
      </c>
      <c r="C62" s="13" t="str">
        <f t="array" ref="C62">IFERROR(INDEX('간병신청대장'!$B:$B,MATCH($B62,'간병신청대장'!$A:$A,0)),"")</f>
        <v>김용신</v>
      </c>
      <c r="D62" s="10" t="s">
        <v>917</v>
      </c>
      <c r="E62" s="10">
        <v>590825.0</v>
      </c>
      <c r="F62" s="10" t="s">
        <v>918</v>
      </c>
      <c r="G62" s="10" t="s">
        <v>621</v>
      </c>
      <c r="H62" s="20" t="s">
        <v>668</v>
      </c>
      <c r="I62" s="10" t="s">
        <v>274</v>
      </c>
      <c r="J62" s="19">
        <v>135000.0</v>
      </c>
      <c r="K62" s="19"/>
      <c r="L62" s="10" t="s">
        <v>919</v>
      </c>
      <c r="M62" s="10" t="s">
        <v>527</v>
      </c>
      <c r="N62" s="13" t="s">
        <v>920</v>
      </c>
    </row>
    <row r="63" ht="15.75" customHeight="1">
      <c r="A63" s="10" t="s">
        <v>922</v>
      </c>
      <c r="B63" s="10" t="s">
        <v>923</v>
      </c>
      <c r="C63" s="13" t="str">
        <f t="array" ref="C63">IFERROR(INDEX('간병신청대장'!$B:$B,MATCH($B63,'간병신청대장'!$A:$A,0)),"")</f>
        <v>김용신</v>
      </c>
      <c r="D63" s="10" t="s">
        <v>930</v>
      </c>
      <c r="E63" s="10">
        <v>590712.0</v>
      </c>
      <c r="F63" s="10" t="s">
        <v>931</v>
      </c>
      <c r="G63" s="10" t="s">
        <v>621</v>
      </c>
      <c r="H63" s="20" t="s">
        <v>932</v>
      </c>
      <c r="I63" s="10"/>
      <c r="J63" s="19">
        <v>135000.0</v>
      </c>
      <c r="K63" s="19"/>
      <c r="L63" s="10" t="s">
        <v>527</v>
      </c>
      <c r="M63" s="10" t="s">
        <v>933</v>
      </c>
      <c r="N63" s="13" t="s">
        <v>920</v>
      </c>
    </row>
    <row r="64" ht="15.75" customHeight="1">
      <c r="A64" s="10" t="s">
        <v>935</v>
      </c>
      <c r="B64" s="10" t="s">
        <v>936</v>
      </c>
      <c r="C64" s="13" t="str">
        <f t="array" ref="C64">IFERROR(INDEX('간병신청대장'!$B:$B,MATCH($B64,'간병신청대장'!$A:$A,0)),"")</f>
        <v>김리아</v>
      </c>
      <c r="D64" s="10" t="s">
        <v>943</v>
      </c>
      <c r="E64" s="10"/>
      <c r="F64" s="10" t="s">
        <v>944</v>
      </c>
      <c r="G64" s="10" t="s">
        <v>92</v>
      </c>
      <c r="H64" s="10"/>
      <c r="I64" s="10" t="s">
        <v>139</v>
      </c>
      <c r="J64" s="19">
        <v>130000.0</v>
      </c>
      <c r="K64" s="19"/>
      <c r="L64" s="10" t="s">
        <v>945</v>
      </c>
      <c r="M64" s="10" t="s">
        <v>946</v>
      </c>
      <c r="N64" s="13" t="s">
        <v>947</v>
      </c>
    </row>
    <row r="65" ht="15.75" customHeight="1">
      <c r="A65" s="10" t="s">
        <v>948</v>
      </c>
      <c r="B65" s="10" t="s">
        <v>949</v>
      </c>
      <c r="C65" s="13" t="str">
        <f t="array" ref="C65">IFERROR(INDEX('간병신청대장'!$B:$B,MATCH($B65,'간병신청대장'!$A:$A,0)),"")</f>
        <v>나재균</v>
      </c>
      <c r="D65" s="10" t="s">
        <v>953</v>
      </c>
      <c r="E65" s="10"/>
      <c r="F65" s="10" t="s">
        <v>954</v>
      </c>
      <c r="G65" s="10" t="s">
        <v>92</v>
      </c>
      <c r="H65" s="10"/>
      <c r="I65" s="10" t="s">
        <v>139</v>
      </c>
      <c r="J65" s="19">
        <v>135000.0</v>
      </c>
      <c r="K65" s="19"/>
      <c r="L65" s="10" t="s">
        <v>955</v>
      </c>
      <c r="M65" s="10" t="s">
        <v>956</v>
      </c>
      <c r="N65" s="13" t="s">
        <v>957</v>
      </c>
    </row>
    <row r="66" ht="15.75" customHeight="1">
      <c r="A66" s="10" t="s">
        <v>958</v>
      </c>
      <c r="B66" s="10" t="s">
        <v>959</v>
      </c>
      <c r="C66" s="13" t="str">
        <f t="array" ref="C66">IFERROR(INDEX('간병신청대장'!$B:$B,MATCH($B66,'간병신청대장'!$A:$A,0)),"")</f>
        <v>안순옥</v>
      </c>
      <c r="D66" s="10" t="s">
        <v>964</v>
      </c>
      <c r="E66" s="10"/>
      <c r="F66" s="10" t="s">
        <v>965</v>
      </c>
      <c r="G66" s="10" t="s">
        <v>92</v>
      </c>
      <c r="H66" s="10"/>
      <c r="I66" s="10"/>
      <c r="J66" s="19"/>
      <c r="K66" s="19"/>
      <c r="L66" s="10" t="s">
        <v>966</v>
      </c>
      <c r="M66" s="20" t="s">
        <v>56</v>
      </c>
      <c r="N66" s="13"/>
    </row>
    <row r="67" ht="15.75" customHeight="1">
      <c r="A67" s="10" t="s">
        <v>967</v>
      </c>
      <c r="B67" s="10" t="s">
        <v>968</v>
      </c>
      <c r="C67" s="13" t="str">
        <f t="array" ref="C67">IFERROR(INDEX('간병신청대장'!$B:$B,MATCH($B67,'간병신청대장'!$A:$A,0)),"")</f>
        <v>최경희</v>
      </c>
      <c r="D67" s="10" t="s">
        <v>971</v>
      </c>
      <c r="E67" s="10" t="s">
        <v>972</v>
      </c>
      <c r="F67" s="10" t="s">
        <v>973</v>
      </c>
      <c r="G67" s="10" t="s">
        <v>974</v>
      </c>
      <c r="H67" s="10"/>
      <c r="I67" s="10" t="s">
        <v>975</v>
      </c>
      <c r="J67" s="19">
        <v>135000.0</v>
      </c>
      <c r="K67" s="19"/>
      <c r="L67" s="10" t="s">
        <v>976</v>
      </c>
      <c r="M67" s="10" t="s">
        <v>977</v>
      </c>
      <c r="N67" s="13" t="s">
        <v>978</v>
      </c>
    </row>
    <row r="68" ht="15.75" customHeight="1">
      <c r="A68" s="10" t="s">
        <v>979</v>
      </c>
      <c r="B68" s="10" t="s">
        <v>980</v>
      </c>
      <c r="C68" s="13" t="str">
        <f t="array" ref="C68">IFERROR(INDEX('간병신청대장'!$B:$B,MATCH($B68,'간병신청대장'!$A:$A,0)),"")</f>
        <v>최경희</v>
      </c>
      <c r="D68" s="10" t="s">
        <v>990</v>
      </c>
      <c r="E68" s="10"/>
      <c r="F68" s="10"/>
      <c r="G68" s="10" t="s">
        <v>992</v>
      </c>
      <c r="H68" s="10" t="s">
        <v>993</v>
      </c>
      <c r="I68" s="10"/>
      <c r="J68" s="19">
        <v>145000.0</v>
      </c>
      <c r="K68" s="19"/>
      <c r="L68" s="10" t="s">
        <v>995</v>
      </c>
      <c r="M68" s="10" t="s">
        <v>996</v>
      </c>
      <c r="N68" s="13" t="s">
        <v>998</v>
      </c>
    </row>
    <row r="69" ht="15.75" customHeight="1">
      <c r="A69" s="10" t="s">
        <v>999</v>
      </c>
      <c r="B69" s="10" t="s">
        <v>1000</v>
      </c>
      <c r="C69" s="13" t="str">
        <f t="array" ref="C69">IFERROR(INDEX('간병신청대장'!$B:$B,MATCH($B69,'간병신청대장'!$A:$A,0)),"")</f>
        <v>최경희</v>
      </c>
      <c r="D69" s="10" t="s">
        <v>1004</v>
      </c>
      <c r="E69" s="10"/>
      <c r="F69" s="10" t="s">
        <v>1005</v>
      </c>
      <c r="G69" s="10" t="s">
        <v>1006</v>
      </c>
      <c r="H69" s="10"/>
      <c r="I69" s="10"/>
      <c r="J69" s="19">
        <v>160000.0</v>
      </c>
      <c r="K69" s="19"/>
      <c r="L69" s="10" t="s">
        <v>1007</v>
      </c>
      <c r="M69" s="10" t="s">
        <v>1008</v>
      </c>
      <c r="N69" s="13" t="s">
        <v>1009</v>
      </c>
    </row>
    <row r="70" ht="15.75" customHeight="1">
      <c r="A70" s="10" t="s">
        <v>1010</v>
      </c>
      <c r="B70" s="10" t="s">
        <v>1011</v>
      </c>
      <c r="C70" s="13" t="str">
        <f t="array" ref="C70">IFERROR(INDEX('간병신청대장'!$B:$B,MATCH($B70,'간병신청대장'!$A:$A,0)),"")</f>
        <v>최경희</v>
      </c>
      <c r="D70" s="10" t="s">
        <v>1016</v>
      </c>
      <c r="E70" s="10"/>
      <c r="F70" s="10" t="s">
        <v>1017</v>
      </c>
      <c r="G70" s="10" t="s">
        <v>1006</v>
      </c>
      <c r="H70" s="10" t="s">
        <v>1018</v>
      </c>
      <c r="I70" s="10"/>
      <c r="J70" s="19">
        <v>160000.0</v>
      </c>
      <c r="K70" s="19"/>
      <c r="L70" s="10" t="s">
        <v>1019</v>
      </c>
      <c r="M70" s="10" t="s">
        <v>1020</v>
      </c>
      <c r="N70" s="13" t="s">
        <v>1021</v>
      </c>
    </row>
    <row r="71" ht="15.75" customHeight="1">
      <c r="A71" s="10" t="s">
        <v>1022</v>
      </c>
      <c r="B71" s="10" t="s">
        <v>1023</v>
      </c>
      <c r="C71" s="13" t="str">
        <f t="array" ref="C71">IFERROR(INDEX('간병신청대장'!$B:$B,MATCH($B71,'간병신청대장'!$A:$A,0)),"")</f>
        <v>최경희</v>
      </c>
      <c r="D71" s="10" t="s">
        <v>1028</v>
      </c>
      <c r="E71" s="10" t="s">
        <v>1029</v>
      </c>
      <c r="F71" s="10" t="s">
        <v>1030</v>
      </c>
      <c r="G71" s="10" t="s">
        <v>1031</v>
      </c>
      <c r="H71" s="10"/>
      <c r="I71" s="10"/>
      <c r="J71" s="19">
        <v>150000.0</v>
      </c>
      <c r="K71" s="19"/>
      <c r="L71" s="10" t="s">
        <v>1032</v>
      </c>
      <c r="M71" s="10" t="s">
        <v>1033</v>
      </c>
      <c r="N71" s="13" t="s">
        <v>1034</v>
      </c>
    </row>
    <row r="72" ht="15.75" customHeight="1">
      <c r="A72" s="10" t="s">
        <v>1035</v>
      </c>
      <c r="B72" s="10" t="s">
        <v>1036</v>
      </c>
      <c r="C72" s="13" t="str">
        <f t="array" ref="C72">IFERROR(INDEX('간병신청대장'!$B:$B,MATCH($B72,'간병신청대장'!$A:$A,0)),"")</f>
        <v>최경희</v>
      </c>
      <c r="D72" s="10" t="s">
        <v>1028</v>
      </c>
      <c r="E72" s="10" t="s">
        <v>1029</v>
      </c>
      <c r="F72" s="10" t="s">
        <v>1030</v>
      </c>
      <c r="G72" s="10" t="s">
        <v>1031</v>
      </c>
      <c r="H72" s="10"/>
      <c r="I72" s="10" t="s">
        <v>1040</v>
      </c>
      <c r="J72" s="19">
        <v>150000.0</v>
      </c>
      <c r="K72" s="19"/>
      <c r="L72" s="10" t="s">
        <v>1033</v>
      </c>
      <c r="M72" s="10"/>
      <c r="N72" s="13" t="s">
        <v>1034</v>
      </c>
    </row>
    <row r="73" ht="15.75" customHeight="1">
      <c r="A73" s="10" t="s">
        <v>1041</v>
      </c>
      <c r="B73" s="10" t="s">
        <v>1042</v>
      </c>
      <c r="C73" s="13" t="str">
        <f t="array" ref="C73">IFERROR(INDEX('간병신청대장'!$B:$B,MATCH($B73,'간병신청대장'!$A:$A,0)),"")</f>
        <v>김옥경</v>
      </c>
      <c r="D73" s="10" t="s">
        <v>828</v>
      </c>
      <c r="E73" s="10"/>
      <c r="F73" s="10"/>
      <c r="G73" s="10" t="s">
        <v>92</v>
      </c>
      <c r="H73" s="10"/>
      <c r="I73" s="10"/>
      <c r="J73" s="19"/>
      <c r="K73" s="19"/>
      <c r="L73" s="10"/>
      <c r="M73" s="10"/>
      <c r="N73" s="13"/>
    </row>
    <row r="74" ht="15.75" customHeight="1">
      <c r="A74" s="10" t="s">
        <v>1044</v>
      </c>
      <c r="B74" s="10" t="s">
        <v>1045</v>
      </c>
      <c r="C74" s="13" t="str">
        <f t="array" ref="C74">IFERROR(INDEX('간병신청대장'!$B:$B,MATCH($B74,'간병신청대장'!$A:$A,0)),"")</f>
        <v>고수연</v>
      </c>
      <c r="D74" s="10" t="s">
        <v>1060</v>
      </c>
      <c r="E74" s="10"/>
      <c r="F74" s="10" t="s">
        <v>1063</v>
      </c>
      <c r="G74" s="10" t="s">
        <v>92</v>
      </c>
      <c r="H74" s="10"/>
      <c r="I74" s="10" t="s">
        <v>274</v>
      </c>
      <c r="J74" s="19"/>
      <c r="K74" s="19"/>
      <c r="L74" s="10" t="s">
        <v>290</v>
      </c>
      <c r="M74" s="20" t="s">
        <v>56</v>
      </c>
      <c r="N74" s="13"/>
    </row>
    <row r="75" ht="15.75" customHeight="1">
      <c r="A75" s="10" t="s">
        <v>1065</v>
      </c>
      <c r="B75" s="10" t="s">
        <v>1066</v>
      </c>
      <c r="C75" s="13" t="str">
        <f t="array" ref="C75">IFERROR(INDEX('간병신청대장'!$B:$B,MATCH($B75,'간병신청대장'!$A:$A,0)),"")</f>
        <v>오영숙</v>
      </c>
      <c r="D75" s="10" t="s">
        <v>1070</v>
      </c>
      <c r="E75" s="10"/>
      <c r="F75" s="10" t="s">
        <v>1072</v>
      </c>
      <c r="G75" s="10" t="s">
        <v>1073</v>
      </c>
      <c r="H75" s="10" t="s">
        <v>1074</v>
      </c>
      <c r="I75" s="10"/>
      <c r="J75" s="19">
        <v>140000.0</v>
      </c>
      <c r="K75" s="19"/>
      <c r="L75" s="10" t="s">
        <v>1075</v>
      </c>
      <c r="M75" s="10" t="s">
        <v>1076</v>
      </c>
      <c r="N75" s="13" t="s">
        <v>1077</v>
      </c>
      <c r="Z75" s="40" t="s">
        <v>161</v>
      </c>
    </row>
    <row r="76" ht="15.75" customHeight="1">
      <c r="A76" s="10" t="s">
        <v>1078</v>
      </c>
      <c r="B76" s="10" t="s">
        <v>1079</v>
      </c>
      <c r="C76" s="13" t="str">
        <f t="array" ref="C76">IFERROR(INDEX('간병신청대장'!$B:$B,MATCH($B76,'간병신청대장'!$A:$A,0)),"")</f>
        <v>지영희</v>
      </c>
      <c r="D76" s="10" t="s">
        <v>1083</v>
      </c>
      <c r="E76" s="10" t="s">
        <v>1084</v>
      </c>
      <c r="F76" s="10" t="s">
        <v>1085</v>
      </c>
      <c r="G76" s="10"/>
      <c r="H76" s="10"/>
      <c r="I76" s="10"/>
      <c r="J76" s="19">
        <v>135000.0</v>
      </c>
      <c r="K76" s="19"/>
      <c r="L76" s="10" t="s">
        <v>1086</v>
      </c>
      <c r="M76" s="10" t="s">
        <v>1087</v>
      </c>
      <c r="N76" s="13" t="s">
        <v>1088</v>
      </c>
    </row>
    <row r="77" ht="15.75" customHeight="1">
      <c r="A77" s="10" t="s">
        <v>1089</v>
      </c>
      <c r="B77" s="10" t="s">
        <v>1090</v>
      </c>
      <c r="C77" s="13" t="str">
        <f t="array" ref="C77">IFERROR(INDEX('간병신청대장'!$B:$B,MATCH($B77,'간병신청대장'!$A:$A,0)),"")</f>
        <v>지영희</v>
      </c>
      <c r="D77" s="10" t="s">
        <v>1095</v>
      </c>
      <c r="E77" s="10"/>
      <c r="F77" s="20" t="s">
        <v>1096</v>
      </c>
      <c r="G77" s="20" t="s">
        <v>139</v>
      </c>
      <c r="H77" s="20" t="s">
        <v>1097</v>
      </c>
      <c r="I77" s="10"/>
      <c r="J77" s="19">
        <v>135000.0</v>
      </c>
      <c r="K77" s="19"/>
      <c r="L77" s="10" t="s">
        <v>1087</v>
      </c>
      <c r="M77" s="10"/>
      <c r="N77" s="13" t="s">
        <v>1098</v>
      </c>
    </row>
    <row r="78" ht="15.75" customHeight="1">
      <c r="A78" s="10" t="s">
        <v>1099</v>
      </c>
      <c r="B78" s="10" t="s">
        <v>1100</v>
      </c>
      <c r="C78" s="13" t="str">
        <f t="array" ref="C78">IFERROR(INDEX('간병신청대장'!$B:$B,MATCH($B78,'간병신청대장'!$A:$A,0)),"")</f>
        <v>조순호</v>
      </c>
      <c r="D78" s="10" t="s">
        <v>1112</v>
      </c>
      <c r="E78" s="10" t="s">
        <v>1113</v>
      </c>
      <c r="F78" s="10" t="s">
        <v>1114</v>
      </c>
      <c r="G78" s="10" t="s">
        <v>92</v>
      </c>
      <c r="H78" s="10"/>
      <c r="I78" s="10"/>
      <c r="J78" s="19">
        <v>140000.0</v>
      </c>
      <c r="K78" s="19"/>
      <c r="L78" s="10" t="s">
        <v>1115</v>
      </c>
      <c r="M78" s="10" t="s">
        <v>1116</v>
      </c>
      <c r="N78" s="13" t="s">
        <v>1117</v>
      </c>
    </row>
    <row r="79" ht="15.75" customHeight="1">
      <c r="A79" s="10" t="s">
        <v>1118</v>
      </c>
      <c r="B79" s="10" t="s">
        <v>1119</v>
      </c>
      <c r="C79" s="13" t="str">
        <f t="array" ref="C79">IFERROR(INDEX('간병신청대장'!$B:$B,MATCH($B79,'간병신청대장'!$A:$A,0)),"")</f>
        <v>김경재</v>
      </c>
      <c r="D79" s="10" t="s">
        <v>1126</v>
      </c>
      <c r="E79" s="10" t="s">
        <v>1127</v>
      </c>
      <c r="F79" s="10" t="s">
        <v>1128</v>
      </c>
      <c r="G79" s="10" t="s">
        <v>1130</v>
      </c>
      <c r="H79" s="10"/>
      <c r="I79" s="10"/>
      <c r="J79" s="19">
        <v>140000.0</v>
      </c>
      <c r="K79" s="19"/>
      <c r="L79" s="10" t="s">
        <v>732</v>
      </c>
      <c r="M79" s="10" t="s">
        <v>1132</v>
      </c>
      <c r="N79" s="13" t="s">
        <v>1134</v>
      </c>
    </row>
    <row r="80" ht="15.75" customHeight="1">
      <c r="A80" s="10" t="s">
        <v>1135</v>
      </c>
      <c r="B80" s="10" t="s">
        <v>1137</v>
      </c>
      <c r="C80" s="13" t="str">
        <f t="array" ref="C80">IFERROR(INDEX('간병신청대장'!$B:$B,MATCH($B80,'간병신청대장'!$A:$A,0)),"")</f>
        <v>최덕순</v>
      </c>
      <c r="D80" s="10" t="s">
        <v>1143</v>
      </c>
      <c r="E80" s="10" t="s">
        <v>1144</v>
      </c>
      <c r="F80" s="10" t="s">
        <v>1145</v>
      </c>
      <c r="G80" s="10" t="s">
        <v>585</v>
      </c>
      <c r="H80" s="10" t="s">
        <v>586</v>
      </c>
      <c r="I80" s="10"/>
      <c r="J80" s="19">
        <v>140000.0</v>
      </c>
      <c r="K80" s="19"/>
      <c r="L80" s="10" t="s">
        <v>1146</v>
      </c>
      <c r="M80" s="10" t="s">
        <v>1147</v>
      </c>
      <c r="N80" s="13" t="s">
        <v>1148</v>
      </c>
    </row>
    <row r="81" ht="15.75" customHeight="1">
      <c r="A81" s="10" t="s">
        <v>1149</v>
      </c>
      <c r="B81" s="10" t="s">
        <v>1150</v>
      </c>
      <c r="C81" s="13" t="str">
        <f t="array" ref="C81">IFERROR(INDEX('간병신청대장'!$B:$B,MATCH($B81,'간병신청대장'!$A:$A,0)),"")</f>
        <v>이영기</v>
      </c>
      <c r="D81" s="10" t="s">
        <v>1153</v>
      </c>
      <c r="E81" s="10"/>
      <c r="F81" s="10" t="s">
        <v>656</v>
      </c>
      <c r="G81" s="10"/>
      <c r="H81" s="10"/>
      <c r="I81" s="10"/>
      <c r="J81" s="19">
        <v>135000.0</v>
      </c>
      <c r="K81" s="19"/>
      <c r="L81" s="10" t="s">
        <v>1155</v>
      </c>
      <c r="M81" s="10" t="s">
        <v>1156</v>
      </c>
      <c r="N81" s="13" t="s">
        <v>659</v>
      </c>
    </row>
    <row r="82" ht="15.75" customHeight="1">
      <c r="A82" s="10" t="s">
        <v>1157</v>
      </c>
      <c r="B82" s="10" t="s">
        <v>1158</v>
      </c>
      <c r="C82" s="13" t="str">
        <f t="array" ref="C82">IFERROR(INDEX('간병신청대장'!$B:$B,MATCH($B82,'간병신청대장'!$A:$A,0)),"")</f>
        <v>정춘영</v>
      </c>
      <c r="D82" s="10" t="s">
        <v>1162</v>
      </c>
      <c r="E82" s="10">
        <v>651030.0</v>
      </c>
      <c r="F82" s="10" t="s">
        <v>1163</v>
      </c>
      <c r="G82" s="10" t="s">
        <v>840</v>
      </c>
      <c r="H82" s="10" t="s">
        <v>841</v>
      </c>
      <c r="I82" s="10"/>
      <c r="J82" s="19">
        <v>130000.0</v>
      </c>
      <c r="K82" s="19"/>
      <c r="L82" s="10" t="s">
        <v>1164</v>
      </c>
      <c r="M82" s="10" t="s">
        <v>1165</v>
      </c>
      <c r="N82" s="13" t="s">
        <v>1166</v>
      </c>
    </row>
    <row r="83" ht="15.75" customHeight="1">
      <c r="A83" s="10" t="s">
        <v>1167</v>
      </c>
      <c r="B83" s="10" t="s">
        <v>1168</v>
      </c>
      <c r="C83" s="13" t="str">
        <f t="array" ref="C83">IFERROR(INDEX('간병신청대장'!$B:$B,MATCH($B83,'간병신청대장'!$A:$A,0)),"")</f>
        <v>김정은</v>
      </c>
      <c r="D83" s="10" t="s">
        <v>1171</v>
      </c>
      <c r="E83" s="10"/>
      <c r="F83" s="10" t="s">
        <v>1172</v>
      </c>
      <c r="G83" s="10" t="s">
        <v>1173</v>
      </c>
      <c r="H83" s="10"/>
      <c r="I83" s="10"/>
      <c r="J83" s="19">
        <v>80000.0</v>
      </c>
      <c r="K83" s="19"/>
      <c r="L83" s="10" t="s">
        <v>1174</v>
      </c>
      <c r="M83" s="10" t="s">
        <v>1175</v>
      </c>
      <c r="N83" s="13" t="s">
        <v>1176</v>
      </c>
    </row>
    <row r="84" ht="15.75" customHeight="1">
      <c r="A84" s="10" t="s">
        <v>1177</v>
      </c>
      <c r="B84" s="10" t="s">
        <v>1178</v>
      </c>
      <c r="C84" s="31" t="s">
        <v>1179</v>
      </c>
      <c r="D84" s="10" t="s">
        <v>1180</v>
      </c>
      <c r="E84" s="10"/>
      <c r="F84" s="10" t="s">
        <v>1181</v>
      </c>
      <c r="G84" s="10" t="s">
        <v>1182</v>
      </c>
      <c r="H84" s="10"/>
      <c r="I84" s="10"/>
      <c r="J84" s="19">
        <v>140000.0</v>
      </c>
      <c r="K84" s="19"/>
      <c r="L84" s="10" t="s">
        <v>1183</v>
      </c>
      <c r="M84" s="20" t="s">
        <v>830</v>
      </c>
      <c r="N84" s="31" t="s">
        <v>1184</v>
      </c>
    </row>
    <row r="85" ht="15.75" customHeight="1">
      <c r="A85" s="10" t="s">
        <v>1185</v>
      </c>
      <c r="B85" s="10" t="s">
        <v>1186</v>
      </c>
      <c r="C85" s="13" t="str">
        <f t="array" ref="C85">IFERROR(INDEX('간병신청대장'!$B:$B,MATCH($B85,'간병신청대장'!$A:$A,0)),"")</f>
        <v>김우현</v>
      </c>
      <c r="D85" s="10" t="s">
        <v>1195</v>
      </c>
      <c r="E85" s="10" t="s">
        <v>1196</v>
      </c>
      <c r="F85" s="10" t="s">
        <v>1197</v>
      </c>
      <c r="G85" s="10" t="s">
        <v>1173</v>
      </c>
      <c r="H85" s="10"/>
      <c r="I85" s="10" t="s">
        <v>139</v>
      </c>
      <c r="J85" s="19">
        <v>135000.0</v>
      </c>
      <c r="K85" s="19"/>
      <c r="L85" s="10" t="s">
        <v>1198</v>
      </c>
      <c r="M85" s="10" t="s">
        <v>1199</v>
      </c>
      <c r="N85" s="13" t="s">
        <v>1200</v>
      </c>
    </row>
    <row r="86" ht="15.75" customHeight="1">
      <c r="A86" s="10" t="s">
        <v>1201</v>
      </c>
      <c r="B86" s="10" t="s">
        <v>1202</v>
      </c>
      <c r="C86" s="13" t="str">
        <f t="array" ref="C86">IFERROR(INDEX('간병신청대장'!$B:$B,MATCH($B86,'간병신청대장'!$A:$A,0)),"")</f>
        <v>이담</v>
      </c>
      <c r="D86" s="10" t="s">
        <v>1205</v>
      </c>
      <c r="E86" s="10"/>
      <c r="F86" s="10"/>
      <c r="G86" s="10"/>
      <c r="H86" s="10"/>
      <c r="I86" s="10"/>
      <c r="J86" s="19">
        <v>135000.0</v>
      </c>
      <c r="K86" s="19"/>
      <c r="L86" s="10" t="s">
        <v>1206</v>
      </c>
      <c r="M86" s="10" t="s">
        <v>1207</v>
      </c>
      <c r="N86" s="13" t="s">
        <v>1208</v>
      </c>
    </row>
    <row r="87" ht="15.75" customHeight="1">
      <c r="A87" s="10" t="s">
        <v>1209</v>
      </c>
      <c r="B87" s="10" t="s">
        <v>1210</v>
      </c>
      <c r="C87" s="13" t="str">
        <f t="array" ref="C87">IFERROR(INDEX('간병신청대장'!$B:$B,MATCH($B87,'간병신청대장'!$A:$A,0)),"")</f>
        <v>김태자</v>
      </c>
      <c r="D87" s="10" t="s">
        <v>1222</v>
      </c>
      <c r="E87" s="10" t="s">
        <v>1223</v>
      </c>
      <c r="F87" s="10" t="s">
        <v>1224</v>
      </c>
      <c r="G87" s="10" t="s">
        <v>621</v>
      </c>
      <c r="H87" s="10" t="s">
        <v>1226</v>
      </c>
      <c r="I87" s="10"/>
      <c r="J87" s="19">
        <v>135000.0</v>
      </c>
      <c r="K87" s="19"/>
      <c r="L87" s="10" t="s">
        <v>1227</v>
      </c>
      <c r="M87" s="10" t="s">
        <v>1228</v>
      </c>
      <c r="N87" s="13" t="s">
        <v>1229</v>
      </c>
    </row>
    <row r="88" ht="15.75" customHeight="1">
      <c r="A88" s="10" t="s">
        <v>1230</v>
      </c>
      <c r="B88" s="10" t="s">
        <v>1231</v>
      </c>
      <c r="C88" s="13" t="str">
        <f t="array" ref="C88">IFERROR(INDEX('간병신청대장'!$B:$B,MATCH($B88,'간병신청대장'!$A:$A,0)),"")</f>
        <v>하덕임</v>
      </c>
      <c r="D88" s="10" t="s">
        <v>1234</v>
      </c>
      <c r="E88" s="10"/>
      <c r="F88" s="10" t="s">
        <v>1236</v>
      </c>
      <c r="G88" s="10" t="s">
        <v>1237</v>
      </c>
      <c r="H88" s="10" t="s">
        <v>1239</v>
      </c>
      <c r="I88" s="10"/>
      <c r="J88" s="19">
        <v>130000.0</v>
      </c>
      <c r="K88" s="19"/>
      <c r="L88" s="10" t="s">
        <v>1240</v>
      </c>
      <c r="M88" s="10" t="s">
        <v>1241</v>
      </c>
      <c r="N88" s="13" t="s">
        <v>1242</v>
      </c>
    </row>
    <row r="89" ht="15.75" customHeight="1">
      <c r="A89" s="10" t="s">
        <v>1243</v>
      </c>
      <c r="B89" s="10" t="s">
        <v>1244</v>
      </c>
      <c r="C89" s="13" t="str">
        <f t="array" ref="C89">IFERROR(INDEX('간병신청대장'!$B:$B,MATCH($B89,'간병신청대장'!$A:$A,0)),"")</f>
        <v>문영해</v>
      </c>
      <c r="D89" s="10" t="s">
        <v>1252</v>
      </c>
      <c r="E89" s="10"/>
      <c r="F89" s="10" t="s">
        <v>1253</v>
      </c>
      <c r="G89" s="10" t="s">
        <v>1254</v>
      </c>
      <c r="H89" s="10" t="s">
        <v>1255</v>
      </c>
      <c r="I89" s="10"/>
      <c r="J89" s="19">
        <v>139500.0</v>
      </c>
      <c r="K89" s="19"/>
      <c r="L89" s="10" t="s">
        <v>1256</v>
      </c>
      <c r="M89" s="20" t="s">
        <v>1257</v>
      </c>
      <c r="N89" s="13" t="s">
        <v>1258</v>
      </c>
    </row>
    <row r="90" ht="15.75" customHeight="1">
      <c r="A90" s="10" t="s">
        <v>1259</v>
      </c>
      <c r="B90" s="10" t="s">
        <v>1260</v>
      </c>
      <c r="C90" s="13" t="str">
        <f t="array" ref="C90">IFERROR(INDEX('간병신청대장'!$B:$B,MATCH($B90,'간병신청대장'!$A:$A,0)),"")</f>
        <v>이정완</v>
      </c>
      <c r="D90" s="10" t="s">
        <v>1263</v>
      </c>
      <c r="E90" s="10"/>
      <c r="F90" s="10" t="s">
        <v>1264</v>
      </c>
      <c r="G90" s="10" t="s">
        <v>197</v>
      </c>
      <c r="H90" s="10" t="s">
        <v>198</v>
      </c>
      <c r="I90" s="10"/>
      <c r="J90" s="19">
        <v>140000.0</v>
      </c>
      <c r="K90" s="19"/>
      <c r="L90" s="10" t="s">
        <v>1266</v>
      </c>
      <c r="M90" s="10" t="s">
        <v>1267</v>
      </c>
      <c r="N90" s="13" t="s">
        <v>1268</v>
      </c>
    </row>
    <row r="91" ht="15.75" customHeight="1">
      <c r="A91" s="10" t="s">
        <v>1269</v>
      </c>
      <c r="B91" s="10" t="s">
        <v>1270</v>
      </c>
      <c r="C91" s="13" t="str">
        <f t="array" ref="C91">IFERROR(INDEX('간병신청대장'!$B:$B,MATCH($B91,'간병신청대장'!$A:$A,0)),"")</f>
        <v>이정완</v>
      </c>
      <c r="D91" s="10" t="s">
        <v>1282</v>
      </c>
      <c r="E91" s="10"/>
      <c r="F91" s="10"/>
      <c r="G91" s="10" t="s">
        <v>197</v>
      </c>
      <c r="H91" s="10" t="s">
        <v>198</v>
      </c>
      <c r="I91" s="10"/>
      <c r="J91" s="19">
        <v>140000.0</v>
      </c>
      <c r="K91" s="19"/>
      <c r="L91" s="10" t="s">
        <v>1267</v>
      </c>
      <c r="M91" s="10" t="s">
        <v>1007</v>
      </c>
      <c r="N91" s="13" t="s">
        <v>1283</v>
      </c>
    </row>
    <row r="92" ht="15.75" customHeight="1">
      <c r="A92" s="10" t="s">
        <v>1285</v>
      </c>
      <c r="B92" s="10" t="s">
        <v>1286</v>
      </c>
      <c r="C92" s="13" t="str">
        <f t="array" ref="C92">IFERROR(INDEX('간병신청대장'!$B:$B,MATCH($B92,'간병신청대장'!$A:$A,0)),"")</f>
        <v>이정완</v>
      </c>
      <c r="D92" s="10" t="s">
        <v>1290</v>
      </c>
      <c r="E92" s="10"/>
      <c r="F92" s="10" t="s">
        <v>1291</v>
      </c>
      <c r="G92" s="10" t="s">
        <v>1293</v>
      </c>
      <c r="H92" s="10" t="s">
        <v>1294</v>
      </c>
      <c r="I92" s="10"/>
      <c r="J92" s="19">
        <v>150000.0</v>
      </c>
      <c r="K92" s="19"/>
      <c r="L92" s="10" t="s">
        <v>1295</v>
      </c>
      <c r="M92" s="10" t="s">
        <v>1296</v>
      </c>
      <c r="N92" s="13" t="s">
        <v>1297</v>
      </c>
    </row>
    <row r="93" ht="15.75" customHeight="1">
      <c r="A93" s="10" t="s">
        <v>1298</v>
      </c>
      <c r="B93" s="10" t="s">
        <v>1299</v>
      </c>
      <c r="C93" s="13" t="str">
        <f t="array" ref="C93">IFERROR(INDEX('간병신청대장'!$B:$B,MATCH($B93,'간병신청대장'!$A:$A,0)),"")</f>
        <v>김창식</v>
      </c>
      <c r="D93" s="10" t="s">
        <v>1162</v>
      </c>
      <c r="E93" s="10">
        <v>651030.0</v>
      </c>
      <c r="F93" s="10" t="s">
        <v>1163</v>
      </c>
      <c r="G93" s="10" t="s">
        <v>840</v>
      </c>
      <c r="H93" s="10" t="s">
        <v>841</v>
      </c>
      <c r="I93" s="10"/>
      <c r="J93" s="19">
        <v>130000.0</v>
      </c>
      <c r="K93" s="19"/>
      <c r="L93" s="10" t="s">
        <v>1309</v>
      </c>
      <c r="M93" s="10" t="s">
        <v>1310</v>
      </c>
      <c r="N93" s="13" t="s">
        <v>1166</v>
      </c>
    </row>
    <row r="94" ht="15.75" customHeight="1">
      <c r="A94" s="10" t="s">
        <v>1312</v>
      </c>
      <c r="B94" s="10" t="s">
        <v>1313</v>
      </c>
      <c r="C94" s="13" t="str">
        <f t="array" ref="C94">IFERROR(INDEX('간병신청대장'!$B:$B,MATCH($B94,'간병신청대장'!$A:$A,0)),"")</f>
        <v>김창식</v>
      </c>
      <c r="D94" s="10" t="s">
        <v>1162</v>
      </c>
      <c r="E94" s="10">
        <v>651030.0</v>
      </c>
      <c r="F94" s="10" t="s">
        <v>1163</v>
      </c>
      <c r="G94" s="10" t="s">
        <v>840</v>
      </c>
      <c r="H94" s="10" t="s">
        <v>841</v>
      </c>
      <c r="I94" s="10"/>
      <c r="J94" s="19">
        <v>130000.0</v>
      </c>
      <c r="K94" s="19"/>
      <c r="L94" s="10" t="s">
        <v>1310</v>
      </c>
      <c r="M94" s="10" t="s">
        <v>1315</v>
      </c>
      <c r="N94" s="13" t="s">
        <v>1166</v>
      </c>
    </row>
    <row r="95" ht="15.75" customHeight="1">
      <c r="A95" s="10" t="s">
        <v>1316</v>
      </c>
      <c r="B95" s="10" t="s">
        <v>1318</v>
      </c>
      <c r="C95" s="13" t="str">
        <f t="array" ref="C95">IFERROR(INDEX('간병신청대장'!$B:$B,MATCH($B95,'간병신청대장'!$A:$A,0)),"")</f>
        <v>손정관</v>
      </c>
      <c r="D95" s="10" t="s">
        <v>1330</v>
      </c>
      <c r="E95" s="10"/>
      <c r="F95" s="10" t="s">
        <v>1331</v>
      </c>
      <c r="G95" s="10" t="s">
        <v>1332</v>
      </c>
      <c r="H95" s="10" t="s">
        <v>1333</v>
      </c>
      <c r="I95" s="10"/>
      <c r="J95" s="19">
        <v>135000.0</v>
      </c>
      <c r="K95" s="19"/>
      <c r="L95" s="10" t="s">
        <v>1334</v>
      </c>
      <c r="M95" s="10" t="s">
        <v>1335</v>
      </c>
      <c r="N95" s="13" t="s">
        <v>1336</v>
      </c>
    </row>
    <row r="96" ht="15.75" customHeight="1">
      <c r="A96" s="10" t="s">
        <v>1337</v>
      </c>
      <c r="B96" s="10" t="s">
        <v>1338</v>
      </c>
      <c r="C96" s="13" t="str">
        <f t="array" ref="C96">IFERROR(INDEX('간병신청대장'!$B:$B,MATCH($B96,'간병신청대장'!$A:$A,0)),"")</f>
        <v>손정관</v>
      </c>
      <c r="D96" s="10" t="s">
        <v>877</v>
      </c>
      <c r="E96" s="10"/>
      <c r="F96" s="10" t="s">
        <v>878</v>
      </c>
      <c r="G96" s="10" t="s">
        <v>840</v>
      </c>
      <c r="H96" s="10" t="s">
        <v>841</v>
      </c>
      <c r="I96" s="10"/>
      <c r="J96" s="19">
        <v>135000.0</v>
      </c>
      <c r="K96" s="19"/>
      <c r="L96" s="10" t="s">
        <v>1335</v>
      </c>
      <c r="M96" s="10" t="s">
        <v>1342</v>
      </c>
      <c r="N96" s="13" t="s">
        <v>880</v>
      </c>
    </row>
    <row r="97" ht="15.75" customHeight="1">
      <c r="A97" s="10" t="s">
        <v>1343</v>
      </c>
      <c r="B97" s="10" t="s">
        <v>1344</v>
      </c>
      <c r="C97" s="13" t="str">
        <f t="array" ref="C97">IFERROR(INDEX('간병신청대장'!$B:$B,MATCH($B97,'간병신청대장'!$A:$A,0)),"")</f>
        <v>고복순</v>
      </c>
      <c r="D97" s="10" t="s">
        <v>806</v>
      </c>
      <c r="E97" s="10"/>
      <c r="F97" s="10" t="s">
        <v>807</v>
      </c>
      <c r="G97" s="10" t="s">
        <v>808</v>
      </c>
      <c r="H97" s="10" t="s">
        <v>809</v>
      </c>
      <c r="I97" s="10"/>
      <c r="J97" s="19">
        <v>138000.0</v>
      </c>
      <c r="K97" s="19"/>
      <c r="L97" s="10" t="s">
        <v>1356</v>
      </c>
      <c r="M97" s="10" t="s">
        <v>696</v>
      </c>
      <c r="N97" s="13" t="s">
        <v>812</v>
      </c>
    </row>
    <row r="98" ht="15.75" customHeight="1">
      <c r="A98" s="10" t="s">
        <v>1357</v>
      </c>
      <c r="B98" s="10" t="s">
        <v>1359</v>
      </c>
      <c r="C98" s="13" t="str">
        <f t="array" ref="C98">IFERROR(INDEX('간병신청대장'!$B:$B,MATCH($B98,'간병신청대장'!$A:$A,0)),"")</f>
        <v>구성란</v>
      </c>
      <c r="D98" s="10" t="s">
        <v>1363</v>
      </c>
      <c r="E98" s="10" t="s">
        <v>1364</v>
      </c>
      <c r="F98" s="10" t="s">
        <v>1365</v>
      </c>
      <c r="G98" s="10"/>
      <c r="H98" s="10"/>
      <c r="I98" s="10"/>
      <c r="J98" s="19">
        <v>135000.0</v>
      </c>
      <c r="K98" s="19"/>
      <c r="L98" s="10" t="s">
        <v>1366</v>
      </c>
      <c r="M98" s="10" t="s">
        <v>1367</v>
      </c>
      <c r="N98" s="13" t="s">
        <v>1368</v>
      </c>
    </row>
    <row r="99" ht="15.75" customHeight="1">
      <c r="A99" s="10" t="s">
        <v>1369</v>
      </c>
      <c r="B99" s="10" t="s">
        <v>1370</v>
      </c>
      <c r="C99" s="13" t="str">
        <f t="array" ref="C99">IFERROR(INDEX('간병신청대장'!$B:$B,MATCH($B99,'간병신청대장'!$A:$A,0)),"")</f>
        <v>구성란</v>
      </c>
      <c r="D99" s="10" t="s">
        <v>1375</v>
      </c>
      <c r="E99" s="10"/>
      <c r="F99" s="20" t="s">
        <v>1376</v>
      </c>
      <c r="G99" s="20" t="s">
        <v>139</v>
      </c>
      <c r="H99" s="10"/>
      <c r="I99" s="10"/>
      <c r="J99" s="19">
        <v>135000.0</v>
      </c>
      <c r="K99" s="19"/>
      <c r="L99" s="10" t="s">
        <v>1367</v>
      </c>
      <c r="M99" s="20" t="s">
        <v>1377</v>
      </c>
      <c r="N99" s="13" t="s">
        <v>1378</v>
      </c>
    </row>
    <row r="100" ht="15.75" customHeight="1">
      <c r="A100" s="10" t="s">
        <v>1379</v>
      </c>
      <c r="B100" s="10" t="s">
        <v>1380</v>
      </c>
      <c r="C100" s="13" t="str">
        <f t="array" ref="C100">IFERROR(INDEX('간병신청대장'!$B:$B,MATCH($B100,'간병신청대장'!$A:$A,0)),"")</f>
        <v>문완모</v>
      </c>
      <c r="D100" s="10" t="s">
        <v>1383</v>
      </c>
      <c r="E100" s="10" t="s">
        <v>1384</v>
      </c>
      <c r="F100" s="10" t="s">
        <v>1385</v>
      </c>
      <c r="G100" s="10" t="s">
        <v>1386</v>
      </c>
      <c r="H100" s="10" t="s">
        <v>1387</v>
      </c>
      <c r="I100" s="10"/>
      <c r="J100" s="19">
        <v>145000.0</v>
      </c>
      <c r="K100" s="19"/>
      <c r="L100" s="10" t="s">
        <v>1388</v>
      </c>
      <c r="M100" s="10" t="s">
        <v>1389</v>
      </c>
      <c r="N100" s="13" t="s">
        <v>1390</v>
      </c>
    </row>
    <row r="101" ht="15.75" customHeight="1">
      <c r="A101" s="10" t="s">
        <v>1391</v>
      </c>
      <c r="B101" s="10" t="s">
        <v>1392</v>
      </c>
      <c r="C101" s="13" t="str">
        <f t="array" ref="C101">IFERROR(INDEX('간병신청대장'!$B:$B,MATCH($B101,'간병신청대장'!$A:$A,0)),"")</f>
        <v>서인화</v>
      </c>
      <c r="D101" s="10" t="s">
        <v>1396</v>
      </c>
      <c r="E101" s="10"/>
      <c r="F101" s="10" t="s">
        <v>1397</v>
      </c>
      <c r="G101" s="10" t="s">
        <v>1237</v>
      </c>
      <c r="H101" s="10"/>
      <c r="I101" s="10"/>
      <c r="J101" s="19">
        <v>130000.0</v>
      </c>
      <c r="K101" s="19"/>
      <c r="L101" s="10" t="s">
        <v>1398</v>
      </c>
      <c r="M101" s="10" t="s">
        <v>1399</v>
      </c>
      <c r="N101" s="13" t="s">
        <v>1400</v>
      </c>
    </row>
    <row r="102" ht="15.75" customHeight="1">
      <c r="A102" s="10" t="s">
        <v>1401</v>
      </c>
      <c r="B102" s="10" t="s">
        <v>1403</v>
      </c>
      <c r="C102" s="13" t="str">
        <f t="array" ref="C102">IFERROR(INDEX('간병신청대장'!$B:$B,MATCH($B102,'간병신청대장'!$A:$A,0)),"")</f>
        <v>김국선</v>
      </c>
      <c r="D102" s="10" t="s">
        <v>1407</v>
      </c>
      <c r="E102" s="10"/>
      <c r="F102" s="10" t="s">
        <v>1408</v>
      </c>
      <c r="G102" s="10" t="s">
        <v>1409</v>
      </c>
      <c r="H102" s="10" t="s">
        <v>1410</v>
      </c>
      <c r="I102" s="10"/>
      <c r="J102" s="19">
        <v>140000.0</v>
      </c>
      <c r="K102" s="19"/>
      <c r="L102" s="10" t="s">
        <v>1411</v>
      </c>
      <c r="M102" s="10" t="s">
        <v>1412</v>
      </c>
      <c r="N102" s="13" t="s">
        <v>1413</v>
      </c>
    </row>
    <row r="103" ht="15.75" customHeight="1">
      <c r="A103" s="10" t="s">
        <v>1414</v>
      </c>
      <c r="B103" s="10" t="s">
        <v>1415</v>
      </c>
      <c r="C103" s="13" t="str">
        <f t="array" ref="C103">IFERROR(INDEX('간병신청대장'!$B:$B,MATCH($B103,'간병신청대장'!$A:$A,0)),"")</f>
        <v>김국선</v>
      </c>
      <c r="D103" s="10" t="s">
        <v>1419</v>
      </c>
      <c r="E103" s="10"/>
      <c r="F103" s="10" t="s">
        <v>1420</v>
      </c>
      <c r="G103" s="10" t="s">
        <v>432</v>
      </c>
      <c r="H103" s="10" t="s">
        <v>1421</v>
      </c>
      <c r="I103" s="10"/>
      <c r="J103" s="19">
        <v>140000.0</v>
      </c>
      <c r="K103" s="19"/>
      <c r="L103" s="10" t="s">
        <v>933</v>
      </c>
      <c r="M103" s="10" t="s">
        <v>1422</v>
      </c>
      <c r="N103" s="13" t="s">
        <v>1423</v>
      </c>
    </row>
    <row r="104" ht="15.75" customHeight="1">
      <c r="A104" s="10" t="s">
        <v>1424</v>
      </c>
      <c r="B104" s="10" t="s">
        <v>1425</v>
      </c>
      <c r="C104" s="13" t="str">
        <f t="array" ref="C104">IFERROR(INDEX('간병신청대장'!$B:$B,MATCH($B104,'간병신청대장'!$A:$A,0)),"")</f>
        <v>김국선</v>
      </c>
      <c r="D104" s="10" t="s">
        <v>1429</v>
      </c>
      <c r="E104" s="10"/>
      <c r="F104" s="10" t="s">
        <v>1430</v>
      </c>
      <c r="G104" s="10" t="s">
        <v>432</v>
      </c>
      <c r="H104" s="10" t="s">
        <v>1421</v>
      </c>
      <c r="I104" s="10"/>
      <c r="J104" s="19">
        <v>140000.0</v>
      </c>
      <c r="K104" s="19"/>
      <c r="L104" s="10" t="s">
        <v>1422</v>
      </c>
      <c r="M104" s="10" t="s">
        <v>1431</v>
      </c>
      <c r="N104" s="13" t="s">
        <v>1432</v>
      </c>
    </row>
    <row r="105" ht="15.75" customHeight="1">
      <c r="A105" s="10" t="s">
        <v>1433</v>
      </c>
      <c r="B105" s="10" t="s">
        <v>1434</v>
      </c>
      <c r="C105" s="13" t="str">
        <f t="array" ref="C105">IFERROR(INDEX('간병신청대장'!$B:$B,MATCH($B105,'간병신청대장'!$A:$A,0)),"")</f>
        <v>김국선</v>
      </c>
      <c r="D105" s="10" t="s">
        <v>1439</v>
      </c>
      <c r="E105" s="10"/>
      <c r="F105" s="10" t="s">
        <v>1440</v>
      </c>
      <c r="G105" s="10" t="s">
        <v>432</v>
      </c>
      <c r="H105" s="10" t="s">
        <v>1421</v>
      </c>
      <c r="I105" s="10"/>
      <c r="J105" s="19">
        <v>140000.0</v>
      </c>
      <c r="K105" s="19"/>
      <c r="L105" s="10" t="s">
        <v>1441</v>
      </c>
      <c r="M105" s="20" t="s">
        <v>1442</v>
      </c>
      <c r="N105" s="31" t="s">
        <v>1443</v>
      </c>
    </row>
    <row r="106" ht="15.75" customHeight="1">
      <c r="A106" s="10" t="s">
        <v>1444</v>
      </c>
      <c r="B106" s="10" t="s">
        <v>1445</v>
      </c>
      <c r="C106" s="13" t="str">
        <f t="array" ref="C106">IFERROR(INDEX('간병신청대장'!$B:$B,MATCH($B106,'간병신청대장'!$A:$A,0)),"")</f>
        <v>임범수</v>
      </c>
      <c r="D106" s="10" t="s">
        <v>1446</v>
      </c>
      <c r="E106" s="10" t="s">
        <v>1447</v>
      </c>
      <c r="F106" s="10" t="s">
        <v>1448</v>
      </c>
      <c r="G106" s="10" t="s">
        <v>1449</v>
      </c>
      <c r="H106" s="10" t="s">
        <v>1450</v>
      </c>
      <c r="I106" s="10"/>
      <c r="J106" s="19">
        <v>150000.0</v>
      </c>
      <c r="K106" s="19"/>
      <c r="L106" s="10" t="s">
        <v>1451</v>
      </c>
      <c r="M106" s="10" t="s">
        <v>1452</v>
      </c>
      <c r="N106" s="13" t="s">
        <v>1453</v>
      </c>
    </row>
    <row r="107" ht="15.75" customHeight="1">
      <c r="A107" s="10" t="s">
        <v>1454</v>
      </c>
      <c r="B107" s="10" t="s">
        <v>1455</v>
      </c>
      <c r="C107" s="13" t="str">
        <f t="array" ref="C107">IFERROR(INDEX('간병신청대장'!$B:$B,MATCH($B107,'간병신청대장'!$A:$A,0)),"")</f>
        <v>최경자</v>
      </c>
      <c r="D107" s="10" t="s">
        <v>1462</v>
      </c>
      <c r="E107" s="10" t="s">
        <v>1463</v>
      </c>
      <c r="F107" s="10" t="s">
        <v>1464</v>
      </c>
      <c r="G107" s="10" t="s">
        <v>621</v>
      </c>
      <c r="H107" s="10" t="s">
        <v>668</v>
      </c>
      <c r="I107" s="10"/>
      <c r="J107" s="19">
        <v>135000.0</v>
      </c>
      <c r="K107" s="19"/>
      <c r="L107" s="10" t="s">
        <v>1465</v>
      </c>
      <c r="M107" s="10" t="s">
        <v>1466</v>
      </c>
      <c r="N107" s="13" t="s">
        <v>1467</v>
      </c>
    </row>
    <row r="108" ht="15.75" customHeight="1">
      <c r="A108" s="10" t="s">
        <v>1468</v>
      </c>
      <c r="B108" s="10" t="s">
        <v>1469</v>
      </c>
      <c r="C108" s="13" t="str">
        <f t="array" ref="C108">IFERROR(INDEX('간병신청대장'!$B:$B,MATCH($B108,'간병신청대장'!$A:$A,0)),"")</f>
        <v>차상옥</v>
      </c>
      <c r="D108" s="10" t="s">
        <v>1263</v>
      </c>
      <c r="E108" s="10"/>
      <c r="F108" s="10" t="s">
        <v>1264</v>
      </c>
      <c r="G108" s="10" t="s">
        <v>1293</v>
      </c>
      <c r="H108" s="10" t="s">
        <v>181</v>
      </c>
      <c r="I108" s="10"/>
      <c r="J108" s="19">
        <v>140000.0</v>
      </c>
      <c r="K108" s="19"/>
      <c r="L108" s="10" t="s">
        <v>1472</v>
      </c>
      <c r="M108" s="10" t="s">
        <v>1473</v>
      </c>
      <c r="N108" s="13" t="s">
        <v>1474</v>
      </c>
    </row>
    <row r="109" ht="15.75" customHeight="1">
      <c r="A109" s="10" t="s">
        <v>1475</v>
      </c>
      <c r="B109" s="10" t="s">
        <v>1476</v>
      </c>
      <c r="C109" s="13" t="str">
        <f t="array" ref="C109">IFERROR(INDEX('간병신청대장'!$B:$B,MATCH($B109,'간병신청대장'!$A:$A,0)),"")</f>
        <v>차상옥</v>
      </c>
      <c r="D109" s="10" t="s">
        <v>1488</v>
      </c>
      <c r="E109" s="10"/>
      <c r="F109" s="10" t="s">
        <v>1489</v>
      </c>
      <c r="G109" s="10" t="s">
        <v>1490</v>
      </c>
      <c r="H109" s="10"/>
      <c r="I109" s="10"/>
      <c r="J109" s="19">
        <v>140000.0</v>
      </c>
      <c r="K109" s="19"/>
      <c r="L109" s="10" t="s">
        <v>1491</v>
      </c>
      <c r="M109" s="10" t="s">
        <v>1492</v>
      </c>
      <c r="N109" s="13" t="s">
        <v>1283</v>
      </c>
    </row>
    <row r="110" ht="15.75" customHeight="1">
      <c r="A110" s="10" t="s">
        <v>1493</v>
      </c>
      <c r="B110" s="10" t="s">
        <v>1494</v>
      </c>
      <c r="C110" s="13" t="str">
        <f t="array" ref="C110">IFERROR(INDEX('간병신청대장'!$B:$B,MATCH($B110,'간병신청대장'!$A:$A,0)),"")</f>
        <v>차상옥</v>
      </c>
      <c r="D110" s="10" t="s">
        <v>1180</v>
      </c>
      <c r="E110" s="10"/>
      <c r="F110" s="10" t="s">
        <v>1181</v>
      </c>
      <c r="G110" s="10"/>
      <c r="H110" s="10"/>
      <c r="I110" s="10"/>
      <c r="J110" s="19">
        <v>140000.0</v>
      </c>
      <c r="K110" s="19"/>
      <c r="L110" s="10" t="s">
        <v>1499</v>
      </c>
      <c r="M110" s="10" t="s">
        <v>1500</v>
      </c>
      <c r="N110" s="13" t="s">
        <v>1501</v>
      </c>
    </row>
    <row r="111" ht="15.75" customHeight="1">
      <c r="A111" s="10" t="s">
        <v>1502</v>
      </c>
      <c r="B111" s="10" t="s">
        <v>1503</v>
      </c>
      <c r="C111" s="13" t="str">
        <f t="array" ref="C111">IFERROR(INDEX('간병신청대장'!$B:$B,MATCH($B111,'간병신청대장'!$A:$A,0)),"")</f>
        <v/>
      </c>
      <c r="D111" s="10" t="s">
        <v>522</v>
      </c>
      <c r="E111" s="10" t="s">
        <v>523</v>
      </c>
      <c r="F111" s="10" t="s">
        <v>524</v>
      </c>
      <c r="G111" s="10"/>
      <c r="H111" s="10"/>
      <c r="I111" s="10"/>
      <c r="J111" s="19"/>
      <c r="K111" s="19"/>
      <c r="L111" s="10"/>
      <c r="M111" s="10"/>
      <c r="N111" s="13"/>
    </row>
    <row r="112" ht="15.75" customHeight="1">
      <c r="A112" s="10" t="s">
        <v>1516</v>
      </c>
      <c r="B112" s="10" t="s">
        <v>1517</v>
      </c>
      <c r="C112" s="13" t="str">
        <f t="array" ref="C112">IFERROR(INDEX('간병신청대장'!$B:$B,MATCH($B112,'간병신청대장'!$A:$A,0)),"")</f>
        <v>김막례</v>
      </c>
      <c r="D112" s="10" t="s">
        <v>1521</v>
      </c>
      <c r="E112" s="10"/>
      <c r="F112" s="10" t="s">
        <v>1522</v>
      </c>
      <c r="G112" s="10" t="s">
        <v>1523</v>
      </c>
      <c r="H112" s="10" t="s">
        <v>1524</v>
      </c>
      <c r="I112" s="10"/>
      <c r="J112" s="19">
        <v>130000.0</v>
      </c>
      <c r="K112" s="19"/>
      <c r="L112" s="10" t="s">
        <v>1525</v>
      </c>
      <c r="M112" s="10" t="s">
        <v>1526</v>
      </c>
      <c r="N112" s="13" t="s">
        <v>1527</v>
      </c>
    </row>
    <row r="113" ht="15.75" customHeight="1">
      <c r="A113" s="10" t="s">
        <v>1528</v>
      </c>
      <c r="B113" s="10" t="s">
        <v>1529</v>
      </c>
      <c r="C113" s="13" t="str">
        <f t="array" ref="C113">IFERROR(INDEX('간병신청대장'!$B:$B,MATCH($B113,'간병신청대장'!$A:$A,0)),"")</f>
        <v>이재철</v>
      </c>
      <c r="D113" s="10" t="s">
        <v>1543</v>
      </c>
      <c r="E113" s="10" t="s">
        <v>1544</v>
      </c>
      <c r="F113" s="10"/>
      <c r="G113" s="10" t="s">
        <v>1545</v>
      </c>
      <c r="H113" s="10" t="s">
        <v>1546</v>
      </c>
      <c r="I113" s="10"/>
      <c r="J113" s="19">
        <v>130000.0</v>
      </c>
      <c r="K113" s="19"/>
      <c r="L113" s="10" t="s">
        <v>1547</v>
      </c>
      <c r="M113" s="10" t="s">
        <v>1548</v>
      </c>
      <c r="N113" s="13" t="s">
        <v>1549</v>
      </c>
    </row>
    <row r="114" ht="15.75" customHeight="1">
      <c r="A114" s="10" t="s">
        <v>1550</v>
      </c>
      <c r="B114" s="10" t="s">
        <v>1551</v>
      </c>
      <c r="C114" s="13" t="str">
        <f t="array" ref="C114">IFERROR(INDEX('간병신청대장'!$B:$B,MATCH($B114,'간병신청대장'!$A:$A,0)),"")</f>
        <v>이재철</v>
      </c>
      <c r="D114" s="10" t="s">
        <v>1555</v>
      </c>
      <c r="E114" s="10"/>
      <c r="F114" s="10" t="s">
        <v>1556</v>
      </c>
      <c r="G114" s="10" t="s">
        <v>1545</v>
      </c>
      <c r="H114" s="10" t="s">
        <v>1546</v>
      </c>
      <c r="I114" s="10"/>
      <c r="J114" s="19">
        <v>140000.0</v>
      </c>
      <c r="K114" s="19"/>
      <c r="L114" s="10" t="s">
        <v>1548</v>
      </c>
      <c r="M114" s="10"/>
      <c r="N114" s="13" t="s">
        <v>1557</v>
      </c>
    </row>
    <row r="115" ht="15.75" customHeight="1">
      <c r="A115" s="10" t="s">
        <v>1558</v>
      </c>
      <c r="B115" s="10" t="s">
        <v>1559</v>
      </c>
      <c r="C115" s="13" t="str">
        <f t="array" ref="C115">IFERROR(INDEX('간병신청대장'!$B:$B,MATCH($B115,'간병신청대장'!$A:$A,0)),"")</f>
        <v>지창호</v>
      </c>
      <c r="D115" s="10" t="s">
        <v>1569</v>
      </c>
      <c r="E115" s="10"/>
      <c r="F115" s="10" t="s">
        <v>1570</v>
      </c>
      <c r="G115" s="10" t="s">
        <v>714</v>
      </c>
      <c r="H115" s="10" t="s">
        <v>715</v>
      </c>
      <c r="I115" s="10"/>
      <c r="J115" s="19">
        <v>140000.0</v>
      </c>
      <c r="K115" s="19"/>
      <c r="L115" s="10" t="s">
        <v>1571</v>
      </c>
      <c r="M115" s="10" t="s">
        <v>1572</v>
      </c>
      <c r="N115" s="13" t="s">
        <v>1573</v>
      </c>
    </row>
    <row r="116" ht="15.75" customHeight="1">
      <c r="A116" s="10" t="s">
        <v>1575</v>
      </c>
      <c r="B116" s="10" t="s">
        <v>1576</v>
      </c>
      <c r="C116" s="13" t="str">
        <f t="array" ref="C116">IFERROR(INDEX('간병신청대장'!$B:$B,MATCH($B116,'간병신청대장'!$A:$A,0)),"")</f>
        <v>박수미</v>
      </c>
      <c r="D116" s="10" t="s">
        <v>1578</v>
      </c>
      <c r="E116" s="10"/>
      <c r="F116" s="10" t="s">
        <v>1579</v>
      </c>
      <c r="G116" s="10" t="s">
        <v>92</v>
      </c>
      <c r="H116" s="10"/>
      <c r="I116" s="10"/>
      <c r="J116" s="19"/>
      <c r="K116" s="19"/>
      <c r="L116" s="10" t="s">
        <v>1580</v>
      </c>
      <c r="M116" s="10" t="s">
        <v>1581</v>
      </c>
      <c r="N116" s="13"/>
    </row>
    <row r="117" ht="15.75" customHeight="1">
      <c r="A117" s="10" t="s">
        <v>1582</v>
      </c>
      <c r="B117" s="10" t="s">
        <v>1583</v>
      </c>
      <c r="C117" s="13" t="str">
        <f t="array" ref="C117">IFERROR(INDEX('간병신청대장'!$B:$B,MATCH($B117,'간병신청대장'!$A:$A,0)),"")</f>
        <v>이상수</v>
      </c>
      <c r="D117" s="10" t="s">
        <v>1593</v>
      </c>
      <c r="E117" s="10"/>
      <c r="F117" s="10" t="s">
        <v>1594</v>
      </c>
      <c r="G117" s="10" t="s">
        <v>1595</v>
      </c>
      <c r="H117" s="10" t="s">
        <v>1596</v>
      </c>
      <c r="I117" s="10"/>
      <c r="J117" s="19">
        <v>139000.0</v>
      </c>
      <c r="K117" s="19"/>
      <c r="L117" s="10" t="s">
        <v>1597</v>
      </c>
      <c r="M117" s="10" t="s">
        <v>1598</v>
      </c>
      <c r="N117" s="13" t="s">
        <v>1599</v>
      </c>
    </row>
    <row r="118" ht="15.75" customHeight="1">
      <c r="A118" s="10" t="s">
        <v>1600</v>
      </c>
      <c r="B118" s="10" t="s">
        <v>1601</v>
      </c>
      <c r="C118" s="13" t="str">
        <f t="array" ref="C118">IFERROR(INDEX('간병신청대장'!$B:$B,MATCH($B118,'간병신청대장'!$A:$A,0)),"")</f>
        <v>박주희</v>
      </c>
      <c r="D118" s="10" t="s">
        <v>1605</v>
      </c>
      <c r="E118" s="10"/>
      <c r="F118" s="10" t="s">
        <v>1606</v>
      </c>
      <c r="G118" s="10" t="s">
        <v>1607</v>
      </c>
      <c r="H118" s="10"/>
      <c r="I118" s="10"/>
      <c r="J118" s="19">
        <v>140000.0</v>
      </c>
      <c r="K118" s="19"/>
      <c r="L118" s="10" t="s">
        <v>1608</v>
      </c>
      <c r="M118" s="10" t="s">
        <v>1609</v>
      </c>
      <c r="N118" s="13" t="s">
        <v>1610</v>
      </c>
    </row>
    <row r="119" ht="15.75" customHeight="1">
      <c r="A119" s="10" t="s">
        <v>1611</v>
      </c>
      <c r="B119" s="10" t="s">
        <v>1612</v>
      </c>
      <c r="C119" s="13" t="str">
        <f t="array" ref="C119">IFERROR(INDEX('간병신청대장'!$B:$B,MATCH($B119,'간병신청대장'!$A:$A,0)),"")</f>
        <v>박주희</v>
      </c>
      <c r="D119" s="10" t="s">
        <v>1623</v>
      </c>
      <c r="E119" s="10"/>
      <c r="F119" s="10" t="s">
        <v>1624</v>
      </c>
      <c r="G119" s="10"/>
      <c r="H119" s="10"/>
      <c r="I119" s="10"/>
      <c r="J119" s="19">
        <v>140000.0</v>
      </c>
      <c r="K119" s="19"/>
      <c r="L119" s="10" t="s">
        <v>1625</v>
      </c>
      <c r="M119" s="10" t="s">
        <v>1626</v>
      </c>
      <c r="N119" s="13" t="s">
        <v>1627</v>
      </c>
    </row>
    <row r="120" ht="15.75" customHeight="1">
      <c r="A120" s="10" t="s">
        <v>1628</v>
      </c>
      <c r="B120" s="10" t="s">
        <v>1629</v>
      </c>
      <c r="C120" s="13" t="str">
        <f t="array" ref="C120">IFERROR(INDEX('간병신청대장'!$B:$B,MATCH($B120,'간병신청대장'!$A:$A,0)),"")</f>
        <v>박주희</v>
      </c>
      <c r="D120" s="10" t="s">
        <v>1633</v>
      </c>
      <c r="E120" s="10"/>
      <c r="F120" s="10" t="s">
        <v>1634</v>
      </c>
      <c r="G120" s="10" t="s">
        <v>92</v>
      </c>
      <c r="H120" s="10"/>
      <c r="I120" s="10"/>
      <c r="J120" s="19">
        <v>130000.0</v>
      </c>
      <c r="K120" s="19"/>
      <c r="L120" s="10" t="s">
        <v>1635</v>
      </c>
      <c r="M120" s="10" t="s">
        <v>1636</v>
      </c>
      <c r="N120" s="13" t="s">
        <v>1637</v>
      </c>
    </row>
    <row r="121" ht="15.75" customHeight="1">
      <c r="A121" s="10" t="s">
        <v>1638</v>
      </c>
      <c r="B121" s="10" t="s">
        <v>1639</v>
      </c>
      <c r="C121" s="13" t="str">
        <f t="array" ref="C121">IFERROR(INDEX('간병신청대장'!$B:$B,MATCH($B121,'간병신청대장'!$A:$A,0)),"")</f>
        <v>박주희</v>
      </c>
      <c r="D121" s="10" t="s">
        <v>1643</v>
      </c>
      <c r="E121" s="10"/>
      <c r="F121" s="10" t="s">
        <v>1644</v>
      </c>
      <c r="G121" s="10" t="s">
        <v>1645</v>
      </c>
      <c r="H121" s="10"/>
      <c r="I121" s="10"/>
      <c r="J121" s="19">
        <v>135000.0</v>
      </c>
      <c r="K121" s="19"/>
      <c r="L121" s="10" t="s">
        <v>790</v>
      </c>
      <c r="M121" s="10" t="s">
        <v>1646</v>
      </c>
      <c r="N121" s="13" t="s">
        <v>1647</v>
      </c>
    </row>
    <row r="122" ht="15.75" customHeight="1">
      <c r="A122" s="10" t="s">
        <v>1648</v>
      </c>
      <c r="B122" s="10" t="s">
        <v>1649</v>
      </c>
      <c r="C122" s="13" t="str">
        <f t="array" ref="C122">IFERROR(INDEX('간병신청대장'!$B:$B,MATCH($B122,'간병신청대장'!$A:$A,0)),"")</f>
        <v>박주희</v>
      </c>
      <c r="D122" s="10" t="s">
        <v>1653</v>
      </c>
      <c r="E122" s="10"/>
      <c r="F122" s="10" t="s">
        <v>1654</v>
      </c>
      <c r="G122" s="10"/>
      <c r="H122" s="10"/>
      <c r="I122" s="10"/>
      <c r="J122" s="19">
        <v>135000.0</v>
      </c>
      <c r="K122" s="19"/>
      <c r="L122" s="10" t="s">
        <v>1646</v>
      </c>
      <c r="M122" s="10" t="s">
        <v>1655</v>
      </c>
      <c r="N122" s="13" t="s">
        <v>1656</v>
      </c>
    </row>
    <row r="123" ht="15.75" customHeight="1">
      <c r="A123" s="10" t="s">
        <v>1657</v>
      </c>
      <c r="B123" s="10" t="s">
        <v>1658</v>
      </c>
      <c r="C123" s="13" t="str">
        <f t="array" ref="C123">IFERROR(INDEX('간병신청대장'!$B:$B,MATCH($B123,'간병신청대장'!$A:$A,0)),"")</f>
        <v>박은희</v>
      </c>
      <c r="D123" s="10" t="s">
        <v>1662</v>
      </c>
      <c r="E123" s="10"/>
      <c r="F123" s="10" t="s">
        <v>1663</v>
      </c>
      <c r="G123" s="10" t="s">
        <v>1073</v>
      </c>
      <c r="H123" s="10"/>
      <c r="I123" s="10" t="s">
        <v>139</v>
      </c>
      <c r="J123" s="19">
        <v>156000.0</v>
      </c>
      <c r="K123" s="19"/>
      <c r="L123" s="10" t="s">
        <v>1664</v>
      </c>
      <c r="M123" s="10" t="s">
        <v>1666</v>
      </c>
      <c r="N123" s="13" t="s">
        <v>1667</v>
      </c>
    </row>
    <row r="124" ht="15.75" customHeight="1">
      <c r="A124" s="10" t="s">
        <v>1669</v>
      </c>
      <c r="B124" s="10" t="s">
        <v>1670</v>
      </c>
      <c r="C124" s="13" t="str">
        <f t="array" ref="C124">IFERROR(INDEX('간병신청대장'!$B:$B,MATCH($B124,'간병신청대장'!$A:$A,0)),"")</f>
        <v>박은희</v>
      </c>
      <c r="D124" s="10" t="s">
        <v>1671</v>
      </c>
      <c r="E124" s="10"/>
      <c r="F124" s="10" t="s">
        <v>1672</v>
      </c>
      <c r="G124" s="10" t="s">
        <v>139</v>
      </c>
      <c r="H124" s="10"/>
      <c r="I124" s="10"/>
      <c r="J124" s="19">
        <v>140000.0</v>
      </c>
      <c r="K124" s="19"/>
      <c r="L124" s="10" t="s">
        <v>1673</v>
      </c>
      <c r="M124" s="10" t="s">
        <v>1674</v>
      </c>
      <c r="N124" s="13" t="s">
        <v>1675</v>
      </c>
    </row>
    <row r="125" ht="15.75" customHeight="1">
      <c r="A125" s="10" t="s">
        <v>1676</v>
      </c>
      <c r="B125" s="10" t="s">
        <v>1678</v>
      </c>
      <c r="C125" s="13" t="str">
        <f t="array" ref="C125">IFERROR(INDEX('간병신청대장'!$B:$B,MATCH($B125,'간병신청대장'!$A:$A,0)),"")</f>
        <v>박은희</v>
      </c>
      <c r="D125" s="10" t="s">
        <v>1671</v>
      </c>
      <c r="E125" s="10"/>
      <c r="F125" s="10" t="s">
        <v>1672</v>
      </c>
      <c r="G125" s="10" t="s">
        <v>139</v>
      </c>
      <c r="H125" s="10"/>
      <c r="I125" s="10"/>
      <c r="J125" s="19">
        <v>140000.0</v>
      </c>
      <c r="K125" s="19"/>
      <c r="L125" s="10" t="s">
        <v>1681</v>
      </c>
      <c r="M125" s="10" t="s">
        <v>1682</v>
      </c>
      <c r="N125" s="13" t="s">
        <v>1675</v>
      </c>
    </row>
    <row r="126" ht="15.75" customHeight="1">
      <c r="A126" s="10" t="s">
        <v>1683</v>
      </c>
      <c r="B126" s="10" t="s">
        <v>1684</v>
      </c>
      <c r="C126" s="13" t="str">
        <f t="array" ref="C126">IFERROR(INDEX('간병신청대장'!$B:$B,MATCH($B126,'간병신청대장'!$A:$A,0)),"")</f>
        <v>박은희</v>
      </c>
      <c r="D126" s="10" t="s">
        <v>1688</v>
      </c>
      <c r="E126" s="10"/>
      <c r="F126" s="10" t="s">
        <v>1689</v>
      </c>
      <c r="G126" s="10"/>
      <c r="H126" s="10"/>
      <c r="I126" s="10"/>
      <c r="J126" s="19">
        <v>140000.0</v>
      </c>
      <c r="K126" s="19"/>
      <c r="L126" s="10" t="s">
        <v>1682</v>
      </c>
      <c r="M126" s="10" t="s">
        <v>1690</v>
      </c>
      <c r="N126" s="13" t="s">
        <v>1467</v>
      </c>
    </row>
    <row r="127" ht="15.75" customHeight="1">
      <c r="A127" s="10" t="s">
        <v>1691</v>
      </c>
      <c r="B127" s="10" t="s">
        <v>1692</v>
      </c>
      <c r="C127" s="13" t="str">
        <f t="array" ref="C127">IFERROR(INDEX('간병신청대장'!$B:$B,MATCH($B127,'간병신청대장'!$A:$A,0)),"")</f>
        <v>박은희</v>
      </c>
      <c r="D127" s="10" t="s">
        <v>1671</v>
      </c>
      <c r="E127" s="10"/>
      <c r="F127" s="10" t="s">
        <v>1672</v>
      </c>
      <c r="G127" s="10" t="s">
        <v>139</v>
      </c>
      <c r="H127" s="10"/>
      <c r="I127" s="10"/>
      <c r="J127" s="19">
        <v>140000.0</v>
      </c>
      <c r="K127" s="19"/>
      <c r="L127" s="10" t="s">
        <v>1690</v>
      </c>
      <c r="M127" s="10" t="s">
        <v>1694</v>
      </c>
      <c r="N127" s="13" t="s">
        <v>1675</v>
      </c>
    </row>
    <row r="128" ht="15.75" customHeight="1">
      <c r="A128" s="10" t="s">
        <v>1695</v>
      </c>
      <c r="B128" s="10" t="s">
        <v>1696</v>
      </c>
      <c r="C128" s="13" t="str">
        <f t="array" ref="C128">IFERROR(INDEX('간병신청대장'!$B:$B,MATCH($B128,'간병신청대장'!$A:$A,0)),"")</f>
        <v>지영순</v>
      </c>
      <c r="D128" s="10" t="s">
        <v>1700</v>
      </c>
      <c r="E128" s="10" t="s">
        <v>1701</v>
      </c>
      <c r="F128" s="10" t="s">
        <v>1702</v>
      </c>
      <c r="G128" s="10" t="s">
        <v>621</v>
      </c>
      <c r="H128" s="10" t="s">
        <v>668</v>
      </c>
      <c r="I128" s="10"/>
      <c r="J128" s="19">
        <v>135000.0</v>
      </c>
      <c r="K128" s="19"/>
      <c r="L128" s="10" t="s">
        <v>933</v>
      </c>
      <c r="M128" s="10" t="s">
        <v>1703</v>
      </c>
      <c r="N128" s="13" t="s">
        <v>1704</v>
      </c>
    </row>
    <row r="129" ht="15.75" customHeight="1">
      <c r="A129" s="10" t="s">
        <v>1705</v>
      </c>
      <c r="B129" s="10" t="s">
        <v>1707</v>
      </c>
      <c r="C129" s="13" t="str">
        <f t="array" ref="C129">IFERROR(INDEX('간병신청대장'!$B:$B,MATCH($B129,'간병신청대장'!$A:$A,0)),"")</f>
        <v>최재식</v>
      </c>
      <c r="D129" s="10" t="s">
        <v>1710</v>
      </c>
      <c r="E129" s="10"/>
      <c r="F129" s="10" t="s">
        <v>1711</v>
      </c>
      <c r="G129" s="10" t="s">
        <v>1073</v>
      </c>
      <c r="H129" s="10" t="s">
        <v>1074</v>
      </c>
      <c r="I129" s="10"/>
      <c r="J129" s="19">
        <v>140000.0</v>
      </c>
      <c r="K129" s="19"/>
      <c r="L129" s="10" t="s">
        <v>1712</v>
      </c>
      <c r="M129" s="10" t="s">
        <v>1713</v>
      </c>
      <c r="N129" s="13" t="s">
        <v>1714</v>
      </c>
    </row>
    <row r="130" ht="15.75" customHeight="1">
      <c r="A130" s="10" t="s">
        <v>1716</v>
      </c>
      <c r="B130" s="10" t="s">
        <v>1717</v>
      </c>
      <c r="C130" s="13" t="str">
        <f t="array" ref="C130">IFERROR(INDEX('간병신청대장'!$B:$B,MATCH($B130,'간병신청대장'!$A:$A,0)),"")</f>
        <v>김의웅</v>
      </c>
      <c r="D130" s="10" t="s">
        <v>1719</v>
      </c>
      <c r="E130" s="10"/>
      <c r="F130" s="10" t="s">
        <v>1720</v>
      </c>
      <c r="G130" s="10" t="s">
        <v>1409</v>
      </c>
      <c r="H130" s="10" t="s">
        <v>1410</v>
      </c>
      <c r="I130" s="10"/>
      <c r="J130" s="19">
        <v>140000.0</v>
      </c>
      <c r="K130" s="19"/>
      <c r="L130" s="10" t="s">
        <v>1722</v>
      </c>
      <c r="M130" s="10" t="s">
        <v>1723</v>
      </c>
      <c r="N130" s="13" t="s">
        <v>1413</v>
      </c>
    </row>
    <row r="131" ht="15.75" customHeight="1">
      <c r="A131" s="10" t="s">
        <v>1724</v>
      </c>
      <c r="B131" s="10" t="s">
        <v>1725</v>
      </c>
      <c r="C131" s="13" t="str">
        <f t="array" ref="C131">IFERROR(INDEX('간병신청대장'!$B:$B,MATCH($B131,'간병신청대장'!$A:$A,0)),"")</f>
        <v>이정혜</v>
      </c>
      <c r="D131" s="10" t="s">
        <v>1728</v>
      </c>
      <c r="E131" s="10"/>
      <c r="F131" s="10" t="s">
        <v>1729</v>
      </c>
      <c r="G131" s="10" t="s">
        <v>1730</v>
      </c>
      <c r="H131" s="10" t="s">
        <v>715</v>
      </c>
      <c r="I131" s="10"/>
      <c r="J131" s="19">
        <v>135000.0</v>
      </c>
      <c r="K131" s="19"/>
      <c r="L131" s="10" t="s">
        <v>1731</v>
      </c>
      <c r="M131" s="10" t="s">
        <v>1732</v>
      </c>
      <c r="N131" s="13" t="s">
        <v>1733</v>
      </c>
    </row>
    <row r="132" ht="15.75" customHeight="1">
      <c r="A132" s="10" t="s">
        <v>1735</v>
      </c>
      <c r="B132" s="10" t="s">
        <v>1737</v>
      </c>
      <c r="C132" s="13" t="str">
        <f t="array" ref="C132">IFERROR(INDEX('간병신청대장'!$B:$B,MATCH($B132,'간병신청대장'!$A:$A,0)),"")</f>
        <v>김수지</v>
      </c>
      <c r="D132" s="10" t="s">
        <v>1740</v>
      </c>
      <c r="E132" s="10"/>
      <c r="F132" s="10" t="s">
        <v>1741</v>
      </c>
      <c r="G132" s="10" t="s">
        <v>1742</v>
      </c>
      <c r="H132" s="10"/>
      <c r="I132" s="10"/>
      <c r="J132" s="19"/>
      <c r="K132" s="19"/>
      <c r="L132" s="10" t="s">
        <v>1743</v>
      </c>
      <c r="M132" s="10" t="s">
        <v>1743</v>
      </c>
      <c r="N132" s="13" t="s">
        <v>1744</v>
      </c>
    </row>
    <row r="133" ht="15.75" customHeight="1">
      <c r="A133" s="10" t="s">
        <v>1746</v>
      </c>
      <c r="B133" s="10" t="s">
        <v>1747</v>
      </c>
      <c r="C133" s="13" t="str">
        <f t="array" ref="C133">IFERROR(INDEX('간병신청대장'!$B:$B,MATCH($B133,'간병신청대장'!$A:$A,0)),"")</f>
        <v>김수지</v>
      </c>
      <c r="D133" s="10" t="s">
        <v>1740</v>
      </c>
      <c r="E133" s="10"/>
      <c r="F133" s="10" t="s">
        <v>1741</v>
      </c>
      <c r="G133" s="10"/>
      <c r="H133" s="10"/>
      <c r="I133" s="10"/>
      <c r="J133" s="19"/>
      <c r="K133" s="19"/>
      <c r="L133" s="10" t="s">
        <v>1753</v>
      </c>
      <c r="M133" s="10" t="s">
        <v>1754</v>
      </c>
      <c r="N133" s="13" t="s">
        <v>1744</v>
      </c>
    </row>
    <row r="134" ht="15.75" customHeight="1">
      <c r="A134" s="10" t="s">
        <v>1756</v>
      </c>
      <c r="B134" s="10" t="s">
        <v>1757</v>
      </c>
      <c r="C134" s="13" t="str">
        <f t="array" ref="C134">IFERROR(INDEX('간병신청대장'!$B:$B,MATCH($B134,'간병신청대장'!$A:$A,0)),"")</f>
        <v>조선미</v>
      </c>
      <c r="D134" s="10" t="s">
        <v>1769</v>
      </c>
      <c r="E134" s="10"/>
      <c r="F134" s="10" t="s">
        <v>1770</v>
      </c>
      <c r="G134" s="10" t="s">
        <v>808</v>
      </c>
      <c r="H134" s="10"/>
      <c r="I134" s="10"/>
      <c r="J134" s="19">
        <v>138000.0</v>
      </c>
      <c r="K134" s="19"/>
      <c r="L134" s="10" t="s">
        <v>1771</v>
      </c>
      <c r="M134" s="10" t="s">
        <v>1772</v>
      </c>
      <c r="N134" s="13" t="s">
        <v>812</v>
      </c>
    </row>
    <row r="135" ht="15.75" customHeight="1">
      <c r="A135" s="10" t="s">
        <v>1773</v>
      </c>
      <c r="B135" s="10" t="s">
        <v>1774</v>
      </c>
      <c r="C135" s="13" t="str">
        <f t="array" ref="C135">IFERROR(INDEX('간병신청대장'!$B:$B,MATCH($B135,'간병신청대장'!$A:$A,0)),"")</f>
        <v>이향주</v>
      </c>
      <c r="D135" s="10" t="s">
        <v>1780</v>
      </c>
      <c r="E135" s="10"/>
      <c r="F135" s="10" t="s">
        <v>1782</v>
      </c>
      <c r="G135" s="10" t="s">
        <v>1784</v>
      </c>
      <c r="H135" s="10"/>
      <c r="I135" s="10"/>
      <c r="J135" s="19">
        <v>130000.0</v>
      </c>
      <c r="K135" s="19"/>
      <c r="L135" s="10" t="s">
        <v>1785</v>
      </c>
      <c r="M135" s="20" t="s">
        <v>1786</v>
      </c>
      <c r="N135" s="13" t="s">
        <v>1787</v>
      </c>
    </row>
    <row r="136" ht="15.75" customHeight="1">
      <c r="A136" s="10" t="s">
        <v>1788</v>
      </c>
      <c r="B136" s="10" t="s">
        <v>1789</v>
      </c>
      <c r="C136" s="13" t="str">
        <f t="array" ref="C136">IFERROR(INDEX('간병신청대장'!$B:$B,MATCH($B136,'간병신청대장'!$A:$A,0)),"")</f>
        <v>김금례</v>
      </c>
      <c r="D136" s="10" t="s">
        <v>1793</v>
      </c>
      <c r="E136" s="10"/>
      <c r="F136" s="10" t="s">
        <v>1794</v>
      </c>
      <c r="G136" s="10" t="s">
        <v>621</v>
      </c>
      <c r="H136" s="10"/>
      <c r="I136" s="10"/>
      <c r="J136" s="19">
        <v>130000.0</v>
      </c>
      <c r="K136" s="19"/>
      <c r="L136" s="10" t="s">
        <v>1732</v>
      </c>
      <c r="M136" s="10" t="s">
        <v>1795</v>
      </c>
      <c r="N136" s="13" t="s">
        <v>1467</v>
      </c>
    </row>
    <row r="137" ht="15.75" customHeight="1">
      <c r="A137" s="10" t="s">
        <v>1796</v>
      </c>
      <c r="B137" s="10" t="s">
        <v>1797</v>
      </c>
      <c r="C137" s="13" t="str">
        <f t="array" ref="C137">IFERROR(INDEX('간병신청대장'!$B:$B,MATCH($B137,'간병신청대장'!$A:$A,0)),"")</f>
        <v>김정은</v>
      </c>
      <c r="D137" s="10" t="s">
        <v>1171</v>
      </c>
      <c r="E137" s="10"/>
      <c r="F137" s="10" t="s">
        <v>1172</v>
      </c>
      <c r="G137" s="10" t="s">
        <v>1173</v>
      </c>
      <c r="H137" s="10"/>
      <c r="I137" s="10"/>
      <c r="J137" s="19"/>
      <c r="K137" s="19"/>
      <c r="L137" s="10" t="s">
        <v>1810</v>
      </c>
      <c r="M137" s="10" t="s">
        <v>1811</v>
      </c>
      <c r="N137" s="13"/>
    </row>
    <row r="138" ht="15.75" customHeight="1">
      <c r="A138" s="10" t="s">
        <v>1812</v>
      </c>
      <c r="B138" s="10" t="s">
        <v>1813</v>
      </c>
      <c r="C138" s="13" t="str">
        <f t="array" ref="C138">IFERROR(INDEX('간병신청대장'!$B:$B,MATCH($B138,'간병신청대장'!$A:$A,0)),"")</f>
        <v>최묘진</v>
      </c>
      <c r="D138" s="10" t="s">
        <v>1815</v>
      </c>
      <c r="E138" s="10"/>
      <c r="F138" s="10" t="s">
        <v>1816</v>
      </c>
      <c r="G138" s="10" t="s">
        <v>92</v>
      </c>
      <c r="H138" s="10"/>
      <c r="I138" s="10"/>
      <c r="J138" s="19">
        <v>135000.0</v>
      </c>
      <c r="K138" s="19"/>
      <c r="L138" s="10" t="s">
        <v>1819</v>
      </c>
      <c r="M138" s="10" t="s">
        <v>1820</v>
      </c>
      <c r="N138" s="13" t="s">
        <v>1822</v>
      </c>
    </row>
    <row r="139" ht="15.75" customHeight="1">
      <c r="A139" s="10" t="s">
        <v>1824</v>
      </c>
      <c r="B139" s="10" t="s">
        <v>1825</v>
      </c>
      <c r="C139" s="13" t="str">
        <f t="array" ref="C139">IFERROR(INDEX('간병신청대장'!$B:$B,MATCH($B139,'간병신청대장'!$A:$A,0)),"")</f>
        <v>전복순</v>
      </c>
      <c r="D139" s="10" t="s">
        <v>1827</v>
      </c>
      <c r="E139" s="10"/>
      <c r="F139" s="10" t="s">
        <v>1828</v>
      </c>
      <c r="G139" s="10" t="s">
        <v>1173</v>
      </c>
      <c r="H139" s="10"/>
      <c r="I139" s="10"/>
      <c r="J139" s="19">
        <v>150000.0</v>
      </c>
      <c r="K139" s="19"/>
      <c r="L139" s="10" t="s">
        <v>1830</v>
      </c>
      <c r="M139" s="10" t="s">
        <v>1831</v>
      </c>
      <c r="N139" s="13" t="s">
        <v>1832</v>
      </c>
    </row>
    <row r="140" ht="15.75" customHeight="1">
      <c r="A140" s="10" t="s">
        <v>1833</v>
      </c>
      <c r="B140" s="10" t="s">
        <v>1834</v>
      </c>
      <c r="C140" s="13" t="str">
        <f t="array" ref="C140">IFERROR(INDEX('간병신청대장'!$B:$B,MATCH($B140,'간병신청대장'!$A:$A,0)),"")</f>
        <v>남정숙</v>
      </c>
      <c r="D140" s="10" t="s">
        <v>1838</v>
      </c>
      <c r="E140" s="10"/>
      <c r="F140" s="10" t="s">
        <v>1839</v>
      </c>
      <c r="G140" s="10" t="s">
        <v>1840</v>
      </c>
      <c r="H140" s="10"/>
      <c r="I140" s="10"/>
      <c r="J140" s="19">
        <v>140000.0</v>
      </c>
      <c r="K140" s="19"/>
      <c r="L140" s="10" t="s">
        <v>1841</v>
      </c>
      <c r="M140" s="10" t="s">
        <v>1842</v>
      </c>
      <c r="N140" s="13" t="s">
        <v>1843</v>
      </c>
    </row>
    <row r="141" ht="15.75" customHeight="1">
      <c r="A141" s="10" t="s">
        <v>1844</v>
      </c>
      <c r="B141" s="10" t="s">
        <v>1845</v>
      </c>
      <c r="C141" s="13" t="str">
        <f t="array" ref="C141">IFERROR(INDEX('간병신청대장'!$B:$B,MATCH($B141,'간병신청대장'!$A:$A,0)),"")</f>
        <v>남정숙</v>
      </c>
      <c r="D141" s="10" t="s">
        <v>1838</v>
      </c>
      <c r="E141" s="10"/>
      <c r="F141" s="10" t="s">
        <v>1839</v>
      </c>
      <c r="G141" s="10" t="s">
        <v>1840</v>
      </c>
      <c r="H141" s="10"/>
      <c r="I141" s="10"/>
      <c r="J141" s="19">
        <v>140000.0</v>
      </c>
      <c r="K141" s="19"/>
      <c r="L141" s="10" t="s">
        <v>1848</v>
      </c>
      <c r="M141" s="10" t="s">
        <v>1849</v>
      </c>
      <c r="N141" s="13" t="s">
        <v>1843</v>
      </c>
    </row>
    <row r="142" ht="15.75" customHeight="1">
      <c r="A142" s="10" t="s">
        <v>1850</v>
      </c>
      <c r="B142" s="10" t="s">
        <v>1851</v>
      </c>
      <c r="C142" s="13" t="str">
        <f t="array" ref="C142">IFERROR(INDEX('간병신청대장'!$B:$B,MATCH($B142,'간병신청대장'!$A:$A,0)),"")</f>
        <v>남정숙</v>
      </c>
      <c r="D142" s="10" t="s">
        <v>1853</v>
      </c>
      <c r="E142" s="10"/>
      <c r="F142" s="10" t="s">
        <v>1854</v>
      </c>
      <c r="G142" s="10" t="s">
        <v>1855</v>
      </c>
      <c r="H142" s="10"/>
      <c r="I142" s="10"/>
      <c r="J142" s="19">
        <v>140000.0</v>
      </c>
      <c r="K142" s="19"/>
      <c r="L142" s="10" t="s">
        <v>1856</v>
      </c>
      <c r="M142" s="10" t="s">
        <v>1857</v>
      </c>
      <c r="N142" s="13" t="s">
        <v>1858</v>
      </c>
    </row>
    <row r="143" ht="15.75" customHeight="1">
      <c r="A143" s="10" t="s">
        <v>1859</v>
      </c>
      <c r="B143" s="10" t="s">
        <v>1860</v>
      </c>
      <c r="C143" s="13" t="str">
        <f t="array" ref="C143">IFERROR(INDEX('간병신청대장'!$B:$B,MATCH($B143,'간병신청대장'!$A:$A,0)),"")</f>
        <v>김임순</v>
      </c>
      <c r="D143" s="10" t="s">
        <v>1863</v>
      </c>
      <c r="E143" s="10"/>
      <c r="F143" s="10" t="s">
        <v>1864</v>
      </c>
      <c r="G143" s="10" t="s">
        <v>1865</v>
      </c>
      <c r="H143" s="10" t="s">
        <v>1866</v>
      </c>
      <c r="I143" s="10"/>
      <c r="J143" s="19">
        <v>150000.0</v>
      </c>
      <c r="K143" s="19"/>
      <c r="L143" s="10" t="s">
        <v>1867</v>
      </c>
      <c r="M143" s="10" t="s">
        <v>1868</v>
      </c>
      <c r="N143" s="13" t="s">
        <v>1869</v>
      </c>
    </row>
    <row r="144" ht="15.75" customHeight="1">
      <c r="A144" s="10" t="s">
        <v>1870</v>
      </c>
      <c r="B144" s="10" t="s">
        <v>1871</v>
      </c>
      <c r="C144" s="13" t="str">
        <f t="array" ref="C144">IFERROR(INDEX('간병신청대장'!$B:$B,MATCH($B144,'간병신청대장'!$A:$A,0)),"")</f>
        <v>방혜영</v>
      </c>
      <c r="D144" s="10" t="s">
        <v>1875</v>
      </c>
      <c r="E144" s="10"/>
      <c r="F144" s="10" t="s">
        <v>1876</v>
      </c>
      <c r="G144" s="10" t="s">
        <v>92</v>
      </c>
      <c r="H144" s="10"/>
      <c r="I144" s="10"/>
      <c r="J144" s="19">
        <v>140000.0</v>
      </c>
      <c r="K144" s="19"/>
      <c r="L144" s="10" t="s">
        <v>1877</v>
      </c>
      <c r="M144" s="10" t="s">
        <v>1878</v>
      </c>
      <c r="N144" s="13" t="s">
        <v>1879</v>
      </c>
    </row>
    <row r="145" ht="15.75" customHeight="1">
      <c r="A145" s="10" t="s">
        <v>1880</v>
      </c>
      <c r="B145" s="10" t="s">
        <v>1881</v>
      </c>
      <c r="C145" s="13" t="str">
        <f t="array" ref="C145">IFERROR(INDEX('간병신청대장'!$B:$B,MATCH($B145,'간병신청대장'!$A:$A,0)),"")</f>
        <v>리나 LINA</v>
      </c>
      <c r="D145" s="10" t="s">
        <v>1882</v>
      </c>
      <c r="E145" s="10"/>
      <c r="F145" s="10" t="s">
        <v>1883</v>
      </c>
      <c r="G145" s="10"/>
      <c r="H145" s="10"/>
      <c r="I145" s="10"/>
      <c r="J145" s="19">
        <v>140000.0</v>
      </c>
      <c r="K145" s="19"/>
      <c r="L145" s="10" t="s">
        <v>1884</v>
      </c>
      <c r="M145" s="10" t="s">
        <v>1885</v>
      </c>
      <c r="N145" s="13" t="s">
        <v>1886</v>
      </c>
    </row>
    <row r="146" ht="15.75" customHeight="1">
      <c r="A146" s="10" t="s">
        <v>1887</v>
      </c>
      <c r="B146" s="10" t="s">
        <v>1888</v>
      </c>
      <c r="C146" s="13" t="str">
        <f t="array" ref="C146">IFERROR(INDEX('간병신청대장'!$B:$B,MATCH($B146,'간병신청대장'!$A:$A,0)),"")</f>
        <v>유수분</v>
      </c>
      <c r="D146" s="20" t="s">
        <v>1891</v>
      </c>
      <c r="E146" s="10" t="s">
        <v>1892</v>
      </c>
      <c r="F146" s="10" t="s">
        <v>1893</v>
      </c>
      <c r="G146" s="10" t="s">
        <v>1855</v>
      </c>
      <c r="H146" s="10"/>
      <c r="I146" s="10"/>
      <c r="J146" s="19">
        <v>130000.0</v>
      </c>
      <c r="K146" s="19"/>
      <c r="L146" s="10" t="s">
        <v>1895</v>
      </c>
      <c r="M146" s="10"/>
      <c r="N146" s="13" t="s">
        <v>1896</v>
      </c>
    </row>
    <row r="147" ht="15.75" customHeight="1">
      <c r="A147" s="10" t="s">
        <v>1898</v>
      </c>
      <c r="B147" s="10" t="s">
        <v>1900</v>
      </c>
      <c r="C147" s="13" t="str">
        <f t="array" ref="C147">IFERROR(INDEX('간병신청대장'!$B:$B,MATCH($B147,'간병신청대장'!$A:$A,0)),"")</f>
        <v>송영록</v>
      </c>
      <c r="D147" s="10" t="s">
        <v>1907</v>
      </c>
      <c r="E147" s="10"/>
      <c r="F147" s="10" t="s">
        <v>1908</v>
      </c>
      <c r="G147" s="10" t="s">
        <v>621</v>
      </c>
      <c r="H147" s="10"/>
      <c r="I147" s="10"/>
      <c r="J147" s="19">
        <v>135000.0</v>
      </c>
      <c r="K147" s="19"/>
      <c r="L147" s="10" t="s">
        <v>1909</v>
      </c>
      <c r="M147" s="10" t="s">
        <v>1910</v>
      </c>
      <c r="N147" s="13" t="s">
        <v>1467</v>
      </c>
    </row>
    <row r="148" ht="15.75" customHeight="1">
      <c r="A148" s="10" t="s">
        <v>1912</v>
      </c>
      <c r="B148" s="10" t="s">
        <v>1913</v>
      </c>
      <c r="C148" s="13" t="str">
        <f t="array" ref="C148">IFERROR(INDEX('간병신청대장'!$B:$B,MATCH($B148,'간병신청대장'!$A:$A,0)),"")</f>
        <v>김덕순</v>
      </c>
      <c r="D148" s="10" t="s">
        <v>1923</v>
      </c>
      <c r="E148" s="10"/>
      <c r="F148" s="10" t="s">
        <v>1924</v>
      </c>
      <c r="G148" s="10" t="s">
        <v>1925</v>
      </c>
      <c r="H148" s="10"/>
      <c r="I148" s="10"/>
      <c r="J148" s="19">
        <v>144000.0</v>
      </c>
      <c r="K148" s="19"/>
      <c r="L148" s="10" t="s">
        <v>1926</v>
      </c>
      <c r="M148" s="10" t="s">
        <v>1927</v>
      </c>
      <c r="N148" s="13" t="s">
        <v>1928</v>
      </c>
    </row>
    <row r="149" ht="15.75" customHeight="1">
      <c r="A149" s="10" t="s">
        <v>1929</v>
      </c>
      <c r="B149" s="10" t="s">
        <v>1930</v>
      </c>
      <c r="C149" s="13" t="str">
        <f t="array" ref="C149">IFERROR(INDEX('간병신청대장'!$B:$B,MATCH($B149,'간병신청대장'!$A:$A,0)),"")</f>
        <v>이담</v>
      </c>
      <c r="D149" s="10" t="s">
        <v>1932</v>
      </c>
      <c r="E149" s="10"/>
      <c r="F149" s="10" t="s">
        <v>1933</v>
      </c>
      <c r="G149" s="10" t="s">
        <v>1386</v>
      </c>
      <c r="H149" s="10" t="s">
        <v>1387</v>
      </c>
      <c r="I149" s="10"/>
      <c r="J149" s="19">
        <v>140000.0</v>
      </c>
      <c r="K149" s="19"/>
      <c r="L149" s="10" t="s">
        <v>1934</v>
      </c>
      <c r="M149" s="10" t="s">
        <v>1935</v>
      </c>
      <c r="N149" s="13" t="s">
        <v>1936</v>
      </c>
    </row>
    <row r="150" ht="15.75" customHeight="1">
      <c r="A150" s="10" t="s">
        <v>1938</v>
      </c>
      <c r="B150" s="10" t="s">
        <v>1939</v>
      </c>
      <c r="C150" s="13" t="str">
        <f t="array" ref="C150">IFERROR(INDEX('간병신청대장'!$B:$B,MATCH($B150,'간병신청대장'!$A:$A,0)),"")</f>
        <v>이담</v>
      </c>
      <c r="D150" s="10" t="s">
        <v>1941</v>
      </c>
      <c r="E150" s="10"/>
      <c r="F150" s="10" t="s">
        <v>1933</v>
      </c>
      <c r="G150" s="10" t="s">
        <v>1386</v>
      </c>
      <c r="H150" s="10"/>
      <c r="I150" s="10"/>
      <c r="J150" s="19">
        <v>140000.0</v>
      </c>
      <c r="K150" s="19"/>
      <c r="L150" s="10" t="s">
        <v>1942</v>
      </c>
      <c r="M150" s="10" t="s">
        <v>1943</v>
      </c>
      <c r="N150" s="13" t="s">
        <v>1936</v>
      </c>
    </row>
    <row r="151" ht="15.75" customHeight="1">
      <c r="A151" s="10" t="s">
        <v>1945</v>
      </c>
      <c r="B151" s="10" t="s">
        <v>1946</v>
      </c>
      <c r="C151" s="13" t="str">
        <f t="array" ref="C151">IFERROR(INDEX('간병신청대장'!$B:$B,MATCH($B151,'간병신청대장'!$A:$A,0)),"")</f>
        <v>김영호</v>
      </c>
      <c r="D151" s="10" t="s">
        <v>1958</v>
      </c>
      <c r="E151" s="10"/>
      <c r="F151" s="10" t="s">
        <v>1959</v>
      </c>
      <c r="G151" s="10" t="s">
        <v>92</v>
      </c>
      <c r="H151" s="10"/>
      <c r="I151" s="10"/>
      <c r="J151" s="19">
        <v>150000.0</v>
      </c>
      <c r="K151" s="19"/>
      <c r="L151" s="10" t="s">
        <v>142</v>
      </c>
      <c r="M151" s="10" t="s">
        <v>1960</v>
      </c>
      <c r="N151" s="13" t="s">
        <v>1961</v>
      </c>
    </row>
    <row r="152" ht="15.75" customHeight="1">
      <c r="A152" s="10" t="s">
        <v>1962</v>
      </c>
      <c r="B152" s="10" t="s">
        <v>1963</v>
      </c>
      <c r="C152" s="13" t="str">
        <f t="array" ref="C152">IFERROR(INDEX('간병신청대장'!$B:$B,MATCH($B152,'간병신청대장'!$A:$A,0)),"")</f>
        <v>김원섭</v>
      </c>
      <c r="D152" s="10" t="s">
        <v>1966</v>
      </c>
      <c r="E152" s="10"/>
      <c r="F152" s="10" t="s">
        <v>1967</v>
      </c>
      <c r="G152" s="10" t="s">
        <v>1968</v>
      </c>
      <c r="H152" s="10"/>
      <c r="I152" s="10"/>
      <c r="J152" s="19">
        <v>150000.0</v>
      </c>
      <c r="K152" s="19"/>
      <c r="L152" s="10" t="s">
        <v>1969</v>
      </c>
      <c r="M152" s="10" t="s">
        <v>1910</v>
      </c>
      <c r="N152" s="13" t="s">
        <v>1970</v>
      </c>
    </row>
    <row r="153" ht="15.75" customHeight="1">
      <c r="A153" s="10" t="s">
        <v>1971</v>
      </c>
      <c r="B153" s="10" t="s">
        <v>1972</v>
      </c>
      <c r="C153" s="13" t="str">
        <f t="array" ref="C153">IFERROR(INDEX('간병신청대장'!$B:$B,MATCH($B153,'간병신청대장'!$A:$A,0)),"")</f>
        <v>조현숙</v>
      </c>
      <c r="D153" s="10" t="s">
        <v>1983</v>
      </c>
      <c r="E153" s="10"/>
      <c r="F153" s="10" t="s">
        <v>1984</v>
      </c>
      <c r="G153" s="10" t="s">
        <v>1855</v>
      </c>
      <c r="H153" s="10"/>
      <c r="I153" s="10"/>
      <c r="J153" s="19">
        <v>135000.0</v>
      </c>
      <c r="K153" s="19"/>
      <c r="L153" s="10" t="s">
        <v>1985</v>
      </c>
      <c r="M153" s="10" t="s">
        <v>458</v>
      </c>
      <c r="N153" s="13" t="s">
        <v>1986</v>
      </c>
    </row>
    <row r="154" ht="15.75" customHeight="1">
      <c r="A154" s="10" t="s">
        <v>1987</v>
      </c>
      <c r="B154" s="10" t="s">
        <v>1988</v>
      </c>
      <c r="C154" s="13" t="str">
        <f t="array" ref="C154">IFERROR(INDEX('간병신청대장'!$B:$B,MATCH($B154,'간병신청대장'!$A:$A,0)),"")</f>
        <v>조현숙</v>
      </c>
      <c r="D154" s="10" t="s">
        <v>1990</v>
      </c>
      <c r="E154" s="10"/>
      <c r="F154" s="10" t="s">
        <v>1991</v>
      </c>
      <c r="G154" s="10"/>
      <c r="H154" s="10"/>
      <c r="I154" s="10"/>
      <c r="J154" s="19">
        <v>135000.0</v>
      </c>
      <c r="K154" s="19"/>
      <c r="L154" s="10" t="s">
        <v>1993</v>
      </c>
      <c r="M154" s="10" t="s">
        <v>1994</v>
      </c>
      <c r="N154" s="13" t="s">
        <v>1986</v>
      </c>
    </row>
    <row r="155" ht="15.75" customHeight="1">
      <c r="A155" s="10" t="s">
        <v>1995</v>
      </c>
      <c r="B155" s="10" t="s">
        <v>1996</v>
      </c>
      <c r="C155" s="13" t="str">
        <f t="array" ref="C155">IFERROR(INDEX('간병신청대장'!$B:$B,MATCH($B155,'간병신청대장'!$A:$A,0)),"")</f>
        <v>박정숙</v>
      </c>
      <c r="D155" s="10" t="s">
        <v>1998</v>
      </c>
      <c r="E155" s="10"/>
      <c r="F155" s="10" t="s">
        <v>1999</v>
      </c>
      <c r="G155" s="10" t="s">
        <v>2000</v>
      </c>
      <c r="H155" s="10" t="s">
        <v>1333</v>
      </c>
      <c r="I155" s="10"/>
      <c r="J155" s="19">
        <v>130000.0</v>
      </c>
      <c r="K155" s="19"/>
      <c r="L155" s="10" t="s">
        <v>2002</v>
      </c>
      <c r="M155" s="10" t="s">
        <v>2003</v>
      </c>
      <c r="N155" s="13" t="s">
        <v>2004</v>
      </c>
    </row>
    <row r="156" ht="15.75" customHeight="1">
      <c r="A156" s="10" t="s">
        <v>2005</v>
      </c>
      <c r="B156" s="10" t="s">
        <v>2006</v>
      </c>
      <c r="C156" s="13" t="str">
        <f t="array" ref="C156">IFERROR(INDEX('간병신청대장'!$B:$B,MATCH($B156,'간병신청대장'!$A:$A,0)),"")</f>
        <v>김성수</v>
      </c>
      <c r="D156" s="10" t="s">
        <v>2012</v>
      </c>
      <c r="E156" s="10"/>
      <c r="F156" s="10" t="s">
        <v>2013</v>
      </c>
      <c r="G156" s="10" t="s">
        <v>92</v>
      </c>
      <c r="H156" s="10"/>
      <c r="I156" s="10"/>
      <c r="J156" s="19">
        <v>160000.0</v>
      </c>
      <c r="K156" s="19"/>
      <c r="L156" s="10" t="s">
        <v>2014</v>
      </c>
      <c r="M156" s="10" t="s">
        <v>1910</v>
      </c>
      <c r="N156" s="13" t="s">
        <v>2015</v>
      </c>
    </row>
    <row r="157" ht="15.75" customHeight="1">
      <c r="A157" s="10" t="s">
        <v>2017</v>
      </c>
      <c r="B157" s="10" t="s">
        <v>2018</v>
      </c>
      <c r="C157" s="13" t="str">
        <f t="array" ref="C157">IFERROR(INDEX('간병신청대장'!$B:$B,MATCH($B157,'간병신청대장'!$A:$A,0)),"")</f>
        <v>김성수</v>
      </c>
      <c r="D157" s="10" t="s">
        <v>2021</v>
      </c>
      <c r="E157" s="10"/>
      <c r="F157" s="10" t="s">
        <v>2022</v>
      </c>
      <c r="G157" s="10" t="s">
        <v>2023</v>
      </c>
      <c r="H157" s="10"/>
      <c r="I157" s="10"/>
      <c r="J157" s="19">
        <v>150000.0</v>
      </c>
      <c r="K157" s="19"/>
      <c r="L157" s="10" t="s">
        <v>2025</v>
      </c>
      <c r="M157" s="10" t="s">
        <v>2026</v>
      </c>
      <c r="N157" s="13" t="s">
        <v>2027</v>
      </c>
    </row>
    <row r="158" ht="15.75" customHeight="1">
      <c r="A158" s="10" t="s">
        <v>2028</v>
      </c>
      <c r="B158" s="10" t="s">
        <v>2029</v>
      </c>
      <c r="C158" s="13" t="str">
        <f t="array" ref="C158">IFERROR(INDEX('간병신청대장'!$B:$B,MATCH($B158,'간병신청대장'!$A:$A,0)),"")</f>
        <v>위필환</v>
      </c>
      <c r="D158" s="10" t="s">
        <v>2033</v>
      </c>
      <c r="E158" s="10"/>
      <c r="F158" s="10" t="s">
        <v>2034</v>
      </c>
      <c r="G158" s="10" t="s">
        <v>840</v>
      </c>
      <c r="H158" s="10"/>
      <c r="I158" s="10"/>
      <c r="J158" s="19">
        <v>130000.0</v>
      </c>
      <c r="K158" s="19"/>
      <c r="L158" s="10" t="s">
        <v>2035</v>
      </c>
      <c r="M158" s="10" t="s">
        <v>1674</v>
      </c>
      <c r="N158" s="13" t="s">
        <v>2037</v>
      </c>
    </row>
    <row r="159" ht="15.75" customHeight="1">
      <c r="A159" s="10" t="s">
        <v>2038</v>
      </c>
      <c r="B159" s="10" t="s">
        <v>2039</v>
      </c>
      <c r="C159" s="13" t="str">
        <f t="array" ref="C159">IFERROR(INDEX('간병신청대장'!$B:$B,MATCH($B159,'간병신청대장'!$A:$A,0)),"")</f>
        <v>하성임</v>
      </c>
      <c r="D159" s="10" t="s">
        <v>2044</v>
      </c>
      <c r="E159" s="10"/>
      <c r="F159" s="10" t="s">
        <v>2045</v>
      </c>
      <c r="G159" s="10"/>
      <c r="H159" s="10"/>
      <c r="I159" s="10"/>
      <c r="J159" s="19">
        <v>60000.0</v>
      </c>
      <c r="K159" s="19"/>
      <c r="L159" s="10" t="s">
        <v>150</v>
      </c>
      <c r="M159" s="10" t="s">
        <v>557</v>
      </c>
      <c r="N159" s="13" t="s">
        <v>2046</v>
      </c>
    </row>
    <row r="160" ht="15.75" customHeight="1">
      <c r="A160" s="10" t="s">
        <v>2047</v>
      </c>
      <c r="B160" s="10" t="s">
        <v>2048</v>
      </c>
      <c r="C160" s="13" t="str">
        <f t="array" ref="C160">IFERROR(INDEX('간병신청대장'!$B:$B,MATCH($B160,'간병신청대장'!$A:$A,0)),"")</f>
        <v>하성임</v>
      </c>
      <c r="D160" s="10" t="s">
        <v>2044</v>
      </c>
      <c r="E160" s="20" t="s">
        <v>80</v>
      </c>
      <c r="F160" s="10" t="s">
        <v>2045</v>
      </c>
      <c r="G160" s="44" t="s">
        <v>2052</v>
      </c>
      <c r="H160" s="10"/>
      <c r="I160" s="10"/>
      <c r="J160" s="19">
        <v>60000.0</v>
      </c>
      <c r="K160" s="19"/>
      <c r="L160" s="10" t="s">
        <v>2053</v>
      </c>
      <c r="M160" s="10" t="s">
        <v>2054</v>
      </c>
      <c r="N160" s="45"/>
    </row>
    <row r="161" ht="15.75" customHeight="1">
      <c r="A161" s="10" t="s">
        <v>2055</v>
      </c>
      <c r="B161" s="10" t="s">
        <v>2056</v>
      </c>
      <c r="C161" s="13" t="str">
        <f t="array" ref="C161">IFERROR(INDEX('간병신청대장'!$B:$B,MATCH($B161,'간병신청대장'!$A:$A,0)),"")</f>
        <v>하성임</v>
      </c>
      <c r="D161" s="10" t="s">
        <v>2059</v>
      </c>
      <c r="E161" s="20" t="s">
        <v>80</v>
      </c>
      <c r="F161" s="10" t="s">
        <v>2060</v>
      </c>
      <c r="G161" s="20" t="s">
        <v>2061</v>
      </c>
      <c r="H161" s="20" t="s">
        <v>2062</v>
      </c>
      <c r="I161" s="10"/>
      <c r="J161" s="19">
        <v>75000.0</v>
      </c>
      <c r="K161" s="19"/>
      <c r="L161" s="10" t="s">
        <v>2063</v>
      </c>
      <c r="M161" s="20" t="s">
        <v>2064</v>
      </c>
      <c r="N161" s="31" t="s">
        <v>2065</v>
      </c>
    </row>
    <row r="162" ht="15.75" customHeight="1">
      <c r="A162" s="10" t="s">
        <v>2066</v>
      </c>
      <c r="B162" s="10" t="s">
        <v>2067</v>
      </c>
      <c r="C162" s="13" t="str">
        <f t="array" ref="C162">IFERROR(INDEX('간병신청대장'!$B:$B,MATCH($B162,'간병신청대장'!$A:$A,0)),"")</f>
        <v>김용식</v>
      </c>
      <c r="D162" s="10" t="s">
        <v>2069</v>
      </c>
      <c r="E162" s="10"/>
      <c r="F162" s="10" t="s">
        <v>2070</v>
      </c>
      <c r="G162" s="10" t="s">
        <v>1730</v>
      </c>
      <c r="H162" s="10" t="s">
        <v>715</v>
      </c>
      <c r="I162" s="10"/>
      <c r="J162" s="19">
        <v>140000.0</v>
      </c>
      <c r="K162" s="19"/>
      <c r="L162" s="10" t="s">
        <v>458</v>
      </c>
      <c r="M162" s="10" t="s">
        <v>2072</v>
      </c>
      <c r="N162" s="13" t="s">
        <v>2073</v>
      </c>
    </row>
    <row r="163" ht="15.75" customHeight="1">
      <c r="A163" s="10" t="s">
        <v>2074</v>
      </c>
      <c r="B163" s="10" t="s">
        <v>2075</v>
      </c>
      <c r="C163" s="13" t="str">
        <f t="array" ref="C163">IFERROR(INDEX('간병신청대장'!$B:$B,MATCH($B163,'간병신청대장'!$A:$A,0)),"")</f>
        <v>김용식</v>
      </c>
      <c r="D163" s="10" t="s">
        <v>2077</v>
      </c>
      <c r="E163" s="10"/>
      <c r="F163" s="10" t="s">
        <v>715</v>
      </c>
      <c r="G163" s="10" t="s">
        <v>1730</v>
      </c>
      <c r="H163" s="10" t="s">
        <v>715</v>
      </c>
      <c r="I163" s="10"/>
      <c r="J163" s="19">
        <v>140000.0</v>
      </c>
      <c r="K163" s="19"/>
      <c r="L163" s="10" t="s">
        <v>2078</v>
      </c>
      <c r="M163" s="20" t="s">
        <v>2079</v>
      </c>
      <c r="N163" s="20" t="s">
        <v>2080</v>
      </c>
    </row>
    <row r="164" ht="15.75" customHeight="1">
      <c r="A164" s="10" t="s">
        <v>2081</v>
      </c>
      <c r="B164" s="10" t="s">
        <v>2082</v>
      </c>
      <c r="C164" s="13" t="str">
        <f t="array" ref="C164">IFERROR(INDEX('간병신청대장'!$B:$B,MATCH($B164,'간병신청대장'!$A:$A,0)),"")</f>
        <v>홍정숙</v>
      </c>
      <c r="D164" s="10" t="s">
        <v>2085</v>
      </c>
      <c r="E164" s="10"/>
      <c r="F164" s="10" t="s">
        <v>2086</v>
      </c>
      <c r="G164" s="10" t="s">
        <v>1237</v>
      </c>
      <c r="H164" s="10"/>
      <c r="I164" s="10"/>
      <c r="J164" s="19">
        <v>145000.0</v>
      </c>
      <c r="K164" s="19"/>
      <c r="L164" s="10" t="s">
        <v>2087</v>
      </c>
      <c r="M164" s="10" t="s">
        <v>2088</v>
      </c>
      <c r="N164" s="13" t="s">
        <v>2089</v>
      </c>
    </row>
    <row r="165" ht="15.75" customHeight="1">
      <c r="A165" s="10" t="s">
        <v>2090</v>
      </c>
      <c r="B165" s="10" t="s">
        <v>2091</v>
      </c>
      <c r="C165" s="13" t="str">
        <f t="array" ref="C165">IFERROR(INDEX('간병신청대장'!$B:$B,MATCH($B165,'간병신청대장'!$A:$A,0)),"")</f>
        <v>홍정숙</v>
      </c>
      <c r="D165" s="10" t="s">
        <v>2093</v>
      </c>
      <c r="E165" s="10"/>
      <c r="F165" s="10" t="s">
        <v>2094</v>
      </c>
      <c r="G165" s="10" t="s">
        <v>1237</v>
      </c>
      <c r="H165" s="10"/>
      <c r="I165" s="10"/>
      <c r="J165" s="19">
        <v>145000.0</v>
      </c>
      <c r="K165" s="19"/>
      <c r="L165" s="10" t="s">
        <v>2088</v>
      </c>
      <c r="M165" s="10"/>
      <c r="N165" s="31" t="s">
        <v>2095</v>
      </c>
    </row>
    <row r="166" ht="15.75" customHeight="1">
      <c r="A166" s="10" t="s">
        <v>2097</v>
      </c>
      <c r="B166" s="10" t="s">
        <v>2098</v>
      </c>
      <c r="C166" s="13" t="str">
        <f t="array" ref="C166">IFERROR(INDEX('간병신청대장'!$B:$B,MATCH($B166,'간병신청대장'!$A:$A,0)),"")</f>
        <v>이정완</v>
      </c>
      <c r="D166" s="10" t="s">
        <v>2100</v>
      </c>
      <c r="E166" s="10"/>
      <c r="F166" s="10" t="s">
        <v>2101</v>
      </c>
      <c r="G166" s="10" t="s">
        <v>1293</v>
      </c>
      <c r="H166" s="10"/>
      <c r="I166" s="10"/>
      <c r="J166" s="19">
        <v>150000.0</v>
      </c>
      <c r="K166" s="19"/>
      <c r="L166" s="10" t="s">
        <v>2102</v>
      </c>
      <c r="M166" s="10" t="s">
        <v>2103</v>
      </c>
      <c r="N166" s="13" t="s">
        <v>2104</v>
      </c>
    </row>
    <row r="167" ht="15.75" customHeight="1">
      <c r="A167" s="10" t="s">
        <v>2105</v>
      </c>
      <c r="B167" s="10" t="s">
        <v>2106</v>
      </c>
      <c r="C167" s="13" t="str">
        <f t="array" ref="C167">IFERROR(INDEX('간병신청대장'!$B:$B,MATCH($B167,'간병신청대장'!$A:$A,0)),"")</f>
        <v>이정완</v>
      </c>
      <c r="D167" s="10" t="s">
        <v>2108</v>
      </c>
      <c r="E167" s="10"/>
      <c r="F167" s="10" t="s">
        <v>2109</v>
      </c>
      <c r="G167" s="10" t="s">
        <v>1293</v>
      </c>
      <c r="H167" s="10"/>
      <c r="I167" s="10"/>
      <c r="J167" s="19">
        <v>150000.0</v>
      </c>
      <c r="K167" s="19"/>
      <c r="L167" s="10" t="s">
        <v>2111</v>
      </c>
      <c r="M167" s="10" t="s">
        <v>2112</v>
      </c>
      <c r="N167" s="13" t="s">
        <v>2113</v>
      </c>
    </row>
    <row r="168" ht="15.75" customHeight="1">
      <c r="A168" s="10" t="s">
        <v>2116</v>
      </c>
      <c r="B168" s="10" t="s">
        <v>2117</v>
      </c>
      <c r="C168" s="13" t="str">
        <f t="array" ref="C168">IFERROR(INDEX('간병신청대장'!$B:$B,MATCH($B168,'간병신청대장'!$A:$A,0)),"")</f>
        <v>이정완</v>
      </c>
      <c r="D168" s="10" t="s">
        <v>2120</v>
      </c>
      <c r="E168" s="10"/>
      <c r="F168" s="10" t="s">
        <v>2121</v>
      </c>
      <c r="G168" s="10" t="s">
        <v>197</v>
      </c>
      <c r="H168" s="10"/>
      <c r="I168" s="10"/>
      <c r="J168" s="19">
        <v>140000.0</v>
      </c>
      <c r="K168" s="19"/>
      <c r="L168" s="10" t="s">
        <v>2122</v>
      </c>
      <c r="M168" s="10" t="s">
        <v>2123</v>
      </c>
      <c r="N168" s="31" t="s">
        <v>2124</v>
      </c>
    </row>
    <row r="169" ht="15.75" customHeight="1">
      <c r="A169" s="10" t="s">
        <v>2125</v>
      </c>
      <c r="B169" s="10" t="s">
        <v>2126</v>
      </c>
      <c r="C169" s="13" t="str">
        <f t="array" ref="C169">IFERROR(INDEX('간병신청대장'!$B:$B,MATCH($B169,'간병신청대장'!$A:$A,0)),"")</f>
        <v/>
      </c>
      <c r="D169" s="10" t="s">
        <v>2130</v>
      </c>
      <c r="E169" s="10"/>
      <c r="F169" s="10" t="s">
        <v>2131</v>
      </c>
      <c r="G169" s="10" t="s">
        <v>92</v>
      </c>
      <c r="H169" s="10"/>
      <c r="I169" s="10"/>
      <c r="J169" s="19">
        <v>140000.0</v>
      </c>
      <c r="K169" s="19"/>
      <c r="L169" s="10" t="s">
        <v>2132</v>
      </c>
      <c r="M169" s="10" t="s">
        <v>2134</v>
      </c>
      <c r="N169" s="13"/>
    </row>
    <row r="170" ht="15.75" customHeight="1">
      <c r="A170" s="10" t="s">
        <v>2138</v>
      </c>
      <c r="B170" s="10" t="s">
        <v>2139</v>
      </c>
      <c r="C170" s="13" t="str">
        <f t="array" ref="C170">IFERROR(INDEX('간병신청대장'!$B:$B,MATCH($B170,'간병신청대장'!$A:$A,0)),"")</f>
        <v>이정완</v>
      </c>
      <c r="D170" s="10" t="s">
        <v>2147</v>
      </c>
      <c r="E170" s="10"/>
      <c r="F170" s="10" t="s">
        <v>2148</v>
      </c>
      <c r="G170" s="10" t="s">
        <v>92</v>
      </c>
      <c r="H170" s="10"/>
      <c r="I170" s="10"/>
      <c r="J170" s="19"/>
      <c r="K170" s="19"/>
      <c r="L170" s="10" t="s">
        <v>2149</v>
      </c>
      <c r="M170" s="10" t="s">
        <v>2150</v>
      </c>
      <c r="N170" s="13"/>
    </row>
    <row r="171" ht="15.75" customHeight="1">
      <c r="A171" s="10" t="s">
        <v>2151</v>
      </c>
      <c r="B171" s="10" t="s">
        <v>2152</v>
      </c>
      <c r="C171" s="13" t="str">
        <f t="array" ref="C171">IFERROR(INDEX('간병신청대장'!$B:$B,MATCH($B171,'간병신청대장'!$A:$A,0)),"")</f>
        <v>노다은</v>
      </c>
      <c r="D171" s="10" t="s">
        <v>2154</v>
      </c>
      <c r="E171" s="10"/>
      <c r="F171" s="10" t="s">
        <v>2155</v>
      </c>
      <c r="G171" s="10" t="s">
        <v>2156</v>
      </c>
      <c r="H171" s="10" t="s">
        <v>2158</v>
      </c>
      <c r="I171" s="10"/>
      <c r="J171" s="19">
        <v>130000.0</v>
      </c>
      <c r="K171" s="19"/>
      <c r="L171" s="10" t="s">
        <v>2159</v>
      </c>
      <c r="M171" s="10" t="s">
        <v>1367</v>
      </c>
      <c r="N171" s="13" t="s">
        <v>2160</v>
      </c>
    </row>
    <row r="172" ht="15.75" customHeight="1">
      <c r="A172" s="10" t="s">
        <v>2161</v>
      </c>
      <c r="B172" s="10" t="s">
        <v>2162</v>
      </c>
      <c r="C172" s="13" t="str">
        <f t="array" ref="C172">IFERROR(INDEX('간병신청대장'!$B:$B,MATCH($B172,'간병신청대장'!$A:$A,0)),"")</f>
        <v>정영수</v>
      </c>
      <c r="D172" s="10" t="s">
        <v>2173</v>
      </c>
      <c r="E172" s="10"/>
      <c r="F172" s="10" t="s">
        <v>2174</v>
      </c>
      <c r="G172" s="10" t="s">
        <v>2175</v>
      </c>
      <c r="H172" s="10"/>
      <c r="I172" s="10"/>
      <c r="J172" s="19">
        <v>150000.0</v>
      </c>
      <c r="K172" s="19"/>
      <c r="L172" s="10" t="s">
        <v>2177</v>
      </c>
      <c r="M172" s="10" t="s">
        <v>2178</v>
      </c>
      <c r="N172" s="13" t="s">
        <v>2179</v>
      </c>
    </row>
    <row r="173" ht="15.75" customHeight="1">
      <c r="A173" s="10" t="s">
        <v>2180</v>
      </c>
      <c r="B173" s="10" t="s">
        <v>2181</v>
      </c>
      <c r="C173" s="13" t="str">
        <f t="array" ref="C173">IFERROR(INDEX('간병신청대장'!$B:$B,MATCH($B173,'간병신청대장'!$A:$A,0)),"")</f>
        <v>정영수</v>
      </c>
      <c r="D173" s="10" t="s">
        <v>2185</v>
      </c>
      <c r="E173" s="10"/>
      <c r="F173" s="10" t="s">
        <v>2186</v>
      </c>
      <c r="G173" s="10" t="s">
        <v>1386</v>
      </c>
      <c r="H173" s="10"/>
      <c r="I173" s="10"/>
      <c r="J173" s="19">
        <v>140000.0</v>
      </c>
      <c r="K173" s="19"/>
      <c r="L173" s="10" t="s">
        <v>2178</v>
      </c>
      <c r="M173" s="10" t="s">
        <v>2187</v>
      </c>
      <c r="N173" s="13" t="s">
        <v>1936</v>
      </c>
    </row>
    <row r="174" ht="15.75" customHeight="1">
      <c r="A174" s="10" t="s">
        <v>2189</v>
      </c>
      <c r="B174" s="10" t="s">
        <v>2190</v>
      </c>
      <c r="C174" s="13" t="str">
        <f t="array" ref="C174">IFERROR(INDEX('간병신청대장'!$B:$B,MATCH($B174,'간병신청대장'!$A:$A,0)),"")</f>
        <v>정영수</v>
      </c>
      <c r="D174" s="10" t="s">
        <v>2185</v>
      </c>
      <c r="E174" s="10"/>
      <c r="F174" s="10" t="s">
        <v>2186</v>
      </c>
      <c r="G174" s="10" t="s">
        <v>1386</v>
      </c>
      <c r="H174" s="10"/>
      <c r="I174" s="10"/>
      <c r="J174" s="19">
        <v>140000.0</v>
      </c>
      <c r="K174" s="19"/>
      <c r="L174" s="10" t="s">
        <v>2187</v>
      </c>
      <c r="M174" s="10" t="s">
        <v>2194</v>
      </c>
      <c r="N174" s="13" t="s">
        <v>1936</v>
      </c>
    </row>
    <row r="175" ht="15.75" customHeight="1">
      <c r="A175" s="10" t="s">
        <v>2196</v>
      </c>
      <c r="B175" s="10" t="s">
        <v>2197</v>
      </c>
      <c r="C175" s="13" t="str">
        <f t="array" ref="C175">IFERROR(INDEX('간병신청대장'!$B:$B,MATCH($B175,'간병신청대장'!$A:$A,0)),"")</f>
        <v>차미임</v>
      </c>
      <c r="D175" s="10" t="s">
        <v>2206</v>
      </c>
      <c r="E175" s="10"/>
      <c r="F175" s="10"/>
      <c r="G175" s="10" t="s">
        <v>2207</v>
      </c>
      <c r="H175" s="10" t="s">
        <v>2208</v>
      </c>
      <c r="I175" s="10"/>
      <c r="J175" s="19">
        <v>140000.0</v>
      </c>
      <c r="K175" s="19"/>
      <c r="L175" s="10" t="s">
        <v>2209</v>
      </c>
      <c r="M175" s="10" t="s">
        <v>2210</v>
      </c>
      <c r="N175" s="13" t="s">
        <v>2212</v>
      </c>
    </row>
    <row r="176" ht="15.75" customHeight="1">
      <c r="A176" s="10" t="s">
        <v>2213</v>
      </c>
      <c r="B176" s="10" t="s">
        <v>2214</v>
      </c>
      <c r="C176" s="13" t="str">
        <f t="array" ref="C176">IFERROR(INDEX('간병신청대장'!$B:$B,MATCH($B176,'간병신청대장'!$A:$A,0)),"")</f>
        <v>유승백</v>
      </c>
      <c r="D176" s="10" t="s">
        <v>2217</v>
      </c>
      <c r="E176" s="10"/>
      <c r="F176" s="10" t="s">
        <v>2218</v>
      </c>
      <c r="G176" s="10" t="s">
        <v>2219</v>
      </c>
      <c r="H176" s="10"/>
      <c r="I176" s="10"/>
      <c r="J176" s="19">
        <v>135000.0</v>
      </c>
      <c r="K176" s="19"/>
      <c r="L176" s="10" t="s">
        <v>1319</v>
      </c>
      <c r="M176" s="10"/>
      <c r="N176" s="13" t="s">
        <v>2220</v>
      </c>
    </row>
    <row r="177" ht="15.75" customHeight="1">
      <c r="A177" s="10" t="s">
        <v>2221</v>
      </c>
      <c r="B177" s="10" t="s">
        <v>2222</v>
      </c>
      <c r="C177" s="13" t="str">
        <f t="array" ref="C177">IFERROR(INDEX('간병신청대장'!$B:$B,MATCH($B177,'간병신청대장'!$A:$A,0)),"")</f>
        <v>김시훈</v>
      </c>
      <c r="D177" s="10" t="s">
        <v>2226</v>
      </c>
      <c r="E177" s="10"/>
      <c r="F177" s="10" t="s">
        <v>2227</v>
      </c>
      <c r="G177" s="10"/>
      <c r="H177" s="10"/>
      <c r="I177" s="10"/>
      <c r="J177" s="19">
        <v>140000.0</v>
      </c>
      <c r="K177" s="19"/>
      <c r="L177" s="10" t="s">
        <v>2228</v>
      </c>
      <c r="M177" s="10" t="s">
        <v>2229</v>
      </c>
      <c r="N177" s="13" t="s">
        <v>2230</v>
      </c>
    </row>
    <row r="178" ht="15.75" customHeight="1">
      <c r="A178" s="10" t="s">
        <v>2231</v>
      </c>
      <c r="B178" s="10" t="s">
        <v>2232</v>
      </c>
      <c r="C178" s="13" t="str">
        <f t="array" ref="C178">IFERROR(INDEX('간병신청대장'!$B:$B,MATCH($B178,'간병신청대장'!$A:$A,0)),"")</f>
        <v>김철재</v>
      </c>
      <c r="D178" s="10" t="s">
        <v>2236</v>
      </c>
      <c r="E178" s="10"/>
      <c r="F178" s="10" t="s">
        <v>2237</v>
      </c>
      <c r="G178" s="10" t="s">
        <v>2238</v>
      </c>
      <c r="H178" s="10" t="s">
        <v>2239</v>
      </c>
      <c r="I178" s="10"/>
      <c r="J178" s="19">
        <v>130000.0</v>
      </c>
      <c r="K178" s="19"/>
      <c r="L178" s="10" t="s">
        <v>2240</v>
      </c>
      <c r="M178" s="20" t="s">
        <v>2241</v>
      </c>
      <c r="N178" s="31" t="s">
        <v>2242</v>
      </c>
    </row>
    <row r="179" ht="15.75" customHeight="1">
      <c r="A179" s="10" t="s">
        <v>2243</v>
      </c>
      <c r="B179" s="10" t="s">
        <v>2244</v>
      </c>
      <c r="C179" s="13" t="str">
        <f t="array" ref="C179">IFERROR(INDEX('간병신청대장'!$B:$B,MATCH($B179,'간병신청대장'!$A:$A,0)),"")</f>
        <v>구상순</v>
      </c>
      <c r="D179" s="10" t="s">
        <v>2247</v>
      </c>
      <c r="E179" s="10"/>
      <c r="F179" s="10" t="s">
        <v>2248</v>
      </c>
      <c r="G179" s="10"/>
      <c r="H179" s="10"/>
      <c r="I179" s="10"/>
      <c r="J179" s="19">
        <v>150000.0</v>
      </c>
      <c r="K179" s="19"/>
      <c r="L179" s="10" t="s">
        <v>2249</v>
      </c>
      <c r="M179" s="10" t="s">
        <v>2250</v>
      </c>
      <c r="N179" s="13" t="s">
        <v>2252</v>
      </c>
    </row>
    <row r="180" ht="15.75" customHeight="1">
      <c r="A180" s="10" t="s">
        <v>2253</v>
      </c>
      <c r="B180" s="10" t="s">
        <v>2254</v>
      </c>
      <c r="C180" s="13" t="str">
        <f t="array" ref="C180">IFERROR(INDEX('간병신청대장'!$B:$B,MATCH($B180,'간병신청대장'!$A:$A,0)),"")</f>
        <v>박옥순</v>
      </c>
      <c r="D180" s="20" t="s">
        <v>2263</v>
      </c>
      <c r="E180" s="10"/>
      <c r="F180" s="10" t="s">
        <v>2265</v>
      </c>
      <c r="G180" s="20" t="s">
        <v>139</v>
      </c>
      <c r="H180" s="10"/>
      <c r="I180" s="10"/>
      <c r="J180" s="19">
        <v>130000.0</v>
      </c>
      <c r="K180" s="19"/>
      <c r="L180" s="10" t="s">
        <v>1435</v>
      </c>
      <c r="M180" s="20" t="s">
        <v>2267</v>
      </c>
      <c r="N180" s="31" t="s">
        <v>2268</v>
      </c>
    </row>
    <row r="181" ht="15.75" customHeight="1">
      <c r="A181" s="10" t="s">
        <v>2269</v>
      </c>
      <c r="B181" s="10" t="s">
        <v>2271</v>
      </c>
      <c r="C181" s="13" t="str">
        <f t="array" ref="C181">IFERROR(INDEX('간병신청대장'!$B:$B,MATCH($B181,'간병신청대장'!$A:$A,0)),"")</f>
        <v>이춘남</v>
      </c>
      <c r="D181" s="10" t="s">
        <v>2275</v>
      </c>
      <c r="E181" s="10"/>
      <c r="F181" s="10" t="s">
        <v>2276</v>
      </c>
      <c r="G181" s="10"/>
      <c r="H181" s="10"/>
      <c r="I181" s="10"/>
      <c r="J181" s="19">
        <v>140000.0</v>
      </c>
      <c r="K181" s="19"/>
      <c r="L181" s="10" t="s">
        <v>2277</v>
      </c>
      <c r="M181" s="10" t="s">
        <v>2278</v>
      </c>
      <c r="N181" s="13" t="s">
        <v>2279</v>
      </c>
    </row>
    <row r="182" ht="15.75" customHeight="1">
      <c r="A182" s="10" t="s">
        <v>2280</v>
      </c>
      <c r="B182" s="10" t="s">
        <v>2281</v>
      </c>
      <c r="C182" s="13" t="str">
        <f t="array" ref="C182">IFERROR(INDEX('간병신청대장'!$B:$B,MATCH($B182,'간병신청대장'!$A:$A,0)),"")</f>
        <v>최영자</v>
      </c>
      <c r="D182" s="10" t="s">
        <v>2286</v>
      </c>
      <c r="E182" s="10"/>
      <c r="F182" s="10" t="s">
        <v>2287</v>
      </c>
      <c r="G182" s="10" t="s">
        <v>92</v>
      </c>
      <c r="H182" s="10"/>
      <c r="I182" s="10"/>
      <c r="J182" s="33">
        <v>80000.0</v>
      </c>
      <c r="K182" s="19"/>
      <c r="L182" s="10" t="s">
        <v>2288</v>
      </c>
      <c r="M182" s="10"/>
      <c r="N182" s="31" t="s">
        <v>2289</v>
      </c>
    </row>
    <row r="183" ht="15.75" customHeight="1">
      <c r="A183" s="10" t="s">
        <v>2290</v>
      </c>
      <c r="B183" s="10" t="s">
        <v>2291</v>
      </c>
      <c r="C183" s="13" t="str">
        <f t="array" ref="C183">IFERROR(INDEX('간병신청대장'!$B:$B,MATCH($B183,'간병신청대장'!$A:$A,0)),"")</f>
        <v>윤광자</v>
      </c>
      <c r="D183" s="10" t="s">
        <v>2302</v>
      </c>
      <c r="E183" s="10"/>
      <c r="F183" s="10" t="s">
        <v>2303</v>
      </c>
      <c r="G183" s="10" t="s">
        <v>92</v>
      </c>
      <c r="H183" s="10"/>
      <c r="I183" s="10"/>
      <c r="J183" s="19">
        <v>140000.0</v>
      </c>
      <c r="K183" s="19"/>
      <c r="L183" s="10" t="s">
        <v>2305</v>
      </c>
      <c r="M183" s="10" t="s">
        <v>2306</v>
      </c>
      <c r="N183" s="13" t="s">
        <v>2307</v>
      </c>
    </row>
    <row r="184" ht="15.75" customHeight="1">
      <c r="A184" s="10" t="s">
        <v>2308</v>
      </c>
      <c r="B184" s="10" t="s">
        <v>2309</v>
      </c>
      <c r="C184" s="13" t="str">
        <f t="array" ref="C184">IFERROR(INDEX('간병신청대장'!$B:$B,MATCH($B184,'간병신청대장'!$A:$A,0)),"")</f>
        <v>이춘애</v>
      </c>
      <c r="D184" s="10" t="s">
        <v>2311</v>
      </c>
      <c r="E184" s="10"/>
      <c r="F184" s="10" t="s">
        <v>1097</v>
      </c>
      <c r="G184" s="10" t="s">
        <v>2312</v>
      </c>
      <c r="H184" s="10"/>
      <c r="I184" s="10"/>
      <c r="J184" s="19">
        <v>150000.0</v>
      </c>
      <c r="K184" s="19"/>
      <c r="L184" s="10" t="s">
        <v>2313</v>
      </c>
      <c r="M184" s="10" t="s">
        <v>2314</v>
      </c>
      <c r="N184" s="13" t="s">
        <v>2315</v>
      </c>
    </row>
    <row r="185" ht="15.75" customHeight="1">
      <c r="A185" s="10" t="s">
        <v>2316</v>
      </c>
      <c r="B185" s="10" t="s">
        <v>2317</v>
      </c>
      <c r="C185" s="13" t="str">
        <f t="array" ref="C185">IFERROR(INDEX('간병신청대장'!$B:$B,MATCH($B185,'간병신청대장'!$A:$A,0)),"")</f>
        <v>윤경자</v>
      </c>
      <c r="D185" s="10" t="s">
        <v>749</v>
      </c>
      <c r="E185" s="10"/>
      <c r="F185" s="10" t="s">
        <v>2327</v>
      </c>
      <c r="G185" s="10"/>
      <c r="H185" s="10"/>
      <c r="I185" s="10"/>
      <c r="J185" s="19">
        <v>72000.0</v>
      </c>
      <c r="K185" s="19"/>
      <c r="L185" s="20" t="s">
        <v>2267</v>
      </c>
      <c r="M185" s="20" t="s">
        <v>2329</v>
      </c>
      <c r="N185" s="13" t="s">
        <v>2331</v>
      </c>
    </row>
    <row r="186" ht="15.75" customHeight="1">
      <c r="A186" s="10" t="s">
        <v>2332</v>
      </c>
      <c r="B186" s="10" t="s">
        <v>2333</v>
      </c>
      <c r="C186" s="13" t="str">
        <f t="array" ref="C186">IFERROR(INDEX('간병신청대장'!$B:$B,MATCH($B186,'간병신청대장'!$A:$A,0)),"")</f>
        <v>박정란</v>
      </c>
      <c r="D186" s="10" t="s">
        <v>2339</v>
      </c>
      <c r="E186" s="10"/>
      <c r="F186" s="10" t="s">
        <v>2340</v>
      </c>
      <c r="G186" s="10" t="s">
        <v>2341</v>
      </c>
      <c r="H186" s="10" t="s">
        <v>2342</v>
      </c>
      <c r="I186" s="10"/>
      <c r="J186" s="19">
        <v>140000.0</v>
      </c>
      <c r="K186" s="19"/>
      <c r="L186" s="10" t="s">
        <v>2343</v>
      </c>
      <c r="M186" s="10" t="s">
        <v>2344</v>
      </c>
      <c r="N186" s="13" t="s">
        <v>2345</v>
      </c>
    </row>
    <row r="187" ht="15.75" customHeight="1">
      <c r="A187" s="10" t="s">
        <v>2346</v>
      </c>
      <c r="B187" s="10" t="s">
        <v>2347</v>
      </c>
      <c r="C187" s="13" t="str">
        <f t="array" ref="C187">IFERROR(INDEX('간병신청대장'!$B:$B,MATCH($B187,'간병신청대장'!$A:$A,0)),"")</f>
        <v>박정란</v>
      </c>
      <c r="D187" s="10" t="s">
        <v>2351</v>
      </c>
      <c r="E187" s="10"/>
      <c r="F187" s="10" t="s">
        <v>2352</v>
      </c>
      <c r="G187" s="10" t="s">
        <v>2341</v>
      </c>
      <c r="H187" s="10" t="s">
        <v>2342</v>
      </c>
      <c r="I187" s="10"/>
      <c r="J187" s="19">
        <v>140000.0</v>
      </c>
      <c r="K187" s="19"/>
      <c r="L187" s="10" t="s">
        <v>2344</v>
      </c>
      <c r="M187" s="20"/>
      <c r="N187" s="13" t="s">
        <v>2354</v>
      </c>
    </row>
    <row r="188" ht="15.75" customHeight="1">
      <c r="A188" s="10" t="s">
        <v>2356</v>
      </c>
      <c r="B188" s="10" t="s">
        <v>2357</v>
      </c>
      <c r="C188" s="13" t="str">
        <f t="array" ref="C188">IFERROR(INDEX('간병신청대장'!$B:$B,MATCH($B188,'간병신청대장'!$A:$A,0)),"")</f>
        <v>나도선</v>
      </c>
      <c r="D188" s="10" t="s">
        <v>2185</v>
      </c>
      <c r="E188" s="10"/>
      <c r="F188" s="10" t="s">
        <v>2186</v>
      </c>
      <c r="G188" s="10" t="s">
        <v>92</v>
      </c>
      <c r="H188" s="10"/>
      <c r="I188" s="10"/>
      <c r="J188" s="19">
        <v>140000.0</v>
      </c>
      <c r="K188" s="19"/>
      <c r="L188" s="10" t="s">
        <v>1495</v>
      </c>
      <c r="M188" s="20" t="s">
        <v>2365</v>
      </c>
      <c r="N188" s="31" t="s">
        <v>2366</v>
      </c>
    </row>
    <row r="189" ht="15.75" customHeight="1">
      <c r="A189" s="10" t="s">
        <v>2367</v>
      </c>
      <c r="B189" s="10" t="s">
        <v>2368</v>
      </c>
      <c r="C189" s="13" t="str">
        <f t="array" ref="C189">IFERROR(INDEX('간병신청대장'!$B:$B,MATCH($B189,'간병신청대장'!$A:$A,0)),"")</f>
        <v>나도선</v>
      </c>
      <c r="D189" s="10" t="s">
        <v>2371</v>
      </c>
      <c r="E189" s="10"/>
      <c r="F189" s="10" t="s">
        <v>2372</v>
      </c>
      <c r="G189" s="10" t="s">
        <v>1386</v>
      </c>
      <c r="H189" s="10" t="s">
        <v>1387</v>
      </c>
      <c r="I189" s="10"/>
      <c r="J189" s="19">
        <v>140000.0</v>
      </c>
      <c r="K189" s="19"/>
      <c r="L189" s="10" t="s">
        <v>2373</v>
      </c>
      <c r="M189" s="20" t="s">
        <v>2374</v>
      </c>
      <c r="N189" s="31" t="s">
        <v>2376</v>
      </c>
    </row>
    <row r="190" ht="15.75" customHeight="1">
      <c r="A190" s="10" t="s">
        <v>2377</v>
      </c>
      <c r="B190" s="10" t="s">
        <v>2378</v>
      </c>
      <c r="C190" s="13" t="str">
        <f t="array" ref="C190">IFERROR(INDEX('간병신청대장'!$B:$B,MATCH($B190,'간병신청대장'!$A:$A,0)),"")</f>
        <v>임형순</v>
      </c>
      <c r="D190" s="10" t="s">
        <v>91</v>
      </c>
      <c r="E190" s="10"/>
      <c r="F190" s="10" t="s">
        <v>2387</v>
      </c>
      <c r="G190" s="10"/>
      <c r="H190" s="10"/>
      <c r="I190" s="10"/>
      <c r="J190" s="19"/>
      <c r="K190" s="19"/>
      <c r="L190" s="10" t="s">
        <v>97</v>
      </c>
      <c r="M190" s="20" t="s">
        <v>2389</v>
      </c>
      <c r="N190" s="13"/>
    </row>
    <row r="191" ht="15.75" customHeight="1">
      <c r="A191" s="10" t="s">
        <v>2390</v>
      </c>
      <c r="B191" s="10" t="s">
        <v>2391</v>
      </c>
      <c r="C191" s="13" t="str">
        <f t="array" ref="C191">IFERROR(INDEX('간병신청대장'!$B:$B,MATCH($B191,'간병신청대장'!$A:$A,0)),"")</f>
        <v>김일순</v>
      </c>
      <c r="D191" s="10" t="s">
        <v>2393</v>
      </c>
      <c r="E191" s="10"/>
      <c r="F191" s="10" t="s">
        <v>2394</v>
      </c>
      <c r="G191" s="10" t="s">
        <v>621</v>
      </c>
      <c r="H191" s="10"/>
      <c r="I191" s="10"/>
      <c r="J191" s="19">
        <v>140000.0</v>
      </c>
      <c r="K191" s="19"/>
      <c r="L191" s="10" t="s">
        <v>2396</v>
      </c>
      <c r="M191" s="10" t="s">
        <v>2397</v>
      </c>
      <c r="N191" s="13" t="s">
        <v>1467</v>
      </c>
    </row>
    <row r="192" ht="15.75" customHeight="1">
      <c r="A192" s="10" t="s">
        <v>2398</v>
      </c>
      <c r="B192" s="10" t="s">
        <v>2399</v>
      </c>
      <c r="C192" s="13" t="str">
        <f t="array" ref="C192">IFERROR(INDEX('간병신청대장'!$B:$B,MATCH($B192,'간병신청대장'!$A:$A,0)),"")</f>
        <v>홍표승</v>
      </c>
      <c r="D192" s="10" t="s">
        <v>2408</v>
      </c>
      <c r="E192" s="10">
        <v>630726.0</v>
      </c>
      <c r="F192" s="10" t="s">
        <v>2409</v>
      </c>
      <c r="G192" s="10" t="s">
        <v>2410</v>
      </c>
      <c r="H192" s="10"/>
      <c r="I192" s="10"/>
      <c r="J192" s="19">
        <v>130000.0</v>
      </c>
      <c r="K192" s="19"/>
      <c r="L192" s="10" t="s">
        <v>2411</v>
      </c>
      <c r="M192" s="10" t="s">
        <v>2412</v>
      </c>
      <c r="N192" s="13" t="s">
        <v>2413</v>
      </c>
    </row>
    <row r="193" ht="15.75" customHeight="1">
      <c r="A193" s="10" t="s">
        <v>2415</v>
      </c>
      <c r="B193" s="10" t="s">
        <v>2416</v>
      </c>
      <c r="C193" s="13" t="str">
        <f t="array" ref="C193">IFERROR(INDEX('간병신청대장'!$B:$B,MATCH($B193,'간병신청대장'!$A:$A,0)),"")</f>
        <v>김순종</v>
      </c>
      <c r="D193" s="10" t="s">
        <v>2419</v>
      </c>
      <c r="E193" s="10"/>
      <c r="F193" s="10" t="s">
        <v>2420</v>
      </c>
      <c r="G193" s="10"/>
      <c r="H193" s="10" t="s">
        <v>2421</v>
      </c>
      <c r="I193" s="10"/>
      <c r="J193" s="19">
        <v>110000.0</v>
      </c>
      <c r="K193" s="19"/>
      <c r="L193" s="10" t="s">
        <v>2422</v>
      </c>
      <c r="M193" s="10" t="s">
        <v>2423</v>
      </c>
      <c r="N193" s="13" t="s">
        <v>2424</v>
      </c>
    </row>
    <row r="194" ht="15.75" customHeight="1">
      <c r="A194" s="10" t="s">
        <v>2425</v>
      </c>
      <c r="B194" s="10" t="s">
        <v>2426</v>
      </c>
      <c r="C194" s="13" t="str">
        <f t="array" ref="C194">IFERROR(INDEX('간병신청대장'!$B:$B,MATCH($B194,'간병신청대장'!$A:$A,0)),"")</f>
        <v>안운자</v>
      </c>
      <c r="D194" s="10" t="s">
        <v>2431</v>
      </c>
      <c r="E194" s="10"/>
      <c r="F194" s="10" t="s">
        <v>2432</v>
      </c>
      <c r="G194" s="10" t="s">
        <v>621</v>
      </c>
      <c r="H194" s="10"/>
      <c r="I194" s="10"/>
      <c r="J194" s="19">
        <v>130000.0</v>
      </c>
      <c r="K194" s="19"/>
      <c r="L194" s="10" t="s">
        <v>2433</v>
      </c>
      <c r="M194" s="20" t="s">
        <v>2434</v>
      </c>
      <c r="N194" s="13" t="s">
        <v>1467</v>
      </c>
    </row>
    <row r="195" ht="15.75" customHeight="1">
      <c r="A195" s="10" t="s">
        <v>2436</v>
      </c>
      <c r="B195" s="10" t="s">
        <v>2437</v>
      </c>
      <c r="C195" s="13" t="str">
        <f t="array" ref="C195">IFERROR(INDEX('간병신청대장'!$B:$B,MATCH($B195,'간병신청대장'!$A:$A,0)),"")</f>
        <v>김리아</v>
      </c>
      <c r="D195" s="10" t="s">
        <v>2449</v>
      </c>
      <c r="E195" s="10"/>
      <c r="F195" s="10" t="s">
        <v>2451</v>
      </c>
      <c r="G195" s="10" t="s">
        <v>1730</v>
      </c>
      <c r="H195" s="10"/>
      <c r="I195" s="10" t="s">
        <v>139</v>
      </c>
      <c r="J195" s="19">
        <v>130000.0</v>
      </c>
      <c r="K195" s="19"/>
      <c r="L195" s="10" t="s">
        <v>2452</v>
      </c>
      <c r="M195" s="10" t="s">
        <v>2453</v>
      </c>
      <c r="N195" s="13" t="s">
        <v>2454</v>
      </c>
    </row>
    <row r="196" ht="15.75" customHeight="1">
      <c r="A196" s="10" t="s">
        <v>2457</v>
      </c>
      <c r="B196" s="10" t="s">
        <v>2458</v>
      </c>
      <c r="C196" s="13" t="str">
        <f t="array" ref="C196">IFERROR(INDEX('간병신청대장'!$B:$B,MATCH($B196,'간병신청대장'!$A:$A,0)),"")</f>
        <v>김리아</v>
      </c>
      <c r="D196" s="10" t="s">
        <v>943</v>
      </c>
      <c r="E196" s="10"/>
      <c r="F196" s="10" t="s">
        <v>944</v>
      </c>
      <c r="G196" s="10"/>
      <c r="H196" s="10"/>
      <c r="I196" s="10"/>
      <c r="J196" s="19">
        <v>130000.0</v>
      </c>
      <c r="K196" s="19"/>
      <c r="L196" s="10" t="s">
        <v>2461</v>
      </c>
      <c r="M196" s="10" t="s">
        <v>1849</v>
      </c>
      <c r="N196" s="13" t="s">
        <v>947</v>
      </c>
    </row>
    <row r="197" ht="15.75" customHeight="1">
      <c r="A197" s="10" t="s">
        <v>2463</v>
      </c>
      <c r="B197" s="10" t="s">
        <v>2464</v>
      </c>
      <c r="C197" s="13" t="str">
        <f t="array" ref="C197">IFERROR(INDEX('간병신청대장'!$B:$B,MATCH($B197,'간병신청대장'!$A:$A,0)),"")</f>
        <v>김막례</v>
      </c>
      <c r="D197" s="10" t="s">
        <v>2475</v>
      </c>
      <c r="E197" s="10"/>
      <c r="F197" s="10" t="s">
        <v>2476</v>
      </c>
      <c r="G197" s="10" t="s">
        <v>1523</v>
      </c>
      <c r="H197" s="10"/>
      <c r="I197" s="10"/>
      <c r="J197" s="19">
        <v>145000.0</v>
      </c>
      <c r="K197" s="19"/>
      <c r="L197" s="10" t="s">
        <v>2477</v>
      </c>
      <c r="M197" s="10" t="s">
        <v>2433</v>
      </c>
      <c r="N197" s="13" t="s">
        <v>1527</v>
      </c>
    </row>
    <row r="198" ht="15.75" customHeight="1">
      <c r="A198" s="10" t="s">
        <v>2478</v>
      </c>
      <c r="B198" s="10" t="s">
        <v>2479</v>
      </c>
      <c r="C198" s="13" t="str">
        <f t="array" ref="C198">IFERROR(INDEX('간병신청대장'!$B:$B,MATCH($B198,'간병신청대장'!$A:$A,0)),"")</f>
        <v>신현주</v>
      </c>
      <c r="D198" s="10" t="s">
        <v>2485</v>
      </c>
      <c r="E198" s="10"/>
      <c r="F198" s="10" t="s">
        <v>2486</v>
      </c>
      <c r="G198" s="10" t="s">
        <v>92</v>
      </c>
      <c r="H198" s="10"/>
      <c r="I198" s="10"/>
      <c r="J198" s="19">
        <v>150000.0</v>
      </c>
      <c r="K198" s="19"/>
      <c r="L198" s="10" t="s">
        <v>2487</v>
      </c>
      <c r="M198" s="10" t="s">
        <v>2488</v>
      </c>
      <c r="N198" s="13"/>
    </row>
    <row r="199" ht="15.75" customHeight="1">
      <c r="A199" s="10" t="s">
        <v>2489</v>
      </c>
      <c r="B199" s="10" t="s">
        <v>2490</v>
      </c>
      <c r="C199" s="13" t="str">
        <f t="array" ref="C199">IFERROR(INDEX('간병신청대장'!$B:$B,MATCH($B199,'간병신청대장'!$A:$A,0)),"")</f>
        <v>송영경</v>
      </c>
      <c r="D199" s="10" t="s">
        <v>2502</v>
      </c>
      <c r="E199" s="10"/>
      <c r="F199" s="10" t="s">
        <v>2503</v>
      </c>
      <c r="G199" s="10" t="s">
        <v>621</v>
      </c>
      <c r="H199" s="10"/>
      <c r="I199" s="10"/>
      <c r="J199" s="19">
        <v>135000.0</v>
      </c>
      <c r="K199" s="19"/>
      <c r="L199" s="10" t="s">
        <v>2504</v>
      </c>
      <c r="M199" s="20" t="s">
        <v>2506</v>
      </c>
      <c r="N199" s="13" t="s">
        <v>1467</v>
      </c>
    </row>
    <row r="200" ht="15.75" customHeight="1">
      <c r="A200" s="10" t="s">
        <v>2507</v>
      </c>
      <c r="B200" s="10" t="s">
        <v>2508</v>
      </c>
      <c r="C200" s="13" t="str">
        <f t="array" ref="C200">IFERROR(INDEX('간병신청대장'!$B:$B,MATCH($B200,'간병신청대장'!$A:$A,0)),"")</f>
        <v>최재승</v>
      </c>
      <c r="D200" s="10" t="s">
        <v>2512</v>
      </c>
      <c r="E200" s="10"/>
      <c r="F200" s="10" t="s">
        <v>2513</v>
      </c>
      <c r="G200" s="10" t="s">
        <v>621</v>
      </c>
      <c r="H200" s="10"/>
      <c r="I200" s="10"/>
      <c r="J200" s="19">
        <v>130000.0</v>
      </c>
      <c r="K200" s="19"/>
      <c r="L200" s="10" t="s">
        <v>849</v>
      </c>
      <c r="M200" s="10" t="s">
        <v>2514</v>
      </c>
      <c r="N200" s="13" t="s">
        <v>2515</v>
      </c>
    </row>
    <row r="201" ht="15.75" customHeight="1">
      <c r="A201" s="10" t="s">
        <v>2516</v>
      </c>
      <c r="B201" s="10" t="s">
        <v>2517</v>
      </c>
      <c r="C201" s="13" t="str">
        <f t="array" ref="C201">IFERROR(INDEX('간병신청대장'!$B:$B,MATCH($B201,'간병신청대장'!$A:$A,0)),"")</f>
        <v>고경진</v>
      </c>
      <c r="D201" s="10" t="s">
        <v>2526</v>
      </c>
      <c r="E201" s="10"/>
      <c r="F201" s="10" t="s">
        <v>2527</v>
      </c>
      <c r="G201" s="10" t="s">
        <v>621</v>
      </c>
      <c r="H201" s="10"/>
      <c r="I201" s="10"/>
      <c r="J201" s="19">
        <v>140000.0</v>
      </c>
      <c r="K201" s="19"/>
      <c r="L201" s="10" t="s">
        <v>2529</v>
      </c>
      <c r="M201" s="10" t="s">
        <v>2530</v>
      </c>
      <c r="N201" s="13" t="s">
        <v>1467</v>
      </c>
    </row>
    <row r="202" ht="15.75" customHeight="1">
      <c r="A202" s="10" t="s">
        <v>2531</v>
      </c>
      <c r="B202" s="10" t="s">
        <v>2532</v>
      </c>
      <c r="C202" s="13" t="str">
        <f t="array" ref="C202">IFERROR(INDEX('간병신청대장'!$B:$B,MATCH($B202,'간병신청대장'!$A:$A,0)),"")</f>
        <v>김진숙</v>
      </c>
      <c r="D202" s="10" t="s">
        <v>2536</v>
      </c>
      <c r="E202" s="10"/>
      <c r="F202" s="10" t="s">
        <v>2537</v>
      </c>
      <c r="G202" s="10" t="s">
        <v>92</v>
      </c>
      <c r="H202" s="10"/>
      <c r="I202" s="10"/>
      <c r="J202" s="19">
        <v>100000.0</v>
      </c>
      <c r="K202" s="19"/>
      <c r="L202" s="10" t="s">
        <v>2538</v>
      </c>
      <c r="M202" s="10" t="s">
        <v>2514</v>
      </c>
      <c r="N202" s="31" t="s">
        <v>2540</v>
      </c>
    </row>
    <row r="203" ht="15.75" customHeight="1">
      <c r="A203" s="10" t="s">
        <v>2543</v>
      </c>
      <c r="B203" s="10" t="s">
        <v>2544</v>
      </c>
      <c r="C203" s="13" t="str">
        <f t="array" ref="C203">IFERROR(INDEX('간병신청대장'!$B:$B,MATCH($B203,'간병신청대장'!$A:$A,0)),"")</f>
        <v>곽상헌</v>
      </c>
      <c r="D203" s="10" t="s">
        <v>2554</v>
      </c>
      <c r="E203" s="10"/>
      <c r="F203" s="10" t="s">
        <v>2555</v>
      </c>
      <c r="G203" s="10" t="s">
        <v>2556</v>
      </c>
      <c r="H203" s="20" t="s">
        <v>1524</v>
      </c>
      <c r="I203" s="10"/>
      <c r="J203" s="19">
        <v>130000.0</v>
      </c>
      <c r="K203" s="19"/>
      <c r="L203" s="10" t="s">
        <v>2558</v>
      </c>
      <c r="M203" s="10" t="s">
        <v>2559</v>
      </c>
      <c r="N203" s="13" t="s">
        <v>2560</v>
      </c>
    </row>
    <row r="204" ht="15.75" customHeight="1">
      <c r="A204" s="10" t="s">
        <v>2561</v>
      </c>
      <c r="B204" s="10" t="s">
        <v>2562</v>
      </c>
      <c r="C204" s="13" t="str">
        <f t="array" ref="C204">IFERROR(INDEX('간병신청대장'!$B:$B,MATCH($B204,'간병신청대장'!$A:$A,0)),"")</f>
        <v>곽상헌</v>
      </c>
      <c r="D204" s="10" t="s">
        <v>2565</v>
      </c>
      <c r="E204" s="10"/>
      <c r="F204" s="10" t="s">
        <v>2566</v>
      </c>
      <c r="G204" s="10" t="s">
        <v>2556</v>
      </c>
      <c r="H204" s="20" t="s">
        <v>1524</v>
      </c>
      <c r="I204" s="10"/>
      <c r="J204" s="19">
        <v>130000.0</v>
      </c>
      <c r="K204" s="19"/>
      <c r="L204" s="10" t="s">
        <v>2567</v>
      </c>
      <c r="M204" s="20" t="s">
        <v>2568</v>
      </c>
      <c r="N204" s="13" t="s">
        <v>2560</v>
      </c>
    </row>
    <row r="205" ht="15.75" customHeight="1">
      <c r="A205" s="10" t="s">
        <v>2569</v>
      </c>
      <c r="B205" s="10" t="s">
        <v>2571</v>
      </c>
      <c r="C205" s="13" t="str">
        <f t="array" ref="C205">IFERROR(INDEX('간병신청대장'!$B:$B,MATCH($B205,'간병신청대장'!$A:$A,0)),"")</f>
        <v>설아림</v>
      </c>
      <c r="D205" s="10" t="s">
        <v>2582</v>
      </c>
      <c r="E205" s="10"/>
      <c r="F205" s="10" t="s">
        <v>2583</v>
      </c>
      <c r="G205" s="10" t="s">
        <v>1730</v>
      </c>
      <c r="H205" s="10"/>
      <c r="I205" s="10"/>
      <c r="J205" s="19">
        <v>135000.0</v>
      </c>
      <c r="K205" s="19"/>
      <c r="L205" s="10" t="s">
        <v>2584</v>
      </c>
      <c r="M205" s="20" t="s">
        <v>2585</v>
      </c>
      <c r="N205" s="13" t="s">
        <v>2586</v>
      </c>
    </row>
    <row r="206" ht="15.75" customHeight="1">
      <c r="A206" s="10" t="s">
        <v>2587</v>
      </c>
      <c r="B206" s="10" t="s">
        <v>2588</v>
      </c>
      <c r="C206" s="13" t="str">
        <f t="array" ref="C206">IFERROR(INDEX('간병신청대장'!$B:$B,MATCH($B206,'간병신청대장'!$A:$A,0)),"")</f>
        <v>장옥영</v>
      </c>
      <c r="D206" s="10" t="s">
        <v>2592</v>
      </c>
      <c r="E206" s="10"/>
      <c r="F206" s="10" t="s">
        <v>2593</v>
      </c>
      <c r="G206" s="10" t="s">
        <v>621</v>
      </c>
      <c r="H206" s="10"/>
      <c r="I206" s="10"/>
      <c r="J206" s="19">
        <v>130000.0</v>
      </c>
      <c r="K206" s="19"/>
      <c r="L206" s="10" t="s">
        <v>2594</v>
      </c>
      <c r="M206" s="10" t="s">
        <v>2595</v>
      </c>
      <c r="N206" s="13" t="s">
        <v>1467</v>
      </c>
    </row>
    <row r="207" ht="15.75" customHeight="1">
      <c r="A207" s="10" t="s">
        <v>2596</v>
      </c>
      <c r="B207" s="10" t="s">
        <v>2598</v>
      </c>
      <c r="C207" s="13" t="str">
        <f t="array" ref="C207">IFERROR(INDEX('간병신청대장'!$B:$B,MATCH($B207,'간병신청대장'!$A:$A,0)),"")</f>
        <v>이광호</v>
      </c>
      <c r="D207" s="10" t="s">
        <v>2601</v>
      </c>
      <c r="E207" s="10"/>
      <c r="F207" s="10" t="s">
        <v>2602</v>
      </c>
      <c r="G207" s="20" t="s">
        <v>2603</v>
      </c>
      <c r="H207" s="10"/>
      <c r="I207" s="10"/>
      <c r="J207" s="33">
        <v>140000.0</v>
      </c>
      <c r="K207" s="19"/>
      <c r="L207" s="10" t="s">
        <v>2604</v>
      </c>
      <c r="M207" s="20" t="s">
        <v>2606</v>
      </c>
      <c r="N207" s="31" t="s">
        <v>2607</v>
      </c>
    </row>
    <row r="208" ht="15.75" customHeight="1">
      <c r="A208" s="10" t="s">
        <v>2608</v>
      </c>
      <c r="B208" s="20" t="s">
        <v>2609</v>
      </c>
      <c r="C208" s="13" t="str">
        <f t="array" ref="C208">IFERROR(INDEX('간병신청대장'!$B:$B,MATCH($B208,'간병신청대장'!$A:$A,0)),"")</f>
        <v>정대석</v>
      </c>
      <c r="D208" s="10" t="s">
        <v>2613</v>
      </c>
      <c r="E208" s="10"/>
      <c r="F208" s="10" t="s">
        <v>2614</v>
      </c>
      <c r="G208" s="10" t="s">
        <v>2556</v>
      </c>
      <c r="H208" s="20" t="s">
        <v>1524</v>
      </c>
      <c r="I208" s="10"/>
      <c r="J208" s="19">
        <v>130000.0</v>
      </c>
      <c r="K208" s="19"/>
      <c r="L208" s="10" t="s">
        <v>2615</v>
      </c>
      <c r="M208" s="20" t="s">
        <v>2616</v>
      </c>
      <c r="N208" s="13" t="s">
        <v>2560</v>
      </c>
    </row>
    <row r="209" ht="15.75" customHeight="1">
      <c r="A209" s="10" t="s">
        <v>2617</v>
      </c>
      <c r="B209" s="10" t="s">
        <v>2618</v>
      </c>
      <c r="C209" s="13" t="str">
        <f t="array" ref="C209">IFERROR(INDEX('간병신청대장'!$B:$B,MATCH($B209,'간병신청대장'!$A:$A,0)),"")</f>
        <v>이기흥</v>
      </c>
      <c r="D209" s="10" t="s">
        <v>2623</v>
      </c>
      <c r="E209" s="10"/>
      <c r="F209" s="10" t="s">
        <v>2624</v>
      </c>
      <c r="G209" s="10" t="s">
        <v>2625</v>
      </c>
      <c r="H209" s="20" t="s">
        <v>2626</v>
      </c>
      <c r="I209" s="10"/>
      <c r="J209" s="19">
        <v>140000.0</v>
      </c>
      <c r="K209" s="19"/>
      <c r="L209" s="10" t="s">
        <v>2627</v>
      </c>
      <c r="M209" s="20" t="s">
        <v>2628</v>
      </c>
      <c r="N209" s="31" t="s">
        <v>2629</v>
      </c>
    </row>
    <row r="210" ht="15.75" customHeight="1">
      <c r="A210" s="10" t="s">
        <v>2630</v>
      </c>
      <c r="B210" s="10" t="s">
        <v>2631</v>
      </c>
      <c r="C210" s="13" t="str">
        <f t="array" ref="C210">IFERROR(INDEX('간병신청대장'!$B:$B,MATCH($B210,'간병신청대장'!$A:$A,0)),"")</f>
        <v>강종미</v>
      </c>
      <c r="D210" s="10" t="s">
        <v>2634</v>
      </c>
      <c r="E210" s="10"/>
      <c r="F210" s="10" t="s">
        <v>2635</v>
      </c>
      <c r="G210" s="10" t="s">
        <v>2636</v>
      </c>
      <c r="H210" s="10"/>
      <c r="I210" s="10"/>
      <c r="J210" s="19">
        <v>130000.0</v>
      </c>
      <c r="K210" s="19"/>
      <c r="L210" s="10" t="s">
        <v>2637</v>
      </c>
      <c r="M210" s="20" t="s">
        <v>2639</v>
      </c>
      <c r="N210" s="31" t="s">
        <v>2640</v>
      </c>
    </row>
    <row r="211" ht="15.75" customHeight="1">
      <c r="A211" s="10" t="s">
        <v>2642</v>
      </c>
      <c r="B211" s="10" t="s">
        <v>2644</v>
      </c>
      <c r="C211" s="13" t="str">
        <f t="array" ref="C211">IFERROR(INDEX('간병신청대장'!$B:$B,MATCH($B211,'간병신청대장'!$A:$A,0)),"")</f>
        <v>남경임</v>
      </c>
      <c r="D211" s="10" t="s">
        <v>2652</v>
      </c>
      <c r="E211" s="10"/>
      <c r="F211" s="10" t="s">
        <v>2653</v>
      </c>
      <c r="G211" s="10" t="s">
        <v>585</v>
      </c>
      <c r="H211" s="10"/>
      <c r="I211" s="10"/>
      <c r="J211" s="19">
        <v>140000.0</v>
      </c>
      <c r="K211" s="19"/>
      <c r="L211" s="20" t="s">
        <v>84</v>
      </c>
      <c r="M211" s="10"/>
      <c r="N211" s="31"/>
    </row>
    <row r="212" ht="15.75" customHeight="1">
      <c r="A212" s="10" t="s">
        <v>2654</v>
      </c>
      <c r="B212" s="10" t="s">
        <v>2655</v>
      </c>
      <c r="C212" s="13" t="str">
        <f t="array" ref="C212">IFERROR(INDEX('간병신청대장'!$B:$B,MATCH($B212,'간병신청대장'!$A:$A,0)),"")</f>
        <v>남정숙</v>
      </c>
      <c r="D212" s="10" t="s">
        <v>1853</v>
      </c>
      <c r="E212" s="10"/>
      <c r="F212" s="10" t="s">
        <v>1854</v>
      </c>
      <c r="G212" s="10" t="s">
        <v>1855</v>
      </c>
      <c r="H212" s="10"/>
      <c r="I212" s="10"/>
      <c r="J212" s="19">
        <v>140000.0</v>
      </c>
      <c r="K212" s="19"/>
      <c r="L212" s="20" t="s">
        <v>2658</v>
      </c>
      <c r="M212" s="20" t="s">
        <v>2659</v>
      </c>
      <c r="N212" s="31" t="s">
        <v>1858</v>
      </c>
    </row>
    <row r="213" ht="15.75" customHeight="1">
      <c r="A213" s="10" t="s">
        <v>2661</v>
      </c>
      <c r="B213" s="10" t="s">
        <v>2663</v>
      </c>
      <c r="C213" s="13" t="str">
        <f t="array" ref="C213">IFERROR(INDEX('간병신청대장'!$B:$B,MATCH($B213,'간병신청대장'!$A:$A,0)),"")</f>
        <v>이원주</v>
      </c>
      <c r="D213" s="10" t="s">
        <v>2666</v>
      </c>
      <c r="E213" s="10"/>
      <c r="F213" s="10" t="s">
        <v>2667</v>
      </c>
      <c r="G213" s="10" t="s">
        <v>585</v>
      </c>
      <c r="H213" s="10"/>
      <c r="I213" s="10"/>
      <c r="J213" s="19">
        <v>140000.0</v>
      </c>
      <c r="K213" s="10"/>
      <c r="L213" s="20" t="s">
        <v>2668</v>
      </c>
      <c r="M213" s="20" t="s">
        <v>2669</v>
      </c>
      <c r="N213" s="56" t="s">
        <v>2671</v>
      </c>
    </row>
    <row r="214" ht="15.75" customHeight="1">
      <c r="A214" s="10" t="s">
        <v>2672</v>
      </c>
      <c r="B214" s="10" t="s">
        <v>2673</v>
      </c>
      <c r="C214" s="13" t="str">
        <f t="array" ref="C214">IFERROR(INDEX('간병신청대장'!$B:$B,MATCH($B214,'간병신청대장'!$A:$A,0)),"")</f>
        <v>원용연</v>
      </c>
      <c r="D214" s="20" t="s">
        <v>2686</v>
      </c>
      <c r="E214" s="10"/>
      <c r="F214" s="20" t="s">
        <v>2687</v>
      </c>
      <c r="G214" s="10" t="s">
        <v>1523</v>
      </c>
      <c r="H214" s="10"/>
      <c r="I214" s="10"/>
      <c r="J214" s="19">
        <v>160000.0</v>
      </c>
      <c r="K214" s="19"/>
      <c r="L214" s="20" t="s">
        <v>2688</v>
      </c>
      <c r="M214" s="20" t="s">
        <v>2689</v>
      </c>
      <c r="N214" s="13" t="s">
        <v>2560</v>
      </c>
    </row>
    <row r="215" ht="15.75" customHeight="1">
      <c r="A215" s="10" t="s">
        <v>2690</v>
      </c>
      <c r="B215" s="10" t="s">
        <v>2691</v>
      </c>
      <c r="C215" s="13" t="str">
        <f t="array" ref="C215">IFERROR(INDEX('간병신청대장'!$B:$B,MATCH($B215,'간병신청대장'!$A:$A,0)),"")</f>
        <v>차상옥</v>
      </c>
      <c r="D215" s="10"/>
      <c r="E215" s="10"/>
      <c r="F215" s="10"/>
      <c r="G215" s="10" t="s">
        <v>2695</v>
      </c>
      <c r="H215" s="10"/>
      <c r="I215" s="10"/>
      <c r="J215" s="19"/>
      <c r="K215" s="19"/>
      <c r="L215" s="20" t="s">
        <v>2696</v>
      </c>
      <c r="M215" s="10"/>
      <c r="N215" s="31" t="s">
        <v>2697</v>
      </c>
    </row>
    <row r="216" ht="15.75" customHeight="1">
      <c r="A216" s="57" t="s">
        <v>2698</v>
      </c>
      <c r="B216" s="57" t="s">
        <v>2702</v>
      </c>
      <c r="C216" s="58" t="s">
        <v>2704</v>
      </c>
      <c r="D216" s="59" t="s">
        <v>2705</v>
      </c>
      <c r="E216" s="59">
        <v>760225.0</v>
      </c>
      <c r="F216" s="59" t="s">
        <v>2706</v>
      </c>
      <c r="G216" s="59" t="s">
        <v>2707</v>
      </c>
      <c r="H216" s="57"/>
      <c r="I216" s="57"/>
      <c r="J216" s="60">
        <v>140000.0</v>
      </c>
      <c r="K216" s="61"/>
      <c r="L216" s="59" t="s">
        <v>2708</v>
      </c>
      <c r="M216" s="59" t="s">
        <v>2709</v>
      </c>
      <c r="N216" s="58" t="s">
        <v>2710</v>
      </c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5.75" customHeight="1">
      <c r="A217" s="10" t="s">
        <v>2712</v>
      </c>
      <c r="B217" s="20" t="s">
        <v>2713</v>
      </c>
      <c r="C217" s="13" t="str">
        <f t="array" ref="C217">IFERROR(INDEX('간병신청대장'!$B:$B,MATCH($B217,'간병신청대장'!$A:$A,0)),"")</f>
        <v>김홍철</v>
      </c>
      <c r="D217" s="64" t="s">
        <v>2724</v>
      </c>
      <c r="E217" s="64">
        <v>640403.0</v>
      </c>
      <c r="F217" s="64" t="s">
        <v>2726</v>
      </c>
      <c r="G217" s="64" t="s">
        <v>621</v>
      </c>
      <c r="H217" s="65"/>
      <c r="I217" s="65"/>
      <c r="J217" s="66">
        <v>135000.0</v>
      </c>
      <c r="K217" s="65"/>
      <c r="L217" s="20" t="s">
        <v>2727</v>
      </c>
      <c r="M217" s="20" t="s">
        <v>2728</v>
      </c>
      <c r="N217" s="31" t="s">
        <v>2730</v>
      </c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5.75" customHeight="1">
      <c r="A218" s="10" t="s">
        <v>2731</v>
      </c>
      <c r="B218" s="20" t="s">
        <v>2673</v>
      </c>
      <c r="C218" s="13" t="str">
        <f t="array" ref="C218">IFERROR(INDEX('간병신청대장'!$B:$B,MATCH($B218,'간병신청대장'!$A:$A,0)),"")</f>
        <v>원용연</v>
      </c>
      <c r="D218" s="64" t="s">
        <v>2736</v>
      </c>
      <c r="E218" s="65"/>
      <c r="F218" s="64" t="s">
        <v>2738</v>
      </c>
      <c r="G218" s="10" t="s">
        <v>585</v>
      </c>
      <c r="H218" s="65"/>
      <c r="I218" s="65"/>
      <c r="J218" s="66">
        <v>160000.0</v>
      </c>
      <c r="K218" s="65"/>
      <c r="L218" s="20" t="s">
        <v>2689</v>
      </c>
      <c r="M218" s="20" t="s">
        <v>2740</v>
      </c>
      <c r="N218" s="13" t="s">
        <v>2560</v>
      </c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5.75" customHeight="1">
      <c r="A219" s="10" t="s">
        <v>2746</v>
      </c>
      <c r="B219" s="20" t="s">
        <v>2748</v>
      </c>
      <c r="C219" s="13" t="str">
        <f t="array" ref="C219">IFERROR(INDEX('간병신청대장'!$B:$B,MATCH($B219,'간병신청대장'!$A:$A,0)),"")</f>
        <v>최교삼</v>
      </c>
      <c r="D219" s="64" t="s">
        <v>2753</v>
      </c>
      <c r="E219" s="65"/>
      <c r="F219" s="64" t="s">
        <v>2754</v>
      </c>
      <c r="G219" s="20" t="s">
        <v>2756</v>
      </c>
      <c r="H219" s="64" t="s">
        <v>2757</v>
      </c>
      <c r="I219" s="65"/>
      <c r="J219" s="66">
        <v>140000.0</v>
      </c>
      <c r="K219" s="65"/>
      <c r="L219" s="20" t="s">
        <v>2759</v>
      </c>
      <c r="M219" s="20" t="s">
        <v>2760</v>
      </c>
      <c r="N219" s="64" t="s">
        <v>2761</v>
      </c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5.75" customHeight="1">
      <c r="A220" s="10" t="s">
        <v>2762</v>
      </c>
      <c r="B220" s="20" t="s">
        <v>63</v>
      </c>
      <c r="C220" s="13" t="str">
        <f t="array" ref="C220">IFERROR(INDEX('간병신청대장'!$B:$B,MATCH($B220,'간병신청대장'!$A:$A,0)),"")</f>
        <v>김옥경</v>
      </c>
      <c r="D220" s="64" t="s">
        <v>2767</v>
      </c>
      <c r="E220" s="65"/>
      <c r="F220" s="64" t="s">
        <v>2768</v>
      </c>
      <c r="G220" s="64" t="s">
        <v>2769</v>
      </c>
      <c r="H220" s="65"/>
      <c r="I220" s="65"/>
      <c r="J220" s="66">
        <v>92000.0</v>
      </c>
      <c r="K220" s="65"/>
      <c r="L220" s="20" t="s">
        <v>2771</v>
      </c>
      <c r="M220" s="64" t="s">
        <v>2772</v>
      </c>
      <c r="N220" s="65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5.75" customHeight="1">
      <c r="A221" s="10" t="s">
        <v>2773</v>
      </c>
      <c r="B221" s="20" t="s">
        <v>121</v>
      </c>
      <c r="C221" s="13" t="str">
        <f t="array" ref="C221">IFERROR(INDEX('간병신청대장'!$B:$B,MATCH($B221,'간병신청대장'!$A:$A,0)),"")</f>
        <v>박지원</v>
      </c>
      <c r="D221" s="64" t="s">
        <v>2775</v>
      </c>
      <c r="E221" s="65"/>
      <c r="F221" s="64" t="s">
        <v>2776</v>
      </c>
      <c r="G221" s="64" t="s">
        <v>92</v>
      </c>
      <c r="H221" s="65"/>
      <c r="I221" s="65"/>
      <c r="J221" s="66">
        <v>80000.0</v>
      </c>
      <c r="K221" s="65"/>
      <c r="L221" s="20" t="s">
        <v>2777</v>
      </c>
      <c r="M221" s="64" t="s">
        <v>2778</v>
      </c>
      <c r="N221" s="65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5.75" customHeight="1">
      <c r="A222" s="10" t="s">
        <v>2779</v>
      </c>
      <c r="B222" s="20" t="s">
        <v>356</v>
      </c>
      <c r="C222" s="13" t="str">
        <f t="array" ref="C222">IFERROR(INDEX('간병신청대장'!$B:$B,MATCH($B222,'간병신청대장'!$A:$A,0)),"")</f>
        <v>이윤진</v>
      </c>
      <c r="D222" s="64" t="s">
        <v>2775</v>
      </c>
      <c r="E222" s="65"/>
      <c r="F222" s="64" t="s">
        <v>2776</v>
      </c>
      <c r="G222" s="64" t="s">
        <v>92</v>
      </c>
      <c r="H222" s="65"/>
      <c r="I222" s="65"/>
      <c r="J222" s="66">
        <v>80000.0</v>
      </c>
      <c r="K222" s="65"/>
      <c r="L222" s="20" t="s">
        <v>2791</v>
      </c>
      <c r="M222" s="64" t="s">
        <v>2792</v>
      </c>
      <c r="N222" s="65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5.75" customHeight="1">
      <c r="A223" s="10" t="s">
        <v>2793</v>
      </c>
      <c r="B223" s="10" t="s">
        <v>2794</v>
      </c>
      <c r="C223" s="13" t="str">
        <f t="array" ref="C223">IFERROR(INDEX('간병신청대장'!$B:$B,MATCH($B223,'간병신청대장'!$A:$A,0)),"")</f>
        <v>곽은정</v>
      </c>
      <c r="D223" s="64" t="s">
        <v>2797</v>
      </c>
      <c r="E223" s="65"/>
      <c r="F223" s="20" t="s">
        <v>2798</v>
      </c>
      <c r="G223" s="64" t="s">
        <v>92</v>
      </c>
      <c r="H223" s="65"/>
      <c r="I223" s="65"/>
      <c r="J223" s="66">
        <v>80000.0</v>
      </c>
      <c r="K223" s="65"/>
      <c r="L223" s="20" t="s">
        <v>2799</v>
      </c>
      <c r="M223" s="20" t="s">
        <v>2800</v>
      </c>
      <c r="N223" s="64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10" t="s">
        <v>2801</v>
      </c>
      <c r="B224" s="10" t="s">
        <v>2802</v>
      </c>
      <c r="C224" s="13" t="str">
        <f t="array" ref="C224">IFERROR(INDEX('간병신청대장'!$B:$B,MATCH($B224,'간병신청대장'!$A:$A,0)),"")</f>
        <v>이정민</v>
      </c>
      <c r="D224" s="64" t="s">
        <v>2810</v>
      </c>
      <c r="E224" s="65"/>
      <c r="F224" s="64" t="s">
        <v>2811</v>
      </c>
      <c r="G224" s="64" t="s">
        <v>621</v>
      </c>
      <c r="H224" s="65"/>
      <c r="I224" s="65"/>
      <c r="J224" s="66">
        <v>135000.0</v>
      </c>
      <c r="K224" s="65"/>
      <c r="L224" s="20" t="s">
        <v>2812</v>
      </c>
      <c r="M224" s="20" t="s">
        <v>2813</v>
      </c>
      <c r="N224" s="31" t="s">
        <v>2814</v>
      </c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10" t="s">
        <v>2816</v>
      </c>
      <c r="B225" s="20" t="s">
        <v>2713</v>
      </c>
      <c r="C225" s="64" t="s">
        <v>2817</v>
      </c>
      <c r="D225" s="64" t="s">
        <v>2818</v>
      </c>
      <c r="E225" s="65"/>
      <c r="F225" s="64" t="s">
        <v>2819</v>
      </c>
      <c r="G225" s="64" t="s">
        <v>621</v>
      </c>
      <c r="H225" s="65"/>
      <c r="I225" s="65"/>
      <c r="J225" s="66">
        <v>135000.0</v>
      </c>
      <c r="K225" s="65"/>
      <c r="L225" s="20" t="s">
        <v>2728</v>
      </c>
      <c r="M225" s="20" t="s">
        <v>2820</v>
      </c>
      <c r="N225" s="31" t="s">
        <v>2730</v>
      </c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10" t="s">
        <v>2821</v>
      </c>
      <c r="B226" s="10" t="s">
        <v>564</v>
      </c>
      <c r="C226" s="13" t="str">
        <f t="array" ref="C226">IFERROR(INDEX('간병신청대장'!$B:$B,MATCH($B226,'간병신청대장'!$A:$A,0)),"")</f>
        <v>전남영</v>
      </c>
      <c r="D226" s="64" t="s">
        <v>2834</v>
      </c>
      <c r="E226" s="65"/>
      <c r="F226" s="64" t="s">
        <v>2835</v>
      </c>
      <c r="G226" s="10" t="s">
        <v>585</v>
      </c>
      <c r="H226" s="10" t="s">
        <v>586</v>
      </c>
      <c r="I226" s="65"/>
      <c r="J226" s="66">
        <v>140000.0</v>
      </c>
      <c r="K226" s="65"/>
      <c r="L226" s="20" t="s">
        <v>588</v>
      </c>
      <c r="M226" s="20" t="s">
        <v>2836</v>
      </c>
      <c r="N226" s="56" t="s">
        <v>2671</v>
      </c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10" t="s">
        <v>2839</v>
      </c>
      <c r="B227" s="10" t="s">
        <v>2840</v>
      </c>
      <c r="C227" s="64" t="s">
        <v>2842</v>
      </c>
      <c r="D227" s="64" t="s">
        <v>2843</v>
      </c>
      <c r="E227" s="64">
        <v>621014.0</v>
      </c>
      <c r="F227" s="64" t="s">
        <v>2844</v>
      </c>
      <c r="G227" s="64" t="s">
        <v>2845</v>
      </c>
      <c r="H227" s="65"/>
      <c r="I227" s="65"/>
      <c r="J227" s="66">
        <v>140000.0</v>
      </c>
      <c r="K227" s="65"/>
      <c r="L227" s="20" t="s">
        <v>2846</v>
      </c>
      <c r="M227" s="20" t="s">
        <v>2847</v>
      </c>
      <c r="N227" s="64" t="s">
        <v>2848</v>
      </c>
    </row>
    <row r="228" ht="15.75" customHeight="1">
      <c r="A228" s="10" t="s">
        <v>2849</v>
      </c>
      <c r="B228" s="10" t="s">
        <v>2850</v>
      </c>
      <c r="C228" s="64" t="s">
        <v>2851</v>
      </c>
      <c r="D228" s="64" t="s">
        <v>2852</v>
      </c>
      <c r="E228" s="65"/>
      <c r="F228" s="64" t="s">
        <v>2853</v>
      </c>
      <c r="G228" s="64" t="s">
        <v>621</v>
      </c>
      <c r="H228" s="65"/>
      <c r="I228" s="65"/>
      <c r="J228" s="66">
        <v>135000.0</v>
      </c>
      <c r="K228" s="64"/>
      <c r="L228" s="20" t="s">
        <v>2854</v>
      </c>
      <c r="M228" s="20" t="s">
        <v>2855</v>
      </c>
      <c r="N228" s="31" t="s">
        <v>2856</v>
      </c>
    </row>
    <row r="229" ht="15.75" customHeight="1">
      <c r="A229" s="10" t="s">
        <v>2857</v>
      </c>
      <c r="B229" s="10" t="s">
        <v>2858</v>
      </c>
      <c r="C229" s="64" t="s">
        <v>2859</v>
      </c>
      <c r="D229" s="64" t="s">
        <v>2860</v>
      </c>
      <c r="E229" s="65"/>
      <c r="F229" s="64" t="s">
        <v>2862</v>
      </c>
      <c r="G229" s="64" t="s">
        <v>621</v>
      </c>
      <c r="H229" s="65"/>
      <c r="I229" s="65"/>
      <c r="J229" s="66">
        <v>135000.0</v>
      </c>
      <c r="K229" s="64"/>
      <c r="L229" s="20" t="s">
        <v>2863</v>
      </c>
      <c r="M229" s="20" t="s">
        <v>2864</v>
      </c>
      <c r="N229" s="31" t="s">
        <v>2814</v>
      </c>
    </row>
    <row r="230" ht="15.0" customHeight="1">
      <c r="A230" s="10" t="s">
        <v>2865</v>
      </c>
      <c r="B230" s="10" t="s">
        <v>2644</v>
      </c>
      <c r="C230" s="64" t="s">
        <v>2867</v>
      </c>
      <c r="D230" s="64" t="s">
        <v>2868</v>
      </c>
      <c r="E230" s="64" t="s">
        <v>2869</v>
      </c>
      <c r="F230" s="64" t="s">
        <v>2870</v>
      </c>
      <c r="G230" s="67" t="s">
        <v>2872</v>
      </c>
      <c r="H230" s="64" t="s">
        <v>715</v>
      </c>
      <c r="I230" s="65"/>
      <c r="J230" s="66">
        <v>140000.0</v>
      </c>
      <c r="K230" s="65"/>
      <c r="L230" s="20" t="s">
        <v>2876</v>
      </c>
      <c r="M230" s="20" t="s">
        <v>2877</v>
      </c>
      <c r="N230" s="20" t="s">
        <v>2878</v>
      </c>
      <c r="O230" s="40" t="s">
        <v>2879</v>
      </c>
    </row>
    <row r="231" ht="15.75" customHeight="1">
      <c r="A231" s="10" t="s">
        <v>2880</v>
      </c>
      <c r="B231" s="57" t="s">
        <v>2702</v>
      </c>
      <c r="C231" s="58" t="s">
        <v>2704</v>
      </c>
      <c r="D231" s="64" t="s">
        <v>2882</v>
      </c>
      <c r="E231" s="65"/>
      <c r="F231" s="64" t="s">
        <v>2883</v>
      </c>
      <c r="G231" s="67" t="s">
        <v>1006</v>
      </c>
      <c r="H231" s="64" t="s">
        <v>1018</v>
      </c>
      <c r="I231" s="65"/>
      <c r="J231" s="66">
        <v>140000.0</v>
      </c>
      <c r="K231" s="65"/>
      <c r="L231" s="20" t="s">
        <v>2884</v>
      </c>
      <c r="M231" s="20" t="s">
        <v>2885</v>
      </c>
      <c r="N231" s="64" t="s">
        <v>2886</v>
      </c>
    </row>
    <row r="232" ht="15.75" customHeight="1">
      <c r="A232" s="10" t="s">
        <v>2887</v>
      </c>
      <c r="B232" s="20" t="s">
        <v>2888</v>
      </c>
      <c r="C232" s="13" t="str">
        <f t="array" ref="C232">IFERROR(INDEX('간병신청대장'!$B:$B,MATCH($B232,'간병신청대장'!$A:$A,0)),"")</f>
        <v>김순자</v>
      </c>
      <c r="D232" s="64" t="s">
        <v>2891</v>
      </c>
      <c r="E232" s="64" t="s">
        <v>2892</v>
      </c>
      <c r="F232" s="64" t="s">
        <v>2893</v>
      </c>
      <c r="G232" s="64" t="s">
        <v>2894</v>
      </c>
      <c r="H232" s="64" t="s">
        <v>2895</v>
      </c>
      <c r="I232" s="65"/>
      <c r="J232" s="66">
        <v>139000.0</v>
      </c>
      <c r="K232" s="65"/>
      <c r="L232" s="20" t="s">
        <v>2896</v>
      </c>
      <c r="M232" s="20" t="s">
        <v>2897</v>
      </c>
      <c r="N232" s="64" t="s">
        <v>2898</v>
      </c>
    </row>
    <row r="233" ht="15.75" customHeight="1">
      <c r="A233" s="10" t="s">
        <v>2900</v>
      </c>
      <c r="B233" s="10" t="s">
        <v>2644</v>
      </c>
      <c r="C233" s="64" t="s">
        <v>2867</v>
      </c>
      <c r="D233" s="64" t="s">
        <v>2901</v>
      </c>
      <c r="E233" s="64" t="s">
        <v>2902</v>
      </c>
      <c r="F233" s="64" t="s">
        <v>2903</v>
      </c>
      <c r="G233" s="67" t="s">
        <v>2872</v>
      </c>
      <c r="H233" s="64" t="s">
        <v>715</v>
      </c>
      <c r="I233" s="65"/>
      <c r="J233" s="66">
        <v>140000.0</v>
      </c>
      <c r="K233" s="65"/>
      <c r="L233" s="20" t="s">
        <v>2877</v>
      </c>
      <c r="M233" s="20" t="s">
        <v>2905</v>
      </c>
      <c r="N233" s="64" t="s">
        <v>2906</v>
      </c>
      <c r="O233" s="40" t="s">
        <v>2907</v>
      </c>
    </row>
    <row r="234" ht="15.75" customHeight="1">
      <c r="A234" s="10" t="s">
        <v>2908</v>
      </c>
      <c r="B234" s="10" t="s">
        <v>2691</v>
      </c>
      <c r="C234" s="13" t="s">
        <v>2909</v>
      </c>
      <c r="D234" s="64" t="s">
        <v>2910</v>
      </c>
      <c r="E234" s="65"/>
      <c r="F234" s="64" t="s">
        <v>2911</v>
      </c>
      <c r="G234" s="64" t="s">
        <v>139</v>
      </c>
      <c r="H234" s="67"/>
      <c r="I234" s="65"/>
      <c r="J234" s="66">
        <v>140000.0</v>
      </c>
      <c r="K234" s="65"/>
      <c r="L234" s="20" t="s">
        <v>2913</v>
      </c>
      <c r="M234" s="20" t="s">
        <v>2914</v>
      </c>
      <c r="N234" s="31" t="s">
        <v>2915</v>
      </c>
      <c r="O234" s="40" t="s">
        <v>2916</v>
      </c>
    </row>
    <row r="235" ht="15.75" customHeight="1">
      <c r="A235" s="10" t="s">
        <v>2917</v>
      </c>
      <c r="B235" s="10" t="s">
        <v>2918</v>
      </c>
      <c r="C235" s="64" t="s">
        <v>2919</v>
      </c>
      <c r="D235" s="64" t="s">
        <v>2920</v>
      </c>
      <c r="E235" s="65"/>
      <c r="F235" s="64" t="s">
        <v>2921</v>
      </c>
      <c r="G235" s="64" t="s">
        <v>2922</v>
      </c>
      <c r="H235" s="64" t="s">
        <v>2923</v>
      </c>
      <c r="I235" s="65"/>
      <c r="J235" s="66">
        <v>140000.0</v>
      </c>
      <c r="K235" s="65"/>
      <c r="L235" s="20" t="s">
        <v>2924</v>
      </c>
      <c r="M235" s="20" t="s">
        <v>2925</v>
      </c>
      <c r="N235" s="64" t="s">
        <v>2926</v>
      </c>
    </row>
    <row r="236" ht="15.75" customHeight="1">
      <c r="A236" s="10" t="s">
        <v>2927</v>
      </c>
      <c r="B236" s="10" t="s">
        <v>2232</v>
      </c>
      <c r="C236" s="13" t="str">
        <f t="array" ref="C236">IFERROR(INDEX('간병신청대장'!$B:$B,MATCH($B236,'간병신청대장'!$A:$A,0)),"")</f>
        <v>김철재</v>
      </c>
      <c r="D236" s="64" t="s">
        <v>2931</v>
      </c>
      <c r="E236" s="65"/>
      <c r="F236" s="64" t="s">
        <v>2932</v>
      </c>
      <c r="G236" s="64" t="s">
        <v>2933</v>
      </c>
      <c r="H236" s="64" t="s">
        <v>2239</v>
      </c>
      <c r="I236" s="65"/>
      <c r="J236" s="66">
        <v>130000.0</v>
      </c>
      <c r="K236" s="65"/>
      <c r="L236" s="20" t="s">
        <v>2935</v>
      </c>
      <c r="M236" s="65"/>
      <c r="N236" s="31" t="s">
        <v>2242</v>
      </c>
    </row>
    <row r="237" ht="15.75" customHeight="1">
      <c r="A237" s="10" t="s">
        <v>2936</v>
      </c>
      <c r="B237" s="68" t="s">
        <v>2644</v>
      </c>
      <c r="C237" s="69" t="s">
        <v>2867</v>
      </c>
      <c r="D237" s="64" t="s">
        <v>2938</v>
      </c>
      <c r="E237" s="64" t="s">
        <v>2939</v>
      </c>
      <c r="F237" s="64" t="s">
        <v>2940</v>
      </c>
      <c r="G237" s="64" t="s">
        <v>2941</v>
      </c>
      <c r="H237" s="64" t="s">
        <v>715</v>
      </c>
      <c r="I237" s="65"/>
      <c r="J237" s="66">
        <v>140000.0</v>
      </c>
      <c r="K237" s="65"/>
      <c r="L237" s="64" t="s">
        <v>2905</v>
      </c>
      <c r="M237" s="20" t="s">
        <v>2942</v>
      </c>
      <c r="N237" s="64" t="s">
        <v>2943</v>
      </c>
      <c r="O237" s="40" t="s">
        <v>2944</v>
      </c>
    </row>
    <row r="238" ht="15.75" customHeight="1">
      <c r="A238" s="10" t="s">
        <v>2945</v>
      </c>
      <c r="B238" s="10" t="s">
        <v>2946</v>
      </c>
      <c r="C238" s="64" t="s">
        <v>2947</v>
      </c>
      <c r="D238" s="56" t="s">
        <v>2948</v>
      </c>
      <c r="E238" s="65"/>
      <c r="F238" s="64" t="s">
        <v>2949</v>
      </c>
      <c r="G238" s="64" t="s">
        <v>2950</v>
      </c>
      <c r="H238" s="64" t="s">
        <v>809</v>
      </c>
      <c r="I238" s="65"/>
      <c r="J238" s="66">
        <v>140000.0</v>
      </c>
      <c r="K238" s="65"/>
      <c r="L238" s="64" t="s">
        <v>2952</v>
      </c>
      <c r="M238" s="20" t="s">
        <v>2953</v>
      </c>
      <c r="N238" s="64" t="s">
        <v>2955</v>
      </c>
    </row>
    <row r="239" ht="15.75" customHeight="1">
      <c r="A239" s="10" t="s">
        <v>2957</v>
      </c>
      <c r="B239" s="10" t="s">
        <v>2959</v>
      </c>
      <c r="C239" s="64" t="s">
        <v>2960</v>
      </c>
      <c r="D239" s="64" t="s">
        <v>2623</v>
      </c>
      <c r="E239" s="64" t="s">
        <v>2963</v>
      </c>
      <c r="F239" s="64" t="s">
        <v>2624</v>
      </c>
      <c r="G239" s="64" t="s">
        <v>2964</v>
      </c>
      <c r="H239" s="20" t="s">
        <v>2626</v>
      </c>
      <c r="I239" s="65"/>
      <c r="J239" s="66">
        <v>139000.0</v>
      </c>
      <c r="K239" s="20" t="s">
        <v>2967</v>
      </c>
      <c r="L239" s="64" t="s">
        <v>2970</v>
      </c>
      <c r="M239" s="20" t="s">
        <v>2972</v>
      </c>
      <c r="N239" s="31" t="s">
        <v>2973</v>
      </c>
      <c r="O239" s="40" t="s">
        <v>2974</v>
      </c>
    </row>
    <row r="240" ht="15.75" customHeight="1">
      <c r="A240" s="10" t="s">
        <v>2975</v>
      </c>
      <c r="B240" s="10" t="s">
        <v>2976</v>
      </c>
      <c r="C240" s="64" t="s">
        <v>2978</v>
      </c>
      <c r="D240" s="64" t="s">
        <v>2979</v>
      </c>
      <c r="E240" s="64" t="s">
        <v>2980</v>
      </c>
      <c r="F240" s="64" t="s">
        <v>2981</v>
      </c>
      <c r="G240" s="64" t="s">
        <v>2625</v>
      </c>
      <c r="H240" s="64" t="s">
        <v>2982</v>
      </c>
      <c r="I240" s="65"/>
      <c r="J240" s="66">
        <v>139000.0</v>
      </c>
      <c r="K240" s="64" t="s">
        <v>2983</v>
      </c>
      <c r="L240" s="64" t="s">
        <v>2984</v>
      </c>
      <c r="M240" s="20" t="s">
        <v>2985</v>
      </c>
      <c r="N240" s="64" t="s">
        <v>2986</v>
      </c>
    </row>
    <row r="241" ht="15.75" customHeight="1">
      <c r="A241" s="10" t="s">
        <v>2987</v>
      </c>
      <c r="B241" s="10" t="s">
        <v>2988</v>
      </c>
      <c r="C241" s="64" t="s">
        <v>2989</v>
      </c>
      <c r="D241" s="64" t="s">
        <v>2990</v>
      </c>
      <c r="E241" s="65"/>
      <c r="F241" s="64" t="s">
        <v>2991</v>
      </c>
      <c r="G241" s="67" t="s">
        <v>2872</v>
      </c>
      <c r="H241" s="64" t="s">
        <v>715</v>
      </c>
      <c r="I241" s="65"/>
      <c r="J241" s="66">
        <v>140000.0</v>
      </c>
      <c r="K241" s="64" t="s">
        <v>2992</v>
      </c>
      <c r="L241" s="64" t="s">
        <v>2993</v>
      </c>
      <c r="M241" s="65"/>
      <c r="N241" s="64" t="s">
        <v>2994</v>
      </c>
      <c r="O241" s="40">
        <v>119.0</v>
      </c>
    </row>
    <row r="242" ht="15.75" customHeight="1">
      <c r="A242" s="10" t="s">
        <v>2987</v>
      </c>
      <c r="B242" s="10" t="s">
        <v>2995</v>
      </c>
      <c r="C242" s="64" t="s">
        <v>2996</v>
      </c>
      <c r="D242" s="64" t="s">
        <v>2997</v>
      </c>
      <c r="E242" s="64"/>
      <c r="F242" s="64" t="s">
        <v>2998</v>
      </c>
      <c r="G242" s="64" t="s">
        <v>992</v>
      </c>
      <c r="H242" s="64" t="s">
        <v>2999</v>
      </c>
      <c r="I242" s="65"/>
      <c r="J242" s="66">
        <v>145000.0</v>
      </c>
      <c r="K242" s="64" t="s">
        <v>3001</v>
      </c>
      <c r="L242" s="64" t="s">
        <v>3001</v>
      </c>
      <c r="M242" s="20" t="s">
        <v>3002</v>
      </c>
      <c r="N242" s="64" t="s">
        <v>3003</v>
      </c>
    </row>
    <row r="243" ht="15.75" customHeight="1">
      <c r="A243" s="10" t="s">
        <v>3004</v>
      </c>
      <c r="B243" s="10" t="s">
        <v>3005</v>
      </c>
      <c r="C243" s="64" t="s">
        <v>3006</v>
      </c>
      <c r="D243" s="64" t="s">
        <v>2623</v>
      </c>
      <c r="E243" s="64" t="s">
        <v>2963</v>
      </c>
      <c r="F243" s="64" t="s">
        <v>2624</v>
      </c>
      <c r="G243" s="64" t="s">
        <v>2964</v>
      </c>
      <c r="H243" s="20" t="s">
        <v>2626</v>
      </c>
      <c r="I243" s="65"/>
      <c r="J243" s="66">
        <v>139000.0</v>
      </c>
      <c r="K243" s="20" t="s">
        <v>3007</v>
      </c>
      <c r="L243" s="20" t="s">
        <v>3008</v>
      </c>
      <c r="M243" s="65"/>
      <c r="N243" s="31" t="s">
        <v>2973</v>
      </c>
    </row>
    <row r="244" ht="15.75" customHeight="1">
      <c r="A244" s="10" t="s">
        <v>3009</v>
      </c>
      <c r="B244" s="10" t="s">
        <v>3010</v>
      </c>
      <c r="C244" s="64" t="s">
        <v>3011</v>
      </c>
      <c r="D244" s="64" t="s">
        <v>3012</v>
      </c>
      <c r="E244" s="64" t="s">
        <v>3013</v>
      </c>
      <c r="F244" s="64" t="s">
        <v>3014</v>
      </c>
      <c r="G244" s="64" t="s">
        <v>3015</v>
      </c>
      <c r="H244" s="64" t="s">
        <v>3016</v>
      </c>
      <c r="I244" s="65"/>
      <c r="J244" s="66">
        <v>140000.0</v>
      </c>
      <c r="K244" s="20" t="s">
        <v>3008</v>
      </c>
      <c r="L244" s="20" t="s">
        <v>3017</v>
      </c>
      <c r="M244" s="20" t="s">
        <v>3018</v>
      </c>
      <c r="N244" s="64" t="s">
        <v>3019</v>
      </c>
      <c r="O244" s="40" t="s">
        <v>3020</v>
      </c>
    </row>
    <row r="245" ht="15.75" customHeight="1">
      <c r="A245" s="10" t="s">
        <v>3021</v>
      </c>
      <c r="B245" s="10" t="s">
        <v>3022</v>
      </c>
      <c r="C245" s="64" t="s">
        <v>3023</v>
      </c>
      <c r="D245" s="64" t="s">
        <v>3024</v>
      </c>
      <c r="E245" s="65"/>
      <c r="F245" s="64" t="s">
        <v>3025</v>
      </c>
      <c r="G245" s="64" t="s">
        <v>3026</v>
      </c>
      <c r="H245" s="64" t="s">
        <v>2757</v>
      </c>
      <c r="I245" s="65"/>
      <c r="J245" s="66">
        <v>140000.0</v>
      </c>
      <c r="K245" s="20" t="s">
        <v>3002</v>
      </c>
      <c r="L245" s="20" t="s">
        <v>3002</v>
      </c>
      <c r="M245" s="20" t="s">
        <v>3002</v>
      </c>
      <c r="N245" s="64" t="s">
        <v>2761</v>
      </c>
      <c r="O245" s="40" t="s">
        <v>3027</v>
      </c>
    </row>
    <row r="246" ht="15.75" customHeight="1">
      <c r="A246" s="10" t="s">
        <v>3028</v>
      </c>
      <c r="B246" s="10" t="s">
        <v>3029</v>
      </c>
      <c r="C246" s="64" t="s">
        <v>3030</v>
      </c>
      <c r="D246" s="64" t="s">
        <v>3031</v>
      </c>
      <c r="E246" s="64" t="s">
        <v>3032</v>
      </c>
      <c r="F246" s="64" t="s">
        <v>3033</v>
      </c>
      <c r="G246" s="64" t="s">
        <v>3035</v>
      </c>
      <c r="H246" s="64" t="s">
        <v>2982</v>
      </c>
      <c r="I246" s="65"/>
      <c r="J246" s="66">
        <v>139000.0</v>
      </c>
      <c r="K246" s="65"/>
      <c r="L246" s="20" t="s">
        <v>3037</v>
      </c>
      <c r="M246" s="20" t="s">
        <v>3039</v>
      </c>
      <c r="N246" s="64" t="s">
        <v>3042</v>
      </c>
    </row>
    <row r="247" ht="15.75" customHeight="1">
      <c r="A247" s="10" t="s">
        <v>3043</v>
      </c>
      <c r="B247" s="10" t="s">
        <v>3045</v>
      </c>
      <c r="C247" s="64" t="s">
        <v>3046</v>
      </c>
      <c r="D247" s="64" t="s">
        <v>3048</v>
      </c>
      <c r="E247" s="65"/>
      <c r="F247" s="64" t="s">
        <v>3049</v>
      </c>
      <c r="G247" s="64" t="s">
        <v>2950</v>
      </c>
      <c r="H247" s="64" t="s">
        <v>809</v>
      </c>
      <c r="I247" s="65"/>
      <c r="J247" s="66">
        <v>140000.0</v>
      </c>
      <c r="K247" s="20" t="s">
        <v>3037</v>
      </c>
      <c r="L247" s="20" t="s">
        <v>3053</v>
      </c>
      <c r="M247" s="20" t="s">
        <v>3018</v>
      </c>
      <c r="N247" s="64" t="s">
        <v>2955</v>
      </c>
    </row>
    <row r="248" ht="15.75" customHeight="1">
      <c r="A248" s="10" t="s">
        <v>3055</v>
      </c>
      <c r="B248" s="10" t="s">
        <v>3056</v>
      </c>
      <c r="C248" s="64" t="s">
        <v>3057</v>
      </c>
      <c r="D248" s="64" t="s">
        <v>2920</v>
      </c>
      <c r="E248" s="65"/>
      <c r="F248" s="64" t="s">
        <v>2921</v>
      </c>
      <c r="G248" s="64" t="s">
        <v>2922</v>
      </c>
      <c r="H248" s="64" t="s">
        <v>2923</v>
      </c>
      <c r="I248" s="65"/>
      <c r="J248" s="66">
        <v>140000.0</v>
      </c>
      <c r="K248" s="20" t="s">
        <v>3059</v>
      </c>
      <c r="L248" s="20" t="s">
        <v>3060</v>
      </c>
      <c r="M248" s="20" t="s">
        <v>3061</v>
      </c>
      <c r="N248" s="64" t="s">
        <v>2926</v>
      </c>
    </row>
    <row r="249" ht="15.75" customHeight="1">
      <c r="A249" s="10" t="s">
        <v>3062</v>
      </c>
      <c r="B249" s="10" t="s">
        <v>3063</v>
      </c>
      <c r="C249" s="64" t="s">
        <v>3064</v>
      </c>
      <c r="D249" s="64" t="s">
        <v>2666</v>
      </c>
      <c r="E249" s="65"/>
      <c r="F249" s="64" t="s">
        <v>2667</v>
      </c>
      <c r="G249" s="64" t="s">
        <v>3065</v>
      </c>
      <c r="H249" s="64" t="s">
        <v>586</v>
      </c>
      <c r="I249" s="65"/>
      <c r="J249" s="66">
        <v>140000.0</v>
      </c>
      <c r="K249" s="65"/>
      <c r="L249" s="20" t="s">
        <v>3066</v>
      </c>
      <c r="M249" s="20" t="s">
        <v>3067</v>
      </c>
      <c r="N249" s="56" t="s">
        <v>3068</v>
      </c>
    </row>
    <row r="250" ht="15.75" customHeight="1">
      <c r="A250" s="10" t="s">
        <v>3069</v>
      </c>
      <c r="B250" s="10" t="s">
        <v>3070</v>
      </c>
      <c r="C250" s="64" t="s">
        <v>3071</v>
      </c>
      <c r="D250" s="64" t="s">
        <v>1263</v>
      </c>
      <c r="E250" s="65"/>
      <c r="F250" s="64" t="s">
        <v>3072</v>
      </c>
      <c r="G250" s="64" t="s">
        <v>1449</v>
      </c>
      <c r="H250" s="64" t="s">
        <v>3073</v>
      </c>
      <c r="I250" s="65"/>
      <c r="J250" s="66">
        <v>140000.0</v>
      </c>
      <c r="K250" s="20" t="s">
        <v>3074</v>
      </c>
      <c r="L250" s="64" t="s">
        <v>3075</v>
      </c>
      <c r="M250" s="20" t="s">
        <v>3039</v>
      </c>
      <c r="N250" s="64" t="s">
        <v>3077</v>
      </c>
      <c r="O250" s="40" t="s">
        <v>3079</v>
      </c>
    </row>
    <row r="251" ht="15.75" customHeight="1">
      <c r="A251" s="10" t="s">
        <v>3080</v>
      </c>
      <c r="B251" s="10" t="s">
        <v>3081</v>
      </c>
      <c r="C251" s="64" t="s">
        <v>3082</v>
      </c>
      <c r="D251" s="64" t="s">
        <v>3083</v>
      </c>
      <c r="E251" s="64" t="s">
        <v>3084</v>
      </c>
      <c r="F251" s="64" t="s">
        <v>3085</v>
      </c>
      <c r="G251" s="64" t="s">
        <v>2894</v>
      </c>
      <c r="H251" s="64" t="s">
        <v>2895</v>
      </c>
      <c r="I251" s="65"/>
      <c r="J251" s="66">
        <v>139000.0</v>
      </c>
      <c r="K251" s="65"/>
      <c r="L251" s="20" t="s">
        <v>3086</v>
      </c>
      <c r="M251" s="65"/>
      <c r="N251" s="65"/>
      <c r="O251" s="40" t="s">
        <v>3087</v>
      </c>
    </row>
    <row r="252" ht="15.75" customHeight="1">
      <c r="A252" s="10" t="s">
        <v>3090</v>
      </c>
      <c r="B252" s="10" t="s">
        <v>3029</v>
      </c>
      <c r="C252" s="64" t="s">
        <v>3030</v>
      </c>
      <c r="D252" s="64" t="s">
        <v>3092</v>
      </c>
      <c r="E252" s="64"/>
      <c r="F252" s="64" t="s">
        <v>3093</v>
      </c>
      <c r="G252" s="70" t="s">
        <v>1073</v>
      </c>
      <c r="H252" s="64" t="s">
        <v>3097</v>
      </c>
      <c r="I252" s="65"/>
      <c r="J252" s="66">
        <v>140000.0</v>
      </c>
      <c r="K252" s="65"/>
      <c r="L252" s="20" t="s">
        <v>3039</v>
      </c>
      <c r="M252" s="65"/>
      <c r="N252" s="70" t="s">
        <v>3098</v>
      </c>
      <c r="O252" s="40" t="s">
        <v>3099</v>
      </c>
    </row>
    <row r="253" ht="15.75" customHeight="1">
      <c r="A253" s="10" t="s">
        <v>3102</v>
      </c>
      <c r="B253" s="10" t="s">
        <v>3103</v>
      </c>
      <c r="C253" s="64" t="s">
        <v>3104</v>
      </c>
      <c r="D253" s="64" t="s">
        <v>3105</v>
      </c>
      <c r="E253" s="64" t="s">
        <v>3106</v>
      </c>
      <c r="F253" s="64" t="s">
        <v>3107</v>
      </c>
      <c r="G253" s="64" t="s">
        <v>2894</v>
      </c>
      <c r="H253" s="64" t="s">
        <v>2895</v>
      </c>
      <c r="I253" s="65"/>
      <c r="J253" s="66">
        <v>139000.0</v>
      </c>
      <c r="K253" s="65"/>
      <c r="L253" s="20" t="s">
        <v>3108</v>
      </c>
      <c r="M253" s="20" t="s">
        <v>3109</v>
      </c>
      <c r="N253" s="65"/>
    </row>
    <row r="254" ht="15.75" customHeight="1">
      <c r="A254" s="10" t="s">
        <v>3110</v>
      </c>
      <c r="B254" s="10" t="s">
        <v>3111</v>
      </c>
      <c r="C254" s="64" t="s">
        <v>3112</v>
      </c>
      <c r="D254" s="65"/>
      <c r="E254" s="65"/>
      <c r="F254" s="64" t="s">
        <v>3113</v>
      </c>
      <c r="G254" s="64" t="s">
        <v>2950</v>
      </c>
      <c r="H254" s="64" t="s">
        <v>809</v>
      </c>
      <c r="I254" s="65"/>
      <c r="J254" s="66">
        <v>140000.0</v>
      </c>
      <c r="K254" s="65"/>
      <c r="L254" s="20" t="s">
        <v>3114</v>
      </c>
      <c r="M254" s="64" t="s">
        <v>3115</v>
      </c>
      <c r="N254" s="64"/>
      <c r="O254" s="71" t="s">
        <v>3116</v>
      </c>
    </row>
    <row r="255" ht="15.75" customHeight="1">
      <c r="A255" s="10" t="s">
        <v>3117</v>
      </c>
      <c r="B255" s="10" t="s">
        <v>3118</v>
      </c>
      <c r="C255" s="13" t="s">
        <v>64</v>
      </c>
      <c r="D255" s="65"/>
      <c r="E255" s="65"/>
      <c r="F255" s="64" t="s">
        <v>68</v>
      </c>
      <c r="G255" s="64" t="s">
        <v>92</v>
      </c>
      <c r="H255" s="65"/>
      <c r="I255" s="65"/>
      <c r="J255" s="66">
        <v>80000.0</v>
      </c>
      <c r="K255" s="65"/>
      <c r="L255" s="20" t="s">
        <v>3119</v>
      </c>
      <c r="M255" s="64" t="s">
        <v>3120</v>
      </c>
      <c r="N255" s="64" t="s">
        <v>3121</v>
      </c>
    </row>
    <row r="256" ht="15.75" customHeight="1">
      <c r="A256" s="10" t="s">
        <v>3122</v>
      </c>
      <c r="B256" s="10" t="s">
        <v>3123</v>
      </c>
      <c r="C256" s="64" t="s">
        <v>898</v>
      </c>
      <c r="D256" s="64" t="s">
        <v>3125</v>
      </c>
      <c r="E256" s="65"/>
      <c r="F256" s="64" t="s">
        <v>3126</v>
      </c>
      <c r="G256" s="64" t="s">
        <v>92</v>
      </c>
      <c r="H256" s="65"/>
      <c r="I256" s="65"/>
      <c r="J256" s="66">
        <v>80000.0</v>
      </c>
      <c r="K256" s="65"/>
      <c r="L256" s="64" t="s">
        <v>3127</v>
      </c>
      <c r="M256" s="65"/>
      <c r="N256" s="64" t="s">
        <v>3128</v>
      </c>
    </row>
    <row r="257" ht="15.75" customHeight="1">
      <c r="A257" s="10" t="s">
        <v>3129</v>
      </c>
      <c r="B257" s="10" t="s">
        <v>3130</v>
      </c>
      <c r="C257" s="64" t="s">
        <v>3131</v>
      </c>
      <c r="D257" s="64" t="s">
        <v>3132</v>
      </c>
      <c r="E257" s="65"/>
      <c r="F257" s="64" t="s">
        <v>3133</v>
      </c>
      <c r="G257" s="64" t="s">
        <v>3134</v>
      </c>
      <c r="H257" s="65"/>
      <c r="I257" s="65"/>
      <c r="J257" s="66">
        <v>140000.0</v>
      </c>
      <c r="K257" s="65"/>
      <c r="L257" s="64" t="s">
        <v>3135</v>
      </c>
      <c r="M257" s="64" t="s">
        <v>3136</v>
      </c>
      <c r="N257" s="64" t="s">
        <v>3137</v>
      </c>
      <c r="O257" s="40" t="s">
        <v>3138</v>
      </c>
    </row>
    <row r="258" ht="15.75" customHeight="1">
      <c r="A258" s="10" t="s">
        <v>3139</v>
      </c>
      <c r="B258" s="10" t="s">
        <v>3070</v>
      </c>
      <c r="C258" s="64" t="s">
        <v>3071</v>
      </c>
      <c r="D258" s="64" t="s">
        <v>3140</v>
      </c>
      <c r="E258" s="64" t="s">
        <v>2869</v>
      </c>
      <c r="F258" s="64" t="s">
        <v>3141</v>
      </c>
      <c r="G258" s="64" t="s">
        <v>3142</v>
      </c>
      <c r="H258" s="64" t="s">
        <v>3143</v>
      </c>
      <c r="I258" s="65"/>
      <c r="J258" s="66">
        <v>140000.0</v>
      </c>
      <c r="K258" s="65"/>
      <c r="L258" s="20" t="s">
        <v>3039</v>
      </c>
      <c r="M258" s="20" t="s">
        <v>3144</v>
      </c>
      <c r="N258" s="64" t="s">
        <v>3145</v>
      </c>
      <c r="O258" s="40" t="s">
        <v>109</v>
      </c>
    </row>
    <row r="259" ht="15.75" customHeight="1">
      <c r="A259" s="10" t="s">
        <v>3146</v>
      </c>
      <c r="B259" s="10" t="s">
        <v>3147</v>
      </c>
      <c r="C259" s="64" t="s">
        <v>3148</v>
      </c>
      <c r="D259" s="64" t="s">
        <v>3149</v>
      </c>
      <c r="E259" s="65"/>
      <c r="F259" s="64" t="s">
        <v>3150</v>
      </c>
      <c r="G259" s="64" t="s">
        <v>3151</v>
      </c>
      <c r="H259" s="64" t="s">
        <v>2757</v>
      </c>
      <c r="I259" s="65"/>
      <c r="J259" s="66">
        <v>140000.0</v>
      </c>
      <c r="K259" s="65"/>
      <c r="L259" s="20" t="s">
        <v>3152</v>
      </c>
      <c r="M259" s="20" t="s">
        <v>3153</v>
      </c>
      <c r="N259" s="64" t="s">
        <v>2761</v>
      </c>
    </row>
    <row r="260" ht="15.75" customHeight="1">
      <c r="A260" s="10" t="s">
        <v>3154</v>
      </c>
      <c r="B260" s="10" t="s">
        <v>3155</v>
      </c>
      <c r="C260" s="64" t="s">
        <v>3157</v>
      </c>
      <c r="D260" s="64" t="s">
        <v>3158</v>
      </c>
      <c r="E260" s="65"/>
      <c r="F260" s="64" t="s">
        <v>3159</v>
      </c>
      <c r="G260" s="64" t="s">
        <v>621</v>
      </c>
      <c r="H260" s="20" t="s">
        <v>932</v>
      </c>
      <c r="I260" s="65"/>
      <c r="J260" s="66">
        <v>140000.0</v>
      </c>
      <c r="K260" s="65"/>
      <c r="L260" s="20" t="s">
        <v>3161</v>
      </c>
      <c r="M260" s="20" t="s">
        <v>3162</v>
      </c>
      <c r="N260" s="31" t="s">
        <v>2814</v>
      </c>
      <c r="O260" s="40" t="s">
        <v>3163</v>
      </c>
    </row>
    <row r="261" ht="15.75" customHeight="1">
      <c r="A261" s="10" t="s">
        <v>3164</v>
      </c>
      <c r="B261" s="10" t="s">
        <v>3165</v>
      </c>
      <c r="C261" s="64" t="s">
        <v>3166</v>
      </c>
      <c r="D261" s="64" t="s">
        <v>3167</v>
      </c>
      <c r="E261" s="65"/>
      <c r="F261" s="64" t="s">
        <v>3168</v>
      </c>
      <c r="G261" s="64" t="s">
        <v>2950</v>
      </c>
      <c r="H261" s="64" t="s">
        <v>809</v>
      </c>
      <c r="I261" s="65"/>
      <c r="J261" s="66">
        <v>140000.0</v>
      </c>
      <c r="K261" s="65"/>
      <c r="L261" s="20" t="s">
        <v>3169</v>
      </c>
      <c r="M261" s="65"/>
      <c r="N261" s="64" t="s">
        <v>2955</v>
      </c>
    </row>
    <row r="262" ht="15.75" customHeight="1">
      <c r="A262" s="10" t="s">
        <v>3171</v>
      </c>
      <c r="B262" s="10" t="s">
        <v>3172</v>
      </c>
      <c r="C262" s="64" t="s">
        <v>3173</v>
      </c>
      <c r="D262" s="64" t="s">
        <v>3174</v>
      </c>
      <c r="E262" s="65"/>
      <c r="F262" s="64" t="s">
        <v>3175</v>
      </c>
      <c r="G262" s="64" t="s">
        <v>3176</v>
      </c>
      <c r="H262" s="64" t="s">
        <v>3016</v>
      </c>
      <c r="I262" s="65"/>
      <c r="J262" s="66">
        <v>140000.0</v>
      </c>
      <c r="K262" s="64"/>
      <c r="L262" s="20" t="s">
        <v>3153</v>
      </c>
      <c r="M262" s="20"/>
      <c r="N262" s="64" t="s">
        <v>3019</v>
      </c>
    </row>
    <row r="263" ht="15.75" customHeight="1">
      <c r="A263" s="10" t="s">
        <v>3177</v>
      </c>
      <c r="B263" s="10" t="s">
        <v>3178</v>
      </c>
      <c r="C263" s="64" t="s">
        <v>1108</v>
      </c>
      <c r="D263" s="64" t="s">
        <v>3179</v>
      </c>
      <c r="E263" s="65"/>
      <c r="F263" s="64" t="s">
        <v>3180</v>
      </c>
      <c r="G263" s="64" t="s">
        <v>3181</v>
      </c>
      <c r="H263" s="64" t="s">
        <v>715</v>
      </c>
      <c r="I263" s="65"/>
      <c r="J263" s="66">
        <v>140000.0</v>
      </c>
      <c r="K263" s="65"/>
      <c r="L263" s="20" t="s">
        <v>3182</v>
      </c>
      <c r="M263" s="65"/>
      <c r="N263" s="64" t="s">
        <v>3183</v>
      </c>
    </row>
    <row r="264" ht="15.75" customHeight="1">
      <c r="A264" s="10" t="s">
        <v>3184</v>
      </c>
      <c r="B264" s="10" t="s">
        <v>3185</v>
      </c>
      <c r="C264" s="64" t="s">
        <v>3186</v>
      </c>
      <c r="D264" s="64" t="s">
        <v>3187</v>
      </c>
      <c r="E264" s="64"/>
      <c r="F264" s="64" t="s">
        <v>3188</v>
      </c>
      <c r="G264" s="64" t="s">
        <v>2341</v>
      </c>
      <c r="H264" s="64" t="s">
        <v>2342</v>
      </c>
      <c r="I264" s="65"/>
      <c r="J264" s="66">
        <v>140000.0</v>
      </c>
      <c r="K264" s="65"/>
      <c r="L264" s="64" t="s">
        <v>3189</v>
      </c>
      <c r="M264" s="65"/>
      <c r="N264" s="64" t="s">
        <v>3190</v>
      </c>
    </row>
    <row r="265" ht="15.75" customHeight="1">
      <c r="A265" s="10" t="s">
        <v>3191</v>
      </c>
      <c r="B265" s="10" t="s">
        <v>3192</v>
      </c>
      <c r="C265" s="64" t="s">
        <v>3193</v>
      </c>
      <c r="D265" s="64" t="s">
        <v>2920</v>
      </c>
      <c r="E265" s="65"/>
      <c r="F265" s="64" t="s">
        <v>2921</v>
      </c>
      <c r="G265" s="64" t="s">
        <v>3194</v>
      </c>
      <c r="H265" s="64" t="s">
        <v>3195</v>
      </c>
      <c r="I265" s="65"/>
      <c r="J265" s="66">
        <v>140000.0</v>
      </c>
      <c r="K265" s="65"/>
      <c r="L265" s="64" t="s">
        <v>3109</v>
      </c>
      <c r="M265" s="65"/>
      <c r="N265" s="64" t="s">
        <v>2926</v>
      </c>
    </row>
    <row r="266" ht="15.75" customHeight="1">
      <c r="A266" s="10" t="s">
        <v>3196</v>
      </c>
      <c r="B266" s="10" t="s">
        <v>3197</v>
      </c>
      <c r="C266" s="64" t="s">
        <v>378</v>
      </c>
      <c r="D266" s="64" t="s">
        <v>3198</v>
      </c>
      <c r="E266" s="65"/>
      <c r="F266" s="64" t="s">
        <v>3199</v>
      </c>
      <c r="G266" s="64" t="s">
        <v>139</v>
      </c>
      <c r="H266" s="65"/>
      <c r="I266" s="65"/>
      <c r="J266" s="66">
        <v>140000.0</v>
      </c>
      <c r="K266" s="65"/>
      <c r="L266" s="64" t="s">
        <v>3109</v>
      </c>
      <c r="M266" s="65"/>
      <c r="N266" s="64" t="s">
        <v>3200</v>
      </c>
      <c r="O266" s="40" t="s">
        <v>3202</v>
      </c>
    </row>
    <row r="267" ht="15.75" customHeight="1">
      <c r="A267" s="10" t="s">
        <v>3203</v>
      </c>
      <c r="B267" s="10" t="s">
        <v>3204</v>
      </c>
      <c r="C267" s="64" t="s">
        <v>3205</v>
      </c>
      <c r="D267" s="64" t="s">
        <v>3206</v>
      </c>
      <c r="E267" s="64" t="s">
        <v>3207</v>
      </c>
      <c r="F267" s="64" t="s">
        <v>3208</v>
      </c>
      <c r="G267" s="64" t="s">
        <v>2894</v>
      </c>
      <c r="H267" s="64" t="s">
        <v>2895</v>
      </c>
      <c r="I267" s="65"/>
      <c r="J267" s="66">
        <v>139000.0</v>
      </c>
      <c r="K267" s="65"/>
      <c r="L267" s="64" t="s">
        <v>3209</v>
      </c>
      <c r="M267" s="65"/>
      <c r="N267" s="64" t="s">
        <v>3210</v>
      </c>
    </row>
    <row r="268" ht="15.75" customHeight="1">
      <c r="A268" s="10" t="s">
        <v>3211</v>
      </c>
      <c r="B268" s="10" t="s">
        <v>3212</v>
      </c>
      <c r="C268" s="64" t="s">
        <v>3213</v>
      </c>
      <c r="D268" s="64" t="s">
        <v>3214</v>
      </c>
      <c r="E268" s="64" t="s">
        <v>3215</v>
      </c>
      <c r="F268" s="64" t="s">
        <v>3216</v>
      </c>
      <c r="G268" s="64" t="s">
        <v>2894</v>
      </c>
      <c r="H268" s="64" t="s">
        <v>3217</v>
      </c>
      <c r="I268" s="65"/>
      <c r="J268" s="66">
        <v>139000.0</v>
      </c>
      <c r="K268" s="65"/>
      <c r="L268" s="64" t="s">
        <v>3218</v>
      </c>
      <c r="M268" s="65"/>
      <c r="N268" s="64" t="s">
        <v>3219</v>
      </c>
    </row>
    <row r="269" ht="15.75" customHeight="1">
      <c r="A269" s="10" t="s">
        <v>3220</v>
      </c>
      <c r="B269" s="10" t="s">
        <v>3221</v>
      </c>
      <c r="C269" s="13" t="s">
        <v>3222</v>
      </c>
      <c r="D269" s="64" t="s">
        <v>1671</v>
      </c>
      <c r="E269" s="65"/>
      <c r="F269" s="10" t="s">
        <v>1672</v>
      </c>
      <c r="G269" s="64" t="s">
        <v>3223</v>
      </c>
      <c r="H269" s="65"/>
      <c r="I269" s="65"/>
      <c r="J269" s="66">
        <v>140000.0</v>
      </c>
      <c r="K269" s="65"/>
      <c r="L269" s="64" t="s">
        <v>3224</v>
      </c>
      <c r="M269" s="20" t="s">
        <v>3225</v>
      </c>
      <c r="N269" s="64" t="s">
        <v>1675</v>
      </c>
    </row>
    <row r="270" ht="15.75" customHeight="1">
      <c r="A270" s="10"/>
      <c r="B270" s="10"/>
      <c r="C270" s="64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</row>
    <row r="271" ht="15.75" customHeight="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</row>
    <row r="272" ht="15.75" customHeight="1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</row>
    <row r="273" ht="15.75" customHeight="1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</row>
    <row r="274" ht="15.75" customHeight="1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</row>
    <row r="275" ht="15.75" customHeight="1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</row>
    <row r="276" ht="15.75" customHeight="1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</row>
    <row r="277" ht="15.75" customHeight="1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</row>
    <row r="278" ht="15.75" customHeight="1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</row>
    <row r="279" ht="15.75" customHeight="1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</row>
    <row r="280" ht="15.75" customHeight="1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</row>
    <row r="281" ht="15.75" customHeight="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</row>
    <row r="282" ht="15.75" customHeight="1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</row>
    <row r="283" ht="15.75" customHeight="1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</row>
    <row r="284" ht="15.75" customHeight="1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</row>
    <row r="285" ht="15.75" customHeight="1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</row>
    <row r="286" ht="15.75" customHeight="1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</row>
    <row r="287" ht="15.75" customHeight="1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</row>
    <row r="288" ht="15.75" customHeight="1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</row>
    <row r="289" ht="15.75" customHeight="1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</row>
    <row r="290" ht="15.75" customHeight="1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</row>
    <row r="291" ht="15.75" customHeight="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</row>
    <row r="292" ht="15.75" customHeight="1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</row>
    <row r="293" ht="15.75" customHeight="1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</row>
    <row r="294" ht="15.75" customHeight="1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</row>
    <row r="295" ht="15.75" customHeight="1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</row>
    <row r="296" ht="15.75" customHeight="1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</row>
    <row r="297" ht="15.75" customHeight="1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</row>
    <row r="298" ht="15.75" customHeight="1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</row>
    <row r="299" ht="15.75" customHeight="1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</row>
    <row r="300" ht="15.75" customHeight="1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</row>
    <row r="301" ht="15.75" customHeight="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</row>
    <row r="302" ht="15.75" customHeight="1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</row>
    <row r="303" ht="15.75" customHeight="1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</row>
    <row r="304" ht="15.75" customHeight="1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</row>
    <row r="305" ht="15.75" customHeight="1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</row>
    <row r="306" ht="15.75" customHeight="1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</row>
    <row r="307" ht="15.75" customHeight="1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</row>
    <row r="308" ht="15.75" customHeight="1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</row>
    <row r="309" ht="15.75" customHeight="1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</row>
    <row r="310" ht="15.75" customHeight="1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</row>
    <row r="311" ht="15.75" customHeight="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</row>
    <row r="312" ht="15.75" customHeight="1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</row>
    <row r="313" ht="15.75" customHeight="1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</row>
    <row r="314" ht="15.75" customHeight="1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</row>
    <row r="315" ht="15.75" customHeight="1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</row>
    <row r="316" ht="15.75" customHeight="1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</row>
    <row r="317" ht="15.75" customHeight="1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</row>
    <row r="318" ht="15.75" customHeight="1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</row>
    <row r="319" ht="15.75" customHeight="1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</row>
    <row r="320" ht="15.75" customHeight="1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</row>
    <row r="321" ht="15.75" customHeight="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</row>
    <row r="322" ht="15.75" customHeight="1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</row>
    <row r="323" ht="15.75" customHeight="1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</row>
    <row r="324" ht="15.75" customHeight="1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</row>
    <row r="325" ht="15.75" customHeight="1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</row>
    <row r="326" ht="15.75" customHeight="1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</row>
    <row r="327" ht="15.75" customHeight="1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</row>
    <row r="328" ht="15.75" customHeight="1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</row>
    <row r="329" ht="15.75" customHeight="1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</row>
    <row r="330" ht="15.75" customHeight="1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</row>
    <row r="331" ht="15.75" customHeight="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</row>
    <row r="332" ht="15.75" customHeight="1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</row>
    <row r="333" ht="15.75" customHeight="1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</row>
    <row r="334" ht="15.75" customHeight="1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</row>
    <row r="335" ht="15.75" customHeight="1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</row>
    <row r="336" ht="15.75" customHeight="1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</row>
    <row r="337" ht="15.75" customHeight="1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</row>
    <row r="338" ht="15.75" customHeight="1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</row>
    <row r="339" ht="15.75" customHeight="1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</row>
    <row r="340" ht="15.75" customHeight="1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</row>
    <row r="341" ht="15.75" customHeight="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</row>
    <row r="342" ht="15.75" customHeight="1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</row>
    <row r="343" ht="15.75" customHeight="1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</row>
    <row r="344" ht="15.75" customHeight="1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</row>
    <row r="345" ht="15.75" customHeight="1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</row>
    <row r="346" ht="15.75" customHeight="1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</row>
    <row r="347" ht="15.75" customHeight="1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</row>
    <row r="348" ht="15.75" customHeight="1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</row>
    <row r="349" ht="15.75" customHeight="1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</row>
    <row r="350" ht="15.75" customHeight="1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</row>
    <row r="351" ht="15.75" customHeight="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</row>
    <row r="352" ht="15.75" customHeight="1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</row>
    <row r="353" ht="15.75" customHeight="1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</row>
    <row r="354" ht="15.75" customHeight="1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</row>
    <row r="355" ht="15.75" customHeight="1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</row>
    <row r="356" ht="15.75" customHeight="1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</row>
    <row r="357" ht="15.75" customHeight="1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</row>
    <row r="358" ht="15.75" customHeight="1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</row>
    <row r="359" ht="15.75" customHeight="1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</row>
    <row r="360" ht="15.75" customHeight="1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</row>
    <row r="361" ht="15.75" customHeight="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</row>
    <row r="362" ht="15.75" customHeight="1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</row>
    <row r="363" ht="15.75" customHeight="1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</row>
    <row r="364" ht="15.75" customHeight="1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</row>
    <row r="365" ht="15.75" customHeight="1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</row>
    <row r="366" ht="15.75" customHeight="1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</row>
    <row r="367" ht="15.75" customHeight="1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</row>
    <row r="368" ht="15.75" customHeight="1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</row>
    <row r="369" ht="15.75" customHeight="1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</row>
    <row r="370" ht="15.75" customHeight="1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</row>
    <row r="371" ht="15.75" customHeight="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</row>
    <row r="372" ht="15.75" customHeight="1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</row>
    <row r="373" ht="15.75" customHeight="1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</row>
    <row r="374" ht="15.75" customHeight="1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</row>
    <row r="375" ht="15.75" customHeight="1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</row>
    <row r="376" ht="15.75" customHeight="1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</row>
    <row r="377" ht="15.75" customHeight="1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</row>
    <row r="378" ht="15.75" customHeight="1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</row>
    <row r="379" ht="15.75" customHeight="1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</row>
    <row r="380" ht="15.75" customHeight="1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</row>
    <row r="381" ht="15.75" customHeight="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</row>
    <row r="382" ht="15.75" customHeight="1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</row>
    <row r="383" ht="15.75" customHeight="1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</row>
    <row r="384" ht="15.75" customHeight="1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</row>
    <row r="385" ht="15.75" customHeight="1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</row>
    <row r="386" ht="15.75" customHeight="1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</row>
    <row r="387" ht="15.75" customHeight="1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</row>
    <row r="388" ht="15.75" customHeight="1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</row>
    <row r="389" ht="15.75" customHeight="1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</row>
    <row r="390" ht="15.75" customHeight="1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</row>
    <row r="391" ht="15.75" customHeight="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</row>
    <row r="392" ht="15.75" customHeight="1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</row>
    <row r="393" ht="15.75" customHeight="1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</row>
    <row r="394" ht="15.75" customHeight="1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</row>
    <row r="395" ht="15.75" customHeight="1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</row>
    <row r="396" ht="15.75" customHeight="1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</row>
    <row r="397" ht="15.75" customHeight="1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</row>
    <row r="398" ht="15.75" customHeight="1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</row>
    <row r="399" ht="15.75" customHeight="1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</row>
    <row r="400" ht="15.75" customHeight="1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</row>
    <row r="401" ht="15.75" customHeight="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</row>
    <row r="402" ht="15.75" customHeight="1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</row>
    <row r="403" ht="15.75" customHeight="1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</row>
    <row r="404" ht="15.75" customHeight="1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</row>
    <row r="405" ht="15.75" customHeight="1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</row>
    <row r="406" ht="15.75" customHeight="1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</row>
    <row r="407" ht="15.75" customHeight="1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</row>
    <row r="408" ht="15.75" customHeight="1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</row>
    <row r="409" ht="15.75" customHeight="1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</row>
    <row r="410" ht="15.75" customHeight="1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</row>
    <row r="411" ht="15.75" customHeight="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</row>
    <row r="412" ht="15.75" customHeight="1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</row>
    <row r="413" ht="15.75" customHeight="1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</row>
    <row r="414" ht="15.75" customHeight="1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</row>
    <row r="415" ht="15.75" customHeight="1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</row>
    <row r="416" ht="15.75" customHeight="1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</row>
    <row r="417" ht="15.75" customHeight="1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</row>
    <row r="418" ht="15.75" customHeight="1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</row>
    <row r="419" ht="15.75" customHeight="1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</row>
    <row r="420" ht="15.75" customHeight="1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</row>
    <row r="421" ht="15.75" customHeight="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</row>
    <row r="422" ht="15.75" customHeight="1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</row>
    <row r="423" ht="15.75" customHeight="1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</row>
    <row r="424" ht="15.75" customHeight="1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</row>
    <row r="425" ht="15.75" customHeight="1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</row>
    <row r="426" ht="15.75" customHeight="1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</row>
    <row r="427" ht="15.75" customHeight="1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</row>
    <row r="428" ht="15.75" customHeight="1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</row>
    <row r="429" ht="15.75" customHeight="1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</row>
    <row r="430" ht="15.75" customHeight="1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</row>
    <row r="431" ht="15.75" customHeight="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</row>
    <row r="432" ht="15.75" customHeight="1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</row>
    <row r="433" ht="15.75" customHeight="1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</row>
    <row r="434" ht="15.75" customHeight="1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</row>
    <row r="435" ht="15.75" customHeight="1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</row>
    <row r="436" ht="15.75" customHeight="1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</row>
    <row r="437" ht="15.75" customHeight="1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</row>
    <row r="438" ht="15.75" customHeight="1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</row>
    <row r="439" ht="15.75" customHeight="1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</row>
    <row r="440" ht="15.75" customHeight="1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</row>
    <row r="441" ht="15.75" customHeight="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</row>
    <row r="442" ht="15.75" customHeight="1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</row>
    <row r="443" ht="15.75" customHeight="1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</row>
    <row r="444" ht="15.75" customHeight="1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</row>
    <row r="445" ht="15.75" customHeight="1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</row>
    <row r="446" ht="15.75" customHeight="1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</row>
    <row r="447" ht="15.75" customHeight="1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</row>
    <row r="448" ht="15.75" customHeight="1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</row>
    <row r="449" ht="15.75" customHeight="1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</row>
    <row r="450" ht="15.75" customHeight="1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</row>
    <row r="451" ht="15.75" customHeight="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</row>
    <row r="452" ht="15.75" customHeight="1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</row>
    <row r="453" ht="15.75" customHeight="1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</row>
    <row r="454" ht="15.75" customHeight="1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</row>
    <row r="455" ht="15.75" customHeight="1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</row>
    <row r="456" ht="15.75" customHeight="1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</row>
    <row r="457" ht="15.75" customHeight="1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</row>
    <row r="458" ht="15.75" customHeight="1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</row>
    <row r="459" ht="15.75" customHeight="1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</row>
    <row r="460" ht="15.75" customHeight="1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</row>
    <row r="461" ht="15.75" customHeight="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</row>
    <row r="462" ht="15.75" customHeight="1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</row>
    <row r="463" ht="15.75" customHeight="1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</row>
    <row r="464" ht="15.75" customHeight="1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</row>
    <row r="465" ht="15.75" customHeight="1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</row>
    <row r="466" ht="15.75" customHeight="1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</row>
    <row r="467" ht="15.75" customHeight="1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</row>
    <row r="468" ht="15.75" customHeight="1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</row>
    <row r="469" ht="15.75" customHeight="1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</row>
    <row r="470" ht="15.75" customHeight="1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</row>
    <row r="471" ht="15.75" customHeight="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</row>
    <row r="472" ht="15.75" customHeight="1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</row>
    <row r="473" ht="15.75" customHeight="1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</row>
    <row r="474" ht="15.75" customHeight="1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</row>
    <row r="475" ht="15.75" customHeight="1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</row>
    <row r="476" ht="15.75" customHeight="1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</row>
    <row r="477" ht="15.75" customHeight="1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</row>
    <row r="478" ht="15.75" customHeight="1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</row>
    <row r="479" ht="15.75" customHeight="1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</row>
    <row r="480" ht="15.75" customHeight="1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</row>
    <row r="481" ht="15.75" customHeight="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</row>
    <row r="482" ht="15.75" customHeight="1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</row>
    <row r="483" ht="15.75" customHeight="1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</row>
    <row r="484" ht="15.75" customHeight="1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</row>
    <row r="485" ht="15.75" customHeight="1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</row>
    <row r="486" ht="15.75" customHeight="1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</row>
    <row r="487" ht="15.75" customHeight="1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</row>
    <row r="488" ht="15.75" customHeight="1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</row>
    <row r="489" ht="15.75" customHeight="1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</row>
    <row r="490" ht="15.75" customHeight="1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</row>
    <row r="491" ht="15.75" customHeight="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</row>
    <row r="492" ht="15.75" customHeight="1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</row>
    <row r="493" ht="15.75" customHeight="1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</row>
    <row r="494" ht="15.75" customHeight="1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</row>
    <row r="495" ht="15.75" customHeight="1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</row>
    <row r="496" ht="15.75" customHeight="1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</row>
    <row r="497" ht="15.75" customHeight="1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</row>
    <row r="498" ht="15.75" customHeight="1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</row>
    <row r="499" ht="15.75" customHeight="1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</row>
    <row r="500" ht="15.75" customHeight="1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</row>
    <row r="501" ht="15.75" customHeight="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</row>
    <row r="502" ht="15.75" customHeight="1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</row>
    <row r="503" ht="15.75" customHeight="1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</row>
    <row r="504" ht="15.75" customHeight="1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</row>
    <row r="505" ht="15.75" customHeight="1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</row>
    <row r="506" ht="15.75" customHeight="1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</row>
    <row r="507" ht="15.75" customHeight="1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</row>
    <row r="508" ht="15.75" customHeight="1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</row>
    <row r="509" ht="15.75" customHeight="1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</row>
    <row r="510" ht="15.75" customHeight="1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</row>
    <row r="511" ht="15.75" customHeight="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</row>
    <row r="512" ht="15.75" customHeight="1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</row>
    <row r="513" ht="15.75" customHeight="1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</row>
    <row r="514" ht="15.75" customHeight="1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</row>
    <row r="515" ht="15.75" customHeight="1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</row>
    <row r="516" ht="15.75" customHeight="1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</row>
    <row r="517" ht="15.75" customHeight="1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</row>
    <row r="518" ht="15.75" customHeight="1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</row>
    <row r="519" ht="15.75" customHeight="1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</row>
    <row r="520" ht="15.75" customHeight="1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</row>
    <row r="521" ht="15.75" customHeight="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</row>
    <row r="522" ht="15.75" customHeight="1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</row>
    <row r="523" ht="15.75" customHeight="1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</row>
    <row r="524" ht="15.75" customHeight="1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</row>
    <row r="525" ht="15.75" customHeight="1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</row>
    <row r="526" ht="15.75" customHeight="1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</row>
    <row r="527" ht="15.75" customHeight="1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</row>
    <row r="528" ht="15.75" customHeight="1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</row>
    <row r="529" ht="15.75" customHeight="1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</row>
    <row r="530" ht="15.75" customHeight="1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</row>
    <row r="531" ht="15.75" customHeight="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</row>
    <row r="532" ht="15.75" customHeight="1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</row>
    <row r="533" ht="15.75" customHeight="1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</row>
    <row r="534" ht="15.75" customHeight="1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</row>
    <row r="535" ht="15.75" customHeight="1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</row>
    <row r="536" ht="15.75" customHeight="1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</row>
    <row r="537" ht="15.75" customHeight="1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</row>
    <row r="538" ht="15.75" customHeight="1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</row>
    <row r="539" ht="15.75" customHeight="1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</row>
    <row r="540" ht="15.75" customHeight="1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</row>
    <row r="541" ht="15.75" customHeight="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</row>
    <row r="542" ht="15.75" customHeight="1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</row>
    <row r="543" ht="15.75" customHeight="1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</row>
    <row r="544" ht="15.75" customHeight="1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</row>
    <row r="545" ht="15.75" customHeight="1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</row>
    <row r="546" ht="15.75" customHeight="1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</row>
    <row r="547" ht="15.75" customHeight="1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</row>
    <row r="548" ht="15.75" customHeight="1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</row>
    <row r="549" ht="15.75" customHeight="1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</row>
    <row r="550" ht="15.75" customHeight="1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</row>
    <row r="551" ht="15.75" customHeight="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</row>
    <row r="552" ht="15.75" customHeight="1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</row>
    <row r="553" ht="15.75" customHeight="1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</row>
    <row r="554" ht="15.75" customHeight="1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</row>
    <row r="555" ht="15.75" customHeight="1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</row>
    <row r="556" ht="15.75" customHeight="1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</row>
    <row r="557" ht="15.75" customHeight="1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</row>
    <row r="558" ht="15.75" customHeight="1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</row>
    <row r="559" ht="15.75" customHeight="1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</row>
    <row r="560" ht="15.75" customHeight="1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</row>
    <row r="561" ht="15.75" customHeight="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</row>
    <row r="562" ht="15.75" customHeight="1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</row>
    <row r="563" ht="15.75" customHeight="1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</row>
    <row r="564" ht="15.75" customHeight="1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</row>
    <row r="565" ht="15.75" customHeight="1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</row>
    <row r="566" ht="15.75" customHeight="1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</row>
    <row r="567" ht="15.75" customHeight="1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</row>
    <row r="568" ht="15.75" customHeight="1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</row>
    <row r="569" ht="15.75" customHeight="1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</row>
    <row r="570" ht="15.75" customHeight="1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</row>
    <row r="571" ht="15.75" customHeight="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</row>
    <row r="572" ht="15.75" customHeight="1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</row>
    <row r="573" ht="15.75" customHeight="1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</row>
    <row r="574" ht="15.75" customHeight="1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</row>
    <row r="575" ht="15.75" customHeight="1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</row>
    <row r="576" ht="15.75" customHeight="1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</row>
    <row r="577" ht="15.75" customHeight="1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</row>
    <row r="578" ht="15.75" customHeight="1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</row>
    <row r="579" ht="15.75" customHeight="1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</row>
    <row r="580" ht="15.75" customHeight="1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</row>
    <row r="581" ht="15.75" customHeight="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</row>
    <row r="582" ht="15.75" customHeight="1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</row>
    <row r="583" ht="15.75" customHeight="1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</row>
    <row r="584" ht="15.75" customHeight="1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</row>
    <row r="585" ht="15.75" customHeight="1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</row>
    <row r="586" ht="15.75" customHeight="1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</row>
    <row r="587" ht="15.75" customHeight="1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</row>
    <row r="588" ht="15.75" customHeight="1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</row>
    <row r="589" ht="15.75" customHeight="1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</row>
    <row r="590" ht="15.75" customHeight="1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</row>
    <row r="591" ht="15.75" customHeight="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</row>
    <row r="592" ht="15.75" customHeight="1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</row>
    <row r="593" ht="15.75" customHeight="1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</row>
    <row r="594" ht="15.75" customHeight="1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</row>
    <row r="595" ht="15.75" customHeight="1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</row>
    <row r="596" ht="15.75" customHeight="1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</row>
    <row r="597" ht="15.75" customHeight="1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</row>
    <row r="598" ht="15.75" customHeight="1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</row>
    <row r="599" ht="15.75" customHeight="1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</row>
    <row r="600" ht="15.75" customHeight="1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</row>
    <row r="601" ht="15.75" customHeight="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</row>
    <row r="602" ht="15.75" customHeight="1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</row>
    <row r="603" ht="15.75" customHeight="1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</row>
    <row r="604" ht="15.75" customHeight="1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</row>
    <row r="605" ht="15.75" customHeight="1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</row>
    <row r="606" ht="15.75" customHeight="1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</row>
    <row r="607" ht="15.75" customHeight="1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</row>
    <row r="608" ht="15.75" customHeight="1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</row>
    <row r="609" ht="15.75" customHeight="1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</row>
    <row r="610" ht="15.75" customHeight="1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</row>
    <row r="611" ht="15.75" customHeight="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</row>
    <row r="612" ht="15.75" customHeight="1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</row>
    <row r="613" ht="15.75" customHeight="1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</row>
    <row r="614" ht="15.75" customHeight="1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</row>
    <row r="615" ht="15.75" customHeight="1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</row>
    <row r="616" ht="15.75" customHeight="1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</row>
    <row r="617" ht="15.75" customHeight="1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</row>
    <row r="618" ht="15.75" customHeight="1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</row>
    <row r="619" ht="15.75" customHeight="1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</row>
    <row r="620" ht="15.75" customHeight="1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</row>
    <row r="621" ht="15.75" customHeight="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</row>
    <row r="622" ht="15.75" customHeight="1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</row>
    <row r="623" ht="15.75" customHeight="1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</row>
    <row r="624" ht="15.75" customHeight="1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</row>
    <row r="625" ht="15.75" customHeight="1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</row>
    <row r="626" ht="15.75" customHeight="1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</row>
    <row r="627" ht="15.75" customHeight="1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</row>
    <row r="628" ht="15.75" customHeight="1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</row>
    <row r="629" ht="15.75" customHeight="1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</row>
    <row r="630" ht="15.75" customHeight="1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</row>
    <row r="631" ht="15.75" customHeight="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</row>
    <row r="632" ht="15.75" customHeight="1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</row>
    <row r="633" ht="15.75" customHeight="1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</row>
    <row r="634" ht="15.75" customHeight="1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</row>
    <row r="635" ht="15.75" customHeight="1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</row>
    <row r="636" ht="15.75" customHeight="1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</row>
    <row r="637" ht="15.75" customHeight="1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</row>
    <row r="638" ht="15.75" customHeight="1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</row>
    <row r="639" ht="15.75" customHeight="1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</row>
    <row r="640" ht="15.75" customHeight="1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</row>
    <row r="641" ht="15.75" customHeight="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</row>
    <row r="642" ht="15.75" customHeight="1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</row>
    <row r="643" ht="15.75" customHeight="1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</row>
    <row r="644" ht="15.75" customHeight="1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</row>
    <row r="645" ht="15.75" customHeight="1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</row>
    <row r="646" ht="15.75" customHeight="1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</row>
    <row r="647" ht="15.75" customHeight="1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</row>
    <row r="648" ht="15.75" customHeight="1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</row>
    <row r="649" ht="15.75" customHeight="1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</row>
    <row r="650" ht="15.75" customHeight="1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</row>
    <row r="651" ht="15.75" customHeight="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</row>
    <row r="652" ht="15.75" customHeight="1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</row>
    <row r="653" ht="15.75" customHeight="1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</row>
    <row r="654" ht="15.75" customHeight="1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</row>
    <row r="655" ht="15.75" customHeight="1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</row>
    <row r="656" ht="15.75" customHeight="1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</row>
    <row r="657" ht="15.75" customHeight="1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</row>
    <row r="658" ht="15.75" customHeight="1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</row>
    <row r="659" ht="15.75" customHeight="1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</row>
    <row r="660" ht="15.75" customHeight="1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</row>
    <row r="661" ht="15.75" customHeight="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</row>
    <row r="662" ht="15.75" customHeight="1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</row>
    <row r="663" ht="15.75" customHeight="1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</row>
    <row r="664" ht="15.75" customHeight="1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</row>
    <row r="665" ht="15.75" customHeight="1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</row>
    <row r="666" ht="15.75" customHeight="1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</row>
    <row r="667" ht="15.75" customHeight="1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</row>
    <row r="668" ht="15.75" customHeight="1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</row>
    <row r="669" ht="15.75" customHeight="1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</row>
    <row r="670" ht="15.75" customHeight="1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</row>
    <row r="671" ht="15.75" customHeight="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</row>
    <row r="672" ht="15.75" customHeight="1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</row>
    <row r="673" ht="15.75" customHeight="1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</row>
    <row r="674" ht="15.75" customHeight="1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</row>
    <row r="675" ht="15.75" customHeight="1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</row>
    <row r="676" ht="15.75" customHeight="1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</row>
    <row r="677" ht="15.75" customHeight="1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</row>
    <row r="678" ht="15.75" customHeight="1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</row>
    <row r="679" ht="15.75" customHeight="1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</row>
    <row r="680" ht="15.75" customHeight="1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</row>
    <row r="681" ht="15.75" customHeight="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</row>
    <row r="682" ht="15.75" customHeight="1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</row>
    <row r="683" ht="15.75" customHeight="1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</row>
    <row r="684" ht="15.75" customHeight="1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</row>
    <row r="685" ht="15.75" customHeight="1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</row>
    <row r="686" ht="15.75" customHeight="1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</row>
    <row r="687" ht="15.75" customHeight="1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</row>
    <row r="688" ht="15.75" customHeight="1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</row>
    <row r="689" ht="15.75" customHeight="1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</row>
    <row r="690" ht="15.75" customHeight="1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</row>
    <row r="691" ht="15.75" customHeight="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</row>
    <row r="692" ht="15.75" customHeight="1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</row>
    <row r="693" ht="15.75" customHeight="1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</row>
    <row r="694" ht="15.75" customHeight="1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</row>
    <row r="695" ht="15.75" customHeight="1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</row>
    <row r="696" ht="15.75" customHeight="1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</row>
    <row r="697" ht="15.75" customHeight="1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</row>
    <row r="698" ht="15.75" customHeight="1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</row>
    <row r="699" ht="15.75" customHeight="1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</row>
    <row r="700" ht="15.75" customHeight="1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</row>
    <row r="701" ht="15.75" customHeight="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</row>
    <row r="702" ht="15.75" customHeight="1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</row>
    <row r="703" ht="15.75" customHeight="1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</row>
    <row r="704" ht="15.75" customHeight="1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</row>
    <row r="705" ht="15.75" customHeight="1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</row>
    <row r="706" ht="15.75" customHeight="1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</row>
    <row r="707" ht="15.75" customHeight="1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</row>
    <row r="708" ht="15.75" customHeight="1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</row>
    <row r="709" ht="15.75" customHeight="1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</row>
    <row r="710" ht="15.75" customHeight="1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</row>
    <row r="711" ht="15.75" customHeight="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</row>
    <row r="712" ht="15.75" customHeight="1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</row>
    <row r="713" ht="15.75" customHeight="1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</row>
    <row r="714" ht="15.75" customHeight="1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</row>
    <row r="715" ht="15.75" customHeight="1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</row>
    <row r="716" ht="15.75" customHeight="1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</row>
    <row r="717" ht="15.75" customHeight="1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</row>
    <row r="718" ht="15.75" customHeight="1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</row>
    <row r="719" ht="15.75" customHeight="1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</row>
    <row r="720" ht="15.75" customHeight="1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</row>
    <row r="721" ht="15.75" customHeight="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</row>
    <row r="722" ht="15.75" customHeight="1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</row>
    <row r="723" ht="15.75" customHeight="1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</row>
    <row r="724" ht="15.75" customHeight="1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</row>
    <row r="725" ht="15.75" customHeight="1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</row>
    <row r="726" ht="15.75" customHeight="1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</row>
    <row r="727" ht="15.75" customHeight="1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</row>
    <row r="728" ht="15.75" customHeight="1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</row>
    <row r="729" ht="15.75" customHeight="1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</row>
    <row r="730" ht="15.75" customHeight="1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</row>
    <row r="731" ht="15.75" customHeight="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</row>
    <row r="732" ht="15.75" customHeight="1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</row>
    <row r="733" ht="15.75" customHeight="1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</row>
    <row r="734" ht="15.75" customHeight="1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</row>
    <row r="735" ht="15.75" customHeight="1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</row>
    <row r="736" ht="15.75" customHeight="1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</row>
    <row r="737" ht="15.75" customHeight="1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</row>
    <row r="738" ht="15.75" customHeight="1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</row>
    <row r="739" ht="15.75" customHeight="1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</row>
    <row r="740" ht="15.75" customHeight="1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</row>
    <row r="741" ht="15.75" customHeight="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</row>
    <row r="742" ht="15.75" customHeight="1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</row>
    <row r="743" ht="15.75" customHeight="1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</row>
    <row r="744" ht="15.75" customHeight="1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</row>
    <row r="745" ht="15.75" customHeight="1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</row>
    <row r="746" ht="15.75" customHeight="1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</row>
    <row r="747" ht="15.75" customHeight="1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</row>
    <row r="748" ht="15.75" customHeight="1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</row>
    <row r="749" ht="15.75" customHeight="1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</row>
    <row r="750" ht="15.75" customHeight="1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</row>
    <row r="751" ht="15.75" customHeight="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</row>
    <row r="752" ht="15.75" customHeight="1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</row>
    <row r="753" ht="15.75" customHeight="1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</row>
    <row r="754" ht="15.75" customHeight="1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</row>
    <row r="755" ht="15.75" customHeight="1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</row>
    <row r="756" ht="15.75" customHeight="1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</row>
    <row r="757" ht="15.75" customHeight="1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</row>
    <row r="758" ht="15.75" customHeight="1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</row>
    <row r="759" ht="15.75" customHeight="1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</row>
    <row r="760" ht="15.75" customHeight="1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</row>
    <row r="761" ht="15.75" customHeight="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</row>
    <row r="762" ht="15.75" customHeight="1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</row>
    <row r="763" ht="15.75" customHeight="1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</row>
    <row r="764" ht="15.75" customHeight="1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</row>
    <row r="765" ht="15.75" customHeight="1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</row>
    <row r="766" ht="15.75" customHeight="1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</row>
    <row r="767" ht="15.75" customHeight="1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</row>
    <row r="768" ht="15.75" customHeight="1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</row>
    <row r="769" ht="15.75" customHeight="1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</row>
    <row r="770" ht="15.75" customHeight="1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</row>
    <row r="771" ht="15.75" customHeight="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</row>
    <row r="772" ht="15.75" customHeight="1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</row>
    <row r="773" ht="15.75" customHeight="1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</row>
    <row r="774" ht="15.75" customHeight="1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</row>
    <row r="775" ht="15.75" customHeight="1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</row>
    <row r="776" ht="15.75" customHeight="1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</row>
    <row r="777" ht="15.75" customHeight="1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</row>
    <row r="778" ht="15.75" customHeight="1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</row>
    <row r="779" ht="15.75" customHeight="1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</row>
    <row r="780" ht="15.75" customHeight="1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</row>
    <row r="781" ht="15.75" customHeight="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</row>
    <row r="782" ht="15.75" customHeight="1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</row>
    <row r="783" ht="15.75" customHeight="1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</row>
    <row r="784" ht="15.75" customHeight="1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</row>
    <row r="785" ht="15.75" customHeight="1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</row>
    <row r="786" ht="15.75" customHeight="1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</row>
    <row r="787" ht="15.75" customHeight="1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</row>
    <row r="788" ht="15.75" customHeight="1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</row>
    <row r="789" ht="15.75" customHeight="1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</row>
    <row r="790" ht="15.75" customHeight="1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</row>
    <row r="791" ht="15.75" customHeight="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</row>
    <row r="792" ht="15.75" customHeight="1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</row>
    <row r="793" ht="15.75" customHeight="1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</row>
    <row r="794" ht="15.75" customHeight="1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</row>
    <row r="795" ht="15.75" customHeight="1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</row>
    <row r="796" ht="15.75" customHeight="1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</row>
    <row r="797" ht="15.75" customHeight="1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</row>
    <row r="798" ht="15.75" customHeight="1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</row>
    <row r="799" ht="15.75" customHeight="1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</row>
    <row r="800" ht="15.75" customHeight="1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</row>
    <row r="801" ht="15.75" customHeight="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</row>
    <row r="802" ht="15.75" customHeight="1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</row>
    <row r="803" ht="15.75" customHeight="1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</row>
    <row r="804" ht="15.75" customHeight="1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</row>
    <row r="805" ht="15.75" customHeight="1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</row>
    <row r="806" ht="15.75" customHeight="1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</row>
    <row r="807" ht="15.75" customHeight="1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</row>
    <row r="808" ht="15.75" customHeight="1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</row>
    <row r="809" ht="15.75" customHeight="1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</row>
    <row r="810" ht="15.75" customHeight="1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</row>
    <row r="811" ht="15.75" customHeight="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</row>
    <row r="812" ht="15.75" customHeight="1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</row>
    <row r="813" ht="15.75" customHeight="1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</row>
    <row r="814" ht="15.75" customHeight="1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</row>
    <row r="815" ht="15.75" customHeight="1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</row>
    <row r="816" ht="15.75" customHeight="1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</row>
    <row r="817" ht="15.75" customHeight="1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</row>
    <row r="818" ht="15.75" customHeight="1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</row>
    <row r="819" ht="15.75" customHeight="1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</row>
    <row r="820" ht="15.75" customHeight="1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</row>
    <row r="821" ht="15.75" customHeight="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</row>
    <row r="822" ht="15.75" customHeight="1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</row>
    <row r="823" ht="15.75" customHeight="1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</row>
    <row r="824" ht="15.75" customHeight="1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</row>
    <row r="825" ht="15.75" customHeight="1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</row>
    <row r="826" ht="15.75" customHeight="1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</row>
    <row r="827" ht="15.75" customHeight="1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</row>
    <row r="828" ht="15.75" customHeight="1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</row>
    <row r="829" ht="15.75" customHeight="1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</row>
    <row r="830" ht="15.75" customHeight="1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</row>
    <row r="831" ht="15.75" customHeight="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</row>
    <row r="832" ht="15.75" customHeight="1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</row>
    <row r="833" ht="15.75" customHeight="1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</row>
    <row r="834" ht="15.75" customHeight="1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</row>
    <row r="835" ht="15.75" customHeight="1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</row>
    <row r="836" ht="15.75" customHeight="1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</row>
    <row r="837" ht="15.75" customHeight="1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</row>
    <row r="838" ht="15.75" customHeight="1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</row>
    <row r="839" ht="15.75" customHeight="1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</row>
    <row r="840" ht="15.75" customHeight="1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</row>
    <row r="841" ht="15.75" customHeight="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</row>
    <row r="842" ht="15.75" customHeight="1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</row>
    <row r="843" ht="15.75" customHeight="1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</row>
    <row r="844" ht="15.75" customHeight="1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</row>
    <row r="845" ht="15.75" customHeight="1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</row>
    <row r="846" ht="15.75" customHeight="1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</row>
    <row r="847" ht="15.75" customHeight="1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</row>
    <row r="848" ht="15.75" customHeight="1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</row>
    <row r="849" ht="15.75" customHeight="1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</row>
    <row r="850" ht="15.75" customHeight="1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</row>
    <row r="851" ht="15.75" customHeight="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</row>
    <row r="852" ht="15.75" customHeight="1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</row>
    <row r="853" ht="15.75" customHeight="1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</row>
    <row r="854" ht="15.75" customHeight="1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</row>
    <row r="855" ht="15.75" customHeight="1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</row>
    <row r="856" ht="15.75" customHeight="1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</row>
    <row r="857" ht="15.75" customHeight="1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</row>
    <row r="858" ht="15.75" customHeight="1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</row>
    <row r="859" ht="15.75" customHeight="1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</row>
    <row r="860" ht="15.75" customHeight="1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</row>
    <row r="861" ht="15.75" customHeight="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</row>
    <row r="862" ht="15.75" customHeight="1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</row>
    <row r="863" ht="15.75" customHeight="1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</row>
    <row r="864" ht="15.75" customHeight="1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</row>
    <row r="865" ht="15.75" customHeight="1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</row>
    <row r="866" ht="15.75" customHeight="1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</row>
    <row r="867" ht="15.75" customHeight="1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</row>
    <row r="868" ht="15.75" customHeight="1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</row>
    <row r="869" ht="15.75" customHeight="1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</row>
    <row r="870" ht="15.75" customHeight="1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</row>
    <row r="871" ht="15.75" customHeight="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</row>
    <row r="872" ht="15.75" customHeight="1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</row>
    <row r="873" ht="15.75" customHeight="1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</row>
    <row r="874" ht="15.75" customHeight="1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</row>
    <row r="875" ht="15.75" customHeight="1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</row>
    <row r="876" ht="15.75" customHeight="1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</row>
    <row r="877" ht="15.75" customHeight="1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</row>
    <row r="878" ht="15.75" customHeight="1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</row>
    <row r="879" ht="15.75" customHeight="1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</row>
    <row r="880" ht="15.75" customHeight="1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</row>
    <row r="881" ht="15.75" customHeight="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</row>
    <row r="882" ht="15.75" customHeight="1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</row>
    <row r="883" ht="15.75" customHeight="1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</row>
    <row r="884" ht="15.75" customHeight="1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</row>
    <row r="885" ht="15.75" customHeight="1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</row>
    <row r="886" ht="15.75" customHeight="1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</row>
    <row r="887" ht="15.75" customHeight="1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</row>
    <row r="888" ht="15.75" customHeight="1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</row>
    <row r="889" ht="15.75" customHeight="1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</row>
    <row r="890" ht="15.75" customHeight="1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</row>
    <row r="891" ht="15.75" customHeight="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</row>
    <row r="892" ht="15.75" customHeight="1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</row>
    <row r="893" ht="15.75" customHeight="1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</row>
    <row r="894" ht="15.75" customHeight="1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</row>
    <row r="895" ht="15.75" customHeight="1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</row>
    <row r="896" ht="15.75" customHeight="1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</row>
    <row r="897" ht="15.75" customHeight="1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</row>
    <row r="898" ht="15.75" customHeight="1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</row>
    <row r="899" ht="15.75" customHeight="1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</row>
    <row r="900" ht="15.75" customHeight="1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</row>
    <row r="901" ht="15.75" customHeight="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</row>
    <row r="902" ht="15.75" customHeight="1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</row>
    <row r="903" ht="15.75" customHeight="1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</row>
    <row r="904" ht="15.75" customHeight="1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</row>
    <row r="905" ht="15.75" customHeight="1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</row>
    <row r="906" ht="15.75" customHeight="1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</row>
    <row r="907" ht="15.75" customHeight="1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</row>
    <row r="908" ht="15.75" customHeight="1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</row>
    <row r="909" ht="15.75" customHeight="1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</row>
    <row r="910" ht="15.75" customHeight="1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</row>
    <row r="911" ht="15.75" customHeight="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</row>
    <row r="912" ht="15.75" customHeight="1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</row>
    <row r="913" ht="15.75" customHeight="1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</row>
    <row r="914" ht="15.75" customHeight="1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</row>
    <row r="915" ht="15.75" customHeight="1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</row>
    <row r="916" ht="15.75" customHeight="1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</row>
    <row r="917" ht="15.75" customHeight="1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</row>
    <row r="918" ht="15.75" customHeight="1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</row>
    <row r="919" ht="15.75" customHeight="1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</row>
    <row r="920" ht="15.75" customHeight="1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</row>
    <row r="921" ht="15.75" customHeight="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</row>
    <row r="922" ht="15.75" customHeight="1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</row>
    <row r="923" ht="15.75" customHeight="1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</row>
    <row r="924" ht="15.75" customHeight="1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</row>
    <row r="925" ht="15.75" customHeight="1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</row>
    <row r="926" ht="15.75" customHeight="1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</row>
    <row r="927" ht="15.75" customHeight="1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</row>
    <row r="928" ht="15.75" customHeight="1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</row>
    <row r="929" ht="15.75" customHeight="1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</row>
    <row r="930" ht="15.75" customHeight="1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</row>
    <row r="931" ht="15.75" customHeight="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</row>
    <row r="932" ht="15.75" customHeight="1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</row>
    <row r="933" ht="15.75" customHeight="1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</row>
    <row r="934" ht="15.75" customHeight="1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</row>
    <row r="935" ht="15.75" customHeight="1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</row>
    <row r="936" ht="15.75" customHeight="1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</row>
    <row r="937" ht="15.75" customHeight="1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</row>
    <row r="938" ht="15.75" customHeight="1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</row>
    <row r="939" ht="15.75" customHeight="1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</row>
    <row r="940" ht="15.75" customHeight="1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</row>
    <row r="941" ht="15.75" customHeight="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</row>
    <row r="942" ht="15.75" customHeight="1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</row>
    <row r="943" ht="15.75" customHeight="1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</row>
    <row r="944" ht="15.75" customHeight="1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</row>
    <row r="945" ht="15.75" customHeight="1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</row>
    <row r="946" ht="15.75" customHeight="1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</row>
    <row r="947" ht="15.75" customHeight="1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</row>
    <row r="948" ht="15.75" customHeight="1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</row>
    <row r="949" ht="15.75" customHeight="1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</row>
    <row r="950" ht="15.75" customHeight="1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</row>
    <row r="951" ht="15.75" customHeight="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</row>
    <row r="952" ht="15.75" customHeight="1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</row>
    <row r="953" ht="15.75" customHeight="1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</row>
    <row r="954" ht="15.75" customHeight="1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</row>
    <row r="955" ht="15.75" customHeight="1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</row>
    <row r="956" ht="15.75" customHeight="1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</row>
    <row r="957" ht="15.75" customHeight="1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</row>
    <row r="958" ht="15.75" customHeight="1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</row>
    <row r="959" ht="15.75" customHeight="1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</row>
    <row r="960" ht="15.75" customHeight="1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</row>
    <row r="961" ht="15.75" customHeight="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</row>
    <row r="962" ht="15.75" customHeight="1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</row>
    <row r="963" ht="15.75" customHeight="1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</row>
    <row r="964" ht="15.75" customHeight="1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</row>
    <row r="965" ht="15.75" customHeight="1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</row>
    <row r="966" ht="15.75" customHeight="1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</row>
    <row r="967" ht="15.75" customHeight="1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</row>
    <row r="968" ht="15.75" customHeight="1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</row>
    <row r="969" ht="15.75" customHeight="1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</row>
    <row r="970" ht="15.75" customHeight="1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</row>
    <row r="971" ht="15.75" customHeight="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</row>
    <row r="972" ht="15.75" customHeight="1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</row>
    <row r="973" ht="15.75" customHeight="1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</row>
    <row r="974" ht="15.75" customHeight="1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</row>
    <row r="975" ht="15.75" customHeight="1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</row>
    <row r="976" ht="15.75" customHeight="1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</row>
    <row r="977" ht="15.75" customHeight="1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</row>
    <row r="978" ht="15.75" customHeight="1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</row>
    <row r="979" ht="15.75" customHeight="1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</row>
    <row r="980" ht="15.75" customHeight="1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</row>
    <row r="981" ht="15.75" customHeight="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</row>
    <row r="982" ht="15.75" customHeight="1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</row>
    <row r="983" ht="15.75" customHeight="1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</row>
    <row r="984" ht="15.75" customHeight="1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</row>
    <row r="985" ht="15.75" customHeight="1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</row>
    <row r="986" ht="15.75" customHeight="1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</row>
    <row r="987" ht="15.75" customHeight="1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</row>
    <row r="988" ht="15.75" customHeight="1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</row>
    <row r="989" ht="15.75" customHeight="1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</row>
    <row r="990" ht="15.75" customHeight="1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</row>
    <row r="991" ht="15.75" customHeight="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</row>
    <row r="992" ht="15.75" customHeight="1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</row>
    <row r="993" ht="15.75" customHeight="1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</row>
    <row r="994" ht="15.75" customHeight="1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</row>
    <row r="995" ht="15.75" customHeight="1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</row>
    <row r="996" ht="15.75" customHeight="1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</row>
    <row r="997" ht="15.75" customHeight="1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</row>
    <row r="998" ht="15.75" customHeight="1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1.29"/>
    <col customWidth="1" min="2" max="2" width="17.71"/>
    <col customWidth="1" min="3" max="3" width="11.43"/>
    <col customWidth="1" min="4" max="4" width="16.57"/>
    <col customWidth="1" min="5" max="5" width="37.29"/>
    <col customWidth="1" min="6" max="6" width="20.86"/>
    <col customWidth="1" min="7" max="7" width="11.14"/>
    <col customWidth="1" min="8" max="8" width="38.29"/>
    <col customWidth="1" min="9" max="9" width="29.86"/>
    <col customWidth="1" min="10" max="10" width="15.86"/>
    <col customWidth="1" min="11" max="11" width="18.43"/>
    <col customWidth="1" min="12" max="13" width="12.86"/>
    <col customWidth="1" min="14" max="14" width="17.57"/>
    <col customWidth="1" min="15" max="15" width="13.71"/>
    <col customWidth="1" min="16" max="16" width="0.43"/>
    <col customWidth="1" min="17" max="17" width="12.0"/>
    <col customWidth="1" min="18" max="18" width="17.57"/>
    <col customWidth="1" min="19" max="19" width="19.14"/>
    <col customWidth="1" min="20" max="20" width="24.43"/>
    <col customWidth="1" min="21" max="21" width="12.86"/>
    <col customWidth="1" min="22" max="22" width="16.57"/>
    <col customWidth="1" min="23" max="23" width="20.29"/>
    <col customWidth="1" min="24" max="24" width="16.57"/>
    <col customWidth="1" min="25" max="26" width="12.86"/>
    <col customWidth="1" min="27" max="27" width="18.57"/>
    <col customWidth="1" min="28" max="28" width="16.57"/>
    <col customWidth="1" min="29" max="29" width="14.71"/>
    <col customWidth="1" min="30" max="30" width="23.29"/>
    <col customWidth="1" min="31" max="31" width="16.57"/>
    <col customWidth="1" min="32" max="32" width="12.86"/>
    <col customWidth="1" min="33" max="33" width="23.43"/>
    <col customWidth="1" min="34" max="34" width="116.29"/>
    <col customWidth="1" min="35" max="35" width="14.71"/>
    <col customWidth="1" min="36" max="36" width="16.0"/>
  </cols>
  <sheetData>
    <row r="1" ht="30.0" customHeight="1">
      <c r="A1" s="3" t="s">
        <v>5</v>
      </c>
      <c r="B1" s="3" t="s">
        <v>6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22</v>
      </c>
      <c r="N1" s="3" t="s">
        <v>24</v>
      </c>
      <c r="O1" s="3" t="s">
        <v>27</v>
      </c>
      <c r="P1" s="3" t="s">
        <v>29</v>
      </c>
      <c r="Q1" s="3" t="s">
        <v>31</v>
      </c>
      <c r="R1" s="5" t="s">
        <v>34</v>
      </c>
      <c r="S1" s="3" t="s">
        <v>37</v>
      </c>
      <c r="T1" s="3" t="s">
        <v>39</v>
      </c>
      <c r="U1" s="3" t="s">
        <v>41</v>
      </c>
      <c r="V1" s="3" t="s">
        <v>42</v>
      </c>
      <c r="W1" s="3" t="s">
        <v>44</v>
      </c>
      <c r="X1" s="3" t="s">
        <v>46</v>
      </c>
      <c r="Y1" s="3" t="s">
        <v>48</v>
      </c>
      <c r="Z1" s="3" t="s">
        <v>50</v>
      </c>
      <c r="AA1" s="3" t="s">
        <v>52</v>
      </c>
      <c r="AB1" s="3" t="s">
        <v>25</v>
      </c>
      <c r="AC1" s="3" t="s">
        <v>32</v>
      </c>
      <c r="AD1" s="3" t="s">
        <v>54</v>
      </c>
      <c r="AE1" s="3" t="s">
        <v>55</v>
      </c>
      <c r="AF1" s="3" t="s">
        <v>58</v>
      </c>
      <c r="AG1" s="3" t="s">
        <v>59</v>
      </c>
      <c r="AH1" s="3" t="s">
        <v>35</v>
      </c>
      <c r="AI1" s="3" t="s">
        <v>60</v>
      </c>
      <c r="AJ1" s="11">
        <v>46283.0</v>
      </c>
    </row>
    <row r="2" ht="15.75" customHeight="1">
      <c r="A2" s="10" t="s">
        <v>63</v>
      </c>
      <c r="B2" s="13" t="s">
        <v>64</v>
      </c>
      <c r="C2" s="10" t="s">
        <v>66</v>
      </c>
      <c r="D2" s="14">
        <v>1.966123E7</v>
      </c>
      <c r="E2" s="10" t="s">
        <v>68</v>
      </c>
      <c r="F2" s="10" t="s">
        <v>69</v>
      </c>
      <c r="G2" s="13" t="s">
        <v>70</v>
      </c>
      <c r="H2" s="15" t="s">
        <v>71</v>
      </c>
      <c r="I2" s="10" t="s">
        <v>73</v>
      </c>
      <c r="J2" s="10" t="s">
        <v>74</v>
      </c>
      <c r="K2" s="10" t="s">
        <v>75</v>
      </c>
      <c r="L2" s="10">
        <v>2.511201552E9</v>
      </c>
      <c r="M2" s="10"/>
      <c r="N2" s="10"/>
      <c r="O2" s="10"/>
      <c r="P2" s="10" t="s">
        <v>76</v>
      </c>
      <c r="Q2" s="10" t="s">
        <v>77</v>
      </c>
      <c r="R2" s="10"/>
      <c r="S2" s="10" t="s">
        <v>79</v>
      </c>
      <c r="T2" s="10"/>
      <c r="U2" s="10" t="s">
        <v>80</v>
      </c>
      <c r="V2" s="10" t="s">
        <v>81</v>
      </c>
      <c r="W2" s="10" t="s">
        <v>56</v>
      </c>
      <c r="X2" s="18">
        <f>COUNTIF('간병인배정'!$B:$B,$A2)</f>
        <v>1</v>
      </c>
      <c r="Y2" s="18">
        <f>SUMIF('간병비지급'!$B:$B,$A2,'간병비지급'!$I:$I)</f>
        <v>184000</v>
      </c>
      <c r="Z2" s="18">
        <f>COUNTIF('보험청구'!$B:$B,$A2)</f>
        <v>1</v>
      </c>
      <c r="AA2" s="18">
        <f>COUNTIFS('보험청구'!$B:$B,$A2,'보험청구'!$J:$J,"미확인")</f>
        <v>0</v>
      </c>
      <c r="AB2" s="18">
        <f>SUMIF('보험청구'!$B:$B,$A2,'보험청구'!$I:$I)</f>
        <v>0</v>
      </c>
      <c r="AC2" s="18">
        <f>SUMIF('보험청구'!$B:$B,$A2,'보험청구'!$L:$L)</f>
        <v>0</v>
      </c>
      <c r="AD2" s="10"/>
      <c r="AE2" s="10"/>
      <c r="AF2" s="10" t="str">
        <f t="shared" ref="AF2:AF97" si="1">IF($AE2="","",$AJ$1-$AE2)</f>
        <v/>
      </c>
      <c r="AG2" s="10" t="str">
        <f t="shared" ref="AG2:AG246" si="2">IF(OR($W2="서비스 취소",$W2="서비스취소",$W2="미해당",$W2="예정",$W2=""),"제외",IF(AND($W2="완료",$Z2=0),"미청구(완료·무청구)",IF(AND($W2="진행중",$Z2=0,$AD2&lt;&gt;"",$AJ$1-$AD2&gt;=10),"미청구(청구시작안됨)",IF(AND($W2="진행중",$Z2&gt;0,$AJ$1-$AE2&gt;=10),"미청구(청구지연)","정상"))))</f>
        <v>정상</v>
      </c>
      <c r="AH2" s="25"/>
      <c r="AI2" s="10"/>
      <c r="AJ2" s="10"/>
    </row>
    <row r="3" ht="15.75" customHeight="1">
      <c r="A3" s="10" t="s">
        <v>121</v>
      </c>
      <c r="B3" s="13" t="s">
        <v>122</v>
      </c>
      <c r="C3" s="10" t="s">
        <v>66</v>
      </c>
      <c r="D3" s="14">
        <v>1.9670204E7</v>
      </c>
      <c r="E3" s="10" t="s">
        <v>125</v>
      </c>
      <c r="F3" s="10" t="s">
        <v>126</v>
      </c>
      <c r="G3" s="13" t="s">
        <v>127</v>
      </c>
      <c r="H3" s="15" t="s">
        <v>128</v>
      </c>
      <c r="I3" s="10" t="s">
        <v>73</v>
      </c>
      <c r="J3" s="10" t="s">
        <v>129</v>
      </c>
      <c r="K3" s="10" t="s">
        <v>130</v>
      </c>
      <c r="L3" s="10">
        <v>2.512948E9</v>
      </c>
      <c r="M3" s="10"/>
      <c r="N3" s="10"/>
      <c r="O3" s="10"/>
      <c r="P3" s="10" t="s">
        <v>131</v>
      </c>
      <c r="Q3" s="10" t="s">
        <v>132</v>
      </c>
      <c r="R3" s="10"/>
      <c r="S3" s="10" t="s">
        <v>133</v>
      </c>
      <c r="T3" s="10"/>
      <c r="U3" s="10" t="s">
        <v>80</v>
      </c>
      <c r="V3" s="10" t="s">
        <v>135</v>
      </c>
      <c r="W3" s="10" t="s">
        <v>56</v>
      </c>
      <c r="X3" s="18">
        <f>COUNTIF('간병인배정'!$B:$B,$A3)</f>
        <v>1</v>
      </c>
      <c r="Y3" s="18">
        <f>SUMIF('간병비지급'!$B:$B,$A3,'간병비지급'!$I:$I)</f>
        <v>640000</v>
      </c>
      <c r="Z3" s="18">
        <f>COUNTIF('보험청구'!$B:$B,$A3)</f>
        <v>1</v>
      </c>
      <c r="AA3" s="18">
        <f>COUNTIFS('보험청구'!$B:$B,$A3,'보험청구'!$J:$J,"미확인")</f>
        <v>0</v>
      </c>
      <c r="AB3" s="18">
        <f>SUMIF('보험청구'!$B:$B,$A3,'보험청구'!$I:$I)</f>
        <v>0</v>
      </c>
      <c r="AC3" s="18">
        <f>SUMIF('보험청구'!$B:$B,$A3,'보험청구'!$L:$L)</f>
        <v>0</v>
      </c>
      <c r="AD3" s="10"/>
      <c r="AE3" s="10"/>
      <c r="AF3" s="10" t="str">
        <f t="shared" si="1"/>
        <v/>
      </c>
      <c r="AG3" s="10" t="str">
        <f t="shared" si="2"/>
        <v>정상</v>
      </c>
      <c r="AH3" s="25" t="s">
        <v>162</v>
      </c>
      <c r="AI3" s="10"/>
      <c r="AJ3" s="10"/>
    </row>
    <row r="4" ht="15.75" customHeight="1">
      <c r="A4" s="10" t="s">
        <v>165</v>
      </c>
      <c r="B4" s="13" t="s">
        <v>166</v>
      </c>
      <c r="C4" s="10" t="s">
        <v>66</v>
      </c>
      <c r="D4" s="14">
        <v>1.9670302E7</v>
      </c>
      <c r="E4" s="10" t="s">
        <v>167</v>
      </c>
      <c r="F4" s="10" t="s">
        <v>168</v>
      </c>
      <c r="G4" s="13" t="s">
        <v>170</v>
      </c>
      <c r="H4" s="15" t="s">
        <v>172</v>
      </c>
      <c r="I4" s="10" t="s">
        <v>73</v>
      </c>
      <c r="J4" s="10"/>
      <c r="K4" s="10"/>
      <c r="L4" s="10"/>
      <c r="M4" s="10"/>
      <c r="N4" s="10"/>
      <c r="O4" s="10"/>
      <c r="P4" s="10" t="s">
        <v>174</v>
      </c>
      <c r="Q4" s="10" t="s">
        <v>132</v>
      </c>
      <c r="R4" s="10"/>
      <c r="S4" s="10" t="s">
        <v>175</v>
      </c>
      <c r="T4" s="10"/>
      <c r="U4" s="10" t="s">
        <v>80</v>
      </c>
      <c r="V4" s="10" t="s">
        <v>176</v>
      </c>
      <c r="W4" s="10" t="s">
        <v>178</v>
      </c>
      <c r="X4" s="18">
        <f>COUNTIF('간병인배정'!$B:$B,$A4)</f>
        <v>0</v>
      </c>
      <c r="Y4" s="18">
        <f>SUMIF('간병비지급'!$B:$B,$A4,'간병비지급'!$I:$I)</f>
        <v>0</v>
      </c>
      <c r="Z4" s="18">
        <f>COUNTIF('보험청구'!$B:$B,$A4)</f>
        <v>0</v>
      </c>
      <c r="AA4" s="18">
        <f>COUNTIFS('보험청구'!$B:$B,$A4,'보험청구'!$J:$J,"미확인")</f>
        <v>0</v>
      </c>
      <c r="AB4" s="18">
        <f>SUMIF('보험청구'!$B:$B,$A4,'보험청구'!$I:$I)</f>
        <v>0</v>
      </c>
      <c r="AC4" s="18">
        <f>SUMIF('보험청구'!$B:$B,$A4,'보험청구'!$L:$L)</f>
        <v>0</v>
      </c>
      <c r="AD4" s="10"/>
      <c r="AE4" s="10"/>
      <c r="AF4" s="10" t="str">
        <f t="shared" si="1"/>
        <v/>
      </c>
      <c r="AG4" s="10" t="str">
        <f t="shared" si="2"/>
        <v>제외</v>
      </c>
      <c r="AH4" s="25" t="s">
        <v>209</v>
      </c>
      <c r="AI4" s="10"/>
      <c r="AJ4" s="10"/>
    </row>
    <row r="5" ht="15.75" customHeight="1">
      <c r="A5" s="10" t="s">
        <v>210</v>
      </c>
      <c r="B5" s="13" t="s">
        <v>211</v>
      </c>
      <c r="C5" s="10" t="s">
        <v>212</v>
      </c>
      <c r="D5" s="14">
        <v>1.9800718E7</v>
      </c>
      <c r="E5" s="10" t="s">
        <v>214</v>
      </c>
      <c r="F5" s="10" t="s">
        <v>215</v>
      </c>
      <c r="G5" s="13" t="s">
        <v>216</v>
      </c>
      <c r="H5" s="15" t="s">
        <v>217</v>
      </c>
      <c r="I5" s="10" t="s">
        <v>73</v>
      </c>
      <c r="J5" s="10" t="s">
        <v>218</v>
      </c>
      <c r="K5" s="10" t="s">
        <v>219</v>
      </c>
      <c r="L5" s="10">
        <v>2.601359403E9</v>
      </c>
      <c r="M5" s="10" t="s">
        <v>220</v>
      </c>
      <c r="N5" s="10" t="s">
        <v>221</v>
      </c>
      <c r="O5" s="10"/>
      <c r="P5" s="10" t="s">
        <v>222</v>
      </c>
      <c r="Q5" s="10" t="s">
        <v>132</v>
      </c>
      <c r="R5" s="10"/>
      <c r="S5" s="10" t="s">
        <v>223</v>
      </c>
      <c r="T5" s="10"/>
      <c r="U5" s="10" t="s">
        <v>80</v>
      </c>
      <c r="V5" s="10" t="s">
        <v>224</v>
      </c>
      <c r="W5" s="10" t="s">
        <v>178</v>
      </c>
      <c r="X5" s="18">
        <f>COUNTIF('간병인배정'!$B:$B,$A5)</f>
        <v>0</v>
      </c>
      <c r="Y5" s="18">
        <f>SUMIF('간병비지급'!$B:$B,$A5,'간병비지급'!$I:$I)</f>
        <v>0</v>
      </c>
      <c r="Z5" s="18">
        <f>COUNTIF('보험청구'!$B:$B,$A5)</f>
        <v>0</v>
      </c>
      <c r="AA5" s="18">
        <f>COUNTIFS('보험청구'!$B:$B,$A5,'보험청구'!$J:$J,"미확인")</f>
        <v>0</v>
      </c>
      <c r="AB5" s="18">
        <f>SUMIF('보험청구'!$B:$B,$A5,'보험청구'!$I:$I)</f>
        <v>0</v>
      </c>
      <c r="AC5" s="18">
        <f>SUMIF('보험청구'!$B:$B,$A5,'보험청구'!$L:$L)</f>
        <v>0</v>
      </c>
      <c r="AD5" s="10"/>
      <c r="AE5" s="10"/>
      <c r="AF5" s="10" t="str">
        <f t="shared" si="1"/>
        <v/>
      </c>
      <c r="AG5" s="10" t="str">
        <f t="shared" si="2"/>
        <v>제외</v>
      </c>
      <c r="AH5" s="25" t="s">
        <v>242</v>
      </c>
      <c r="AI5" s="10"/>
      <c r="AJ5" s="10"/>
    </row>
    <row r="6" ht="15.75" customHeight="1">
      <c r="A6" s="10" t="s">
        <v>83</v>
      </c>
      <c r="B6" s="13" t="s">
        <v>243</v>
      </c>
      <c r="C6" s="10" t="s">
        <v>212</v>
      </c>
      <c r="D6" s="14">
        <v>1.9751203E7</v>
      </c>
      <c r="E6" s="10" t="s">
        <v>244</v>
      </c>
      <c r="F6" s="10" t="s">
        <v>245</v>
      </c>
      <c r="G6" s="13" t="s">
        <v>247</v>
      </c>
      <c r="H6" s="15" t="s">
        <v>248</v>
      </c>
      <c r="I6" s="10" t="s">
        <v>73</v>
      </c>
      <c r="J6" s="10" t="s">
        <v>251</v>
      </c>
      <c r="K6" s="10" t="s">
        <v>252</v>
      </c>
      <c r="L6" s="10">
        <v>2.601723805E9</v>
      </c>
      <c r="M6" s="10" t="s">
        <v>254</v>
      </c>
      <c r="N6" s="10" t="s">
        <v>256</v>
      </c>
      <c r="O6" s="10"/>
      <c r="P6" s="10" t="s">
        <v>257</v>
      </c>
      <c r="Q6" s="10" t="s">
        <v>132</v>
      </c>
      <c r="R6" s="10"/>
      <c r="S6" s="10" t="s">
        <v>257</v>
      </c>
      <c r="T6" s="10"/>
      <c r="U6" s="10" t="s">
        <v>80</v>
      </c>
      <c r="V6" s="10" t="s">
        <v>262</v>
      </c>
      <c r="W6" s="10" t="s">
        <v>56</v>
      </c>
      <c r="X6" s="18">
        <f>COUNTIF('간병인배정'!$B:$B,$A6)</f>
        <v>0</v>
      </c>
      <c r="Y6" s="18">
        <f>SUMIF('간병비지급'!$B:$B,$A6,'간병비지급'!$I:$I)</f>
        <v>0</v>
      </c>
      <c r="Z6" s="18">
        <f>COUNTIF('보험청구'!$B:$B,$A6)</f>
        <v>2</v>
      </c>
      <c r="AA6" s="18">
        <f>COUNTIFS('보험청구'!$B:$B,$A6,'보험청구'!$J:$J,"미확인")</f>
        <v>0</v>
      </c>
      <c r="AB6" s="18">
        <f>SUMIF('보험청구'!$B:$B,$A6,'보험청구'!$I:$I)</f>
        <v>0</v>
      </c>
      <c r="AC6" s="18">
        <f>SUMIF('보험청구'!$B:$B,$A6,'보험청구'!$L:$L)</f>
        <v>6912000</v>
      </c>
      <c r="AD6" s="10"/>
      <c r="AE6" s="30">
        <v>46223.0</v>
      </c>
      <c r="AF6" s="10">
        <f t="shared" si="1"/>
        <v>60</v>
      </c>
      <c r="AG6" s="10" t="str">
        <f t="shared" si="2"/>
        <v>정상</v>
      </c>
      <c r="AH6" s="25" t="s">
        <v>286</v>
      </c>
      <c r="AI6" s="10"/>
      <c r="AJ6" s="10"/>
    </row>
    <row r="7" ht="15.75" customHeight="1">
      <c r="A7" s="10" t="s">
        <v>61</v>
      </c>
      <c r="B7" s="13" t="s">
        <v>243</v>
      </c>
      <c r="C7" s="10" t="s">
        <v>212</v>
      </c>
      <c r="D7" s="14">
        <v>1.9751203E7</v>
      </c>
      <c r="E7" s="10" t="s">
        <v>244</v>
      </c>
      <c r="F7" s="10" t="s">
        <v>245</v>
      </c>
      <c r="G7" s="13" t="s">
        <v>247</v>
      </c>
      <c r="H7" s="15" t="s">
        <v>248</v>
      </c>
      <c r="I7" s="10" t="s">
        <v>73</v>
      </c>
      <c r="J7" s="10" t="s">
        <v>251</v>
      </c>
      <c r="K7" s="10" t="s">
        <v>252</v>
      </c>
      <c r="L7" s="10">
        <v>2.601723805E9</v>
      </c>
      <c r="M7" s="10" t="s">
        <v>254</v>
      </c>
      <c r="N7" s="10" t="s">
        <v>256</v>
      </c>
      <c r="O7" s="10"/>
      <c r="P7" s="10" t="s">
        <v>257</v>
      </c>
      <c r="Q7" s="10" t="s">
        <v>132</v>
      </c>
      <c r="R7" s="10"/>
      <c r="S7" s="10" t="s">
        <v>257</v>
      </c>
      <c r="T7" s="10"/>
      <c r="U7" s="10" t="s">
        <v>80</v>
      </c>
      <c r="V7" s="10"/>
      <c r="W7" s="20" t="s">
        <v>56</v>
      </c>
      <c r="X7" s="18">
        <f>COUNTIF('간병인배정'!$B:$B,$A7)</f>
        <v>1</v>
      </c>
      <c r="Y7" s="18">
        <f>SUMIF('간병비지급'!$B:$B,$A7,'간병비지급'!$I:$I)</f>
        <v>320000</v>
      </c>
      <c r="Z7" s="18">
        <f>COUNTIF('보험청구'!$B:$B,$A7)</f>
        <v>1</v>
      </c>
      <c r="AA7" s="18">
        <f>COUNTIFS('보험청구'!$B:$B,$A7,'보험청구'!$J:$J,"미확인")</f>
        <v>0</v>
      </c>
      <c r="AB7" s="18">
        <f>SUMIF('보험청구'!$B:$B,$A7,'보험청구'!$I:$I)</f>
        <v>0</v>
      </c>
      <c r="AC7" s="18">
        <f>SUMIF('보험청구'!$B:$B,$A7,'보험청구'!$L:$L)</f>
        <v>1440000</v>
      </c>
      <c r="AD7" s="30">
        <v>46224.0</v>
      </c>
      <c r="AE7" s="30">
        <v>46094.0</v>
      </c>
      <c r="AF7" s="10">
        <f t="shared" si="1"/>
        <v>189</v>
      </c>
      <c r="AG7" s="10" t="str">
        <f t="shared" si="2"/>
        <v>정상</v>
      </c>
      <c r="AH7" s="26" t="s">
        <v>286</v>
      </c>
      <c r="AI7" s="10"/>
      <c r="AJ7" s="10"/>
    </row>
    <row r="8" ht="15.75" customHeight="1">
      <c r="A8" s="10" t="s">
        <v>308</v>
      </c>
      <c r="B8" s="13" t="s">
        <v>309</v>
      </c>
      <c r="C8" s="10" t="s">
        <v>66</v>
      </c>
      <c r="D8" s="14">
        <v>1.9490814E7</v>
      </c>
      <c r="E8" s="10" t="s">
        <v>310</v>
      </c>
      <c r="F8" s="10" t="s">
        <v>168</v>
      </c>
      <c r="G8" s="13" t="s">
        <v>313</v>
      </c>
      <c r="H8" s="15" t="s">
        <v>314</v>
      </c>
      <c r="I8" s="10" t="s">
        <v>73</v>
      </c>
      <c r="J8" s="10" t="s">
        <v>315</v>
      </c>
      <c r="K8" s="10" t="s">
        <v>316</v>
      </c>
      <c r="L8" s="10">
        <v>2.601965806E9</v>
      </c>
      <c r="M8" s="10" t="s">
        <v>317</v>
      </c>
      <c r="N8" s="10" t="s">
        <v>318</v>
      </c>
      <c r="O8" s="10"/>
      <c r="P8" s="10" t="s">
        <v>319</v>
      </c>
      <c r="Q8" s="10" t="s">
        <v>77</v>
      </c>
      <c r="R8" s="10"/>
      <c r="S8" s="10" t="s">
        <v>321</v>
      </c>
      <c r="T8" s="10"/>
      <c r="U8" s="10" t="s">
        <v>322</v>
      </c>
      <c r="V8" s="10" t="s">
        <v>323</v>
      </c>
      <c r="W8" s="10" t="s">
        <v>178</v>
      </c>
      <c r="X8" s="18">
        <f>COUNTIF('간병인배정'!$B:$B,$A8)</f>
        <v>0</v>
      </c>
      <c r="Y8" s="18">
        <f>SUMIF('간병비지급'!$B:$B,$A8,'간병비지급'!$I:$I)</f>
        <v>0</v>
      </c>
      <c r="Z8" s="18">
        <f>COUNTIF('보험청구'!$B:$B,$A8)</f>
        <v>0</v>
      </c>
      <c r="AA8" s="18">
        <f>COUNTIFS('보험청구'!$B:$B,$A8,'보험청구'!$J:$J,"미확인")</f>
        <v>0</v>
      </c>
      <c r="AB8" s="18">
        <f>SUMIF('보험청구'!$B:$B,$A8,'보험청구'!$I:$I)</f>
        <v>0</v>
      </c>
      <c r="AC8" s="18">
        <f>SUMIF('보험청구'!$B:$B,$A8,'보험청구'!$L:$L)</f>
        <v>0</v>
      </c>
      <c r="AD8" s="10"/>
      <c r="AE8" s="10"/>
      <c r="AF8" s="10" t="str">
        <f t="shared" si="1"/>
        <v/>
      </c>
      <c r="AG8" s="10" t="str">
        <f t="shared" si="2"/>
        <v>제외</v>
      </c>
      <c r="AH8" s="25" t="s">
        <v>335</v>
      </c>
      <c r="AI8" s="10"/>
      <c r="AJ8" s="10"/>
    </row>
    <row r="9" ht="15.75" customHeight="1">
      <c r="A9" s="10" t="s">
        <v>124</v>
      </c>
      <c r="B9" s="13" t="s">
        <v>336</v>
      </c>
      <c r="C9" s="10" t="s">
        <v>66</v>
      </c>
      <c r="D9" s="14">
        <v>1.9730906E7</v>
      </c>
      <c r="E9" s="10" t="s">
        <v>337</v>
      </c>
      <c r="F9" s="10" t="s">
        <v>338</v>
      </c>
      <c r="G9" s="13" t="s">
        <v>339</v>
      </c>
      <c r="H9" s="15" t="s">
        <v>340</v>
      </c>
      <c r="I9" s="10" t="s">
        <v>73</v>
      </c>
      <c r="J9" s="10" t="s">
        <v>341</v>
      </c>
      <c r="K9" s="10" t="s">
        <v>343</v>
      </c>
      <c r="L9" s="10" t="s">
        <v>344</v>
      </c>
      <c r="M9" s="10" t="s">
        <v>345</v>
      </c>
      <c r="N9" s="10" t="s">
        <v>346</v>
      </c>
      <c r="O9" s="10" t="s">
        <v>347</v>
      </c>
      <c r="P9" s="10" t="s">
        <v>348</v>
      </c>
      <c r="Q9" s="10" t="s">
        <v>132</v>
      </c>
      <c r="R9" s="10"/>
      <c r="S9" s="10" t="s">
        <v>349</v>
      </c>
      <c r="T9" s="10"/>
      <c r="U9" s="10" t="s">
        <v>80</v>
      </c>
      <c r="V9" s="10" t="s">
        <v>176</v>
      </c>
      <c r="W9" s="10" t="s">
        <v>56</v>
      </c>
      <c r="X9" s="18">
        <f>COUNTIF('간병인배정'!$B:$B,$A9)</f>
        <v>0</v>
      </c>
      <c r="Y9" s="18">
        <f>SUMIF('간병비지급'!$B:$B,$A9,'간병비지급'!$I:$I)</f>
        <v>0</v>
      </c>
      <c r="Z9" s="18">
        <f>COUNTIF('보험청구'!$B:$B,$A9)</f>
        <v>1</v>
      </c>
      <c r="AA9" s="18">
        <f>COUNTIFS('보험청구'!$B:$B,$A9,'보험청구'!$J:$J,"미확인")</f>
        <v>0</v>
      </c>
      <c r="AB9" s="18">
        <f>SUMIF('보험청구'!$B:$B,$A9,'보험청구'!$I:$I)</f>
        <v>86000</v>
      </c>
      <c r="AC9" s="18">
        <f>SUMIF('보험청구'!$B:$B,$A9,'보험청구'!$L:$L)</f>
        <v>0</v>
      </c>
      <c r="AD9" s="10"/>
      <c r="AE9" s="30">
        <v>46141.0</v>
      </c>
      <c r="AF9" s="10">
        <f t="shared" si="1"/>
        <v>142</v>
      </c>
      <c r="AG9" s="10" t="str">
        <f t="shared" si="2"/>
        <v>정상</v>
      </c>
      <c r="AH9" s="26" t="s">
        <v>355</v>
      </c>
      <c r="AI9" s="10"/>
      <c r="AJ9" s="10"/>
    </row>
    <row r="10" ht="15.75" customHeight="1">
      <c r="A10" s="10" t="s">
        <v>356</v>
      </c>
      <c r="B10" s="13" t="s">
        <v>357</v>
      </c>
      <c r="C10" s="10" t="s">
        <v>66</v>
      </c>
      <c r="D10" s="14">
        <v>1.9690917E7</v>
      </c>
      <c r="E10" s="10" t="s">
        <v>359</v>
      </c>
      <c r="F10" s="10" t="s">
        <v>126</v>
      </c>
      <c r="G10" s="13" t="s">
        <v>362</v>
      </c>
      <c r="H10" s="15" t="s">
        <v>363</v>
      </c>
      <c r="I10" s="10" t="s">
        <v>73</v>
      </c>
      <c r="J10" s="10" t="s">
        <v>365</v>
      </c>
      <c r="K10" s="10" t="s">
        <v>76</v>
      </c>
      <c r="L10" s="10" t="s">
        <v>367</v>
      </c>
      <c r="M10" s="10" t="s">
        <v>369</v>
      </c>
      <c r="N10" s="10" t="s">
        <v>371</v>
      </c>
      <c r="O10" s="10"/>
      <c r="P10" s="10" t="s">
        <v>374</v>
      </c>
      <c r="Q10" s="10" t="s">
        <v>132</v>
      </c>
      <c r="R10" s="10"/>
      <c r="S10" s="10" t="s">
        <v>349</v>
      </c>
      <c r="T10" s="10"/>
      <c r="U10" s="10" t="s">
        <v>80</v>
      </c>
      <c r="V10" s="10" t="s">
        <v>323</v>
      </c>
      <c r="W10" s="10" t="s">
        <v>56</v>
      </c>
      <c r="X10" s="18">
        <f>COUNTIF('간병인배정'!$B:$B,$A10)</f>
        <v>1</v>
      </c>
      <c r="Y10" s="18">
        <f>SUMIF('간병비지급'!$B:$B,$A10,'간병비지급'!$I:$I)</f>
        <v>240000</v>
      </c>
      <c r="Z10" s="18">
        <f>COUNTIF('보험청구'!$B:$B,$A10)</f>
        <v>1</v>
      </c>
      <c r="AA10" s="18">
        <f>COUNTIFS('보험청구'!$B:$B,$A10,'보험청구'!$J:$J,"미확인")</f>
        <v>0</v>
      </c>
      <c r="AB10" s="18">
        <f>SUMIF('보험청구'!$B:$B,$A10,'보험청구'!$I:$I)</f>
        <v>0</v>
      </c>
      <c r="AC10" s="18">
        <f>SUMIF('보험청구'!$B:$B,$A10,'보험청구'!$L:$L)</f>
        <v>0</v>
      </c>
      <c r="AD10" s="10"/>
      <c r="AE10" s="10"/>
      <c r="AF10" s="10" t="str">
        <f t="shared" si="1"/>
        <v/>
      </c>
      <c r="AG10" s="10" t="str">
        <f t="shared" si="2"/>
        <v>정상</v>
      </c>
      <c r="AH10" s="25"/>
      <c r="AI10" s="10"/>
      <c r="AJ10" s="10"/>
    </row>
    <row r="11" ht="15.75" customHeight="1">
      <c r="A11" s="10" t="s">
        <v>107</v>
      </c>
      <c r="B11" s="13" t="s">
        <v>389</v>
      </c>
      <c r="C11" s="10" t="s">
        <v>66</v>
      </c>
      <c r="D11" s="14">
        <v>1.9740105E7</v>
      </c>
      <c r="E11" s="10" t="s">
        <v>390</v>
      </c>
      <c r="F11" s="10" t="s">
        <v>391</v>
      </c>
      <c r="G11" s="13" t="s">
        <v>392</v>
      </c>
      <c r="H11" s="15" t="s">
        <v>393</v>
      </c>
      <c r="I11" s="10" t="s">
        <v>73</v>
      </c>
      <c r="J11" s="10" t="s">
        <v>394</v>
      </c>
      <c r="K11" s="10" t="s">
        <v>395</v>
      </c>
      <c r="L11" s="10">
        <v>2.603869925E9</v>
      </c>
      <c r="M11" s="10" t="s">
        <v>396</v>
      </c>
      <c r="N11" s="10" t="s">
        <v>397</v>
      </c>
      <c r="O11" s="10"/>
      <c r="P11" s="10" t="s">
        <v>398</v>
      </c>
      <c r="Q11" s="10" t="s">
        <v>77</v>
      </c>
      <c r="R11" s="10"/>
      <c r="S11" s="10" t="s">
        <v>399</v>
      </c>
      <c r="T11" s="10"/>
      <c r="U11" s="10" t="s">
        <v>322</v>
      </c>
      <c r="V11" s="10" t="s">
        <v>400</v>
      </c>
      <c r="W11" s="10" t="s">
        <v>56</v>
      </c>
      <c r="X11" s="18">
        <f>COUNTIF('간병인배정'!$B:$B,$A11)</f>
        <v>1</v>
      </c>
      <c r="Y11" s="18">
        <f>SUMIF('간병비지급'!$B:$B,$A11,'간병비지급'!$I:$I)</f>
        <v>0</v>
      </c>
      <c r="Z11" s="18">
        <f>COUNTIF('보험청구'!$B:$B,$A11)</f>
        <v>1</v>
      </c>
      <c r="AA11" s="18">
        <f>COUNTIFS('보험청구'!$B:$B,$A11,'보험청구'!$J:$J,"미확인")</f>
        <v>0</v>
      </c>
      <c r="AB11" s="18">
        <f>SUMIF('보험청구'!$B:$B,$A11,'보험청구'!$I:$I)</f>
        <v>344000</v>
      </c>
      <c r="AC11" s="18">
        <f>SUMIF('보험청구'!$B:$B,$A11,'보험청구'!$L:$L)</f>
        <v>0</v>
      </c>
      <c r="AD11" s="30">
        <v>46106.0</v>
      </c>
      <c r="AE11" s="30">
        <v>46111.0</v>
      </c>
      <c r="AF11" s="10">
        <f t="shared" si="1"/>
        <v>172</v>
      </c>
      <c r="AG11" s="10" t="str">
        <f t="shared" si="2"/>
        <v>정상</v>
      </c>
      <c r="AH11" s="25" t="s">
        <v>409</v>
      </c>
      <c r="AI11" s="10"/>
      <c r="AJ11" s="10"/>
    </row>
    <row r="12" ht="15.75" customHeight="1">
      <c r="A12" s="10" t="s">
        <v>155</v>
      </c>
      <c r="B12" s="13" t="s">
        <v>389</v>
      </c>
      <c r="C12" s="10" t="s">
        <v>66</v>
      </c>
      <c r="D12" s="14">
        <v>1.9740105E7</v>
      </c>
      <c r="E12" s="10" t="s">
        <v>390</v>
      </c>
      <c r="F12" s="10" t="s">
        <v>391</v>
      </c>
      <c r="G12" s="13" t="s">
        <v>411</v>
      </c>
      <c r="H12" s="15" t="s">
        <v>412</v>
      </c>
      <c r="I12" s="10" t="s">
        <v>73</v>
      </c>
      <c r="J12" s="10" t="s">
        <v>394</v>
      </c>
      <c r="K12" s="10" t="s">
        <v>395</v>
      </c>
      <c r="L12" s="10">
        <v>2.603869925E9</v>
      </c>
      <c r="M12" s="10" t="s">
        <v>396</v>
      </c>
      <c r="N12" s="10" t="s">
        <v>397</v>
      </c>
      <c r="O12" s="10"/>
      <c r="P12" s="10" t="s">
        <v>398</v>
      </c>
      <c r="Q12" s="10" t="s">
        <v>77</v>
      </c>
      <c r="R12" s="10"/>
      <c r="S12" s="10" t="s">
        <v>399</v>
      </c>
      <c r="T12" s="10"/>
      <c r="U12" s="10" t="s">
        <v>80</v>
      </c>
      <c r="V12" s="10" t="s">
        <v>400</v>
      </c>
      <c r="W12" s="10" t="s">
        <v>56</v>
      </c>
      <c r="X12" s="18">
        <f>COUNTIF('간병인배정'!$B:$B,$A12)</f>
        <v>0</v>
      </c>
      <c r="Y12" s="18">
        <f>SUMIF('간병비지급'!$B:$B,$A12,'간병비지급'!$I:$I)</f>
        <v>0</v>
      </c>
      <c r="Z12" s="18">
        <f>COUNTIF('보험청구'!$B:$B,$A12)</f>
        <v>1</v>
      </c>
      <c r="AA12" s="18">
        <f>COUNTIFS('보험청구'!$B:$B,$A12,'보험청구'!$J:$J,"미확인")</f>
        <v>0</v>
      </c>
      <c r="AB12" s="18">
        <f>SUMIF('보험청구'!$B:$B,$A12,'보험청구'!$I:$I)</f>
        <v>620000</v>
      </c>
      <c r="AC12" s="18">
        <f>SUMIF('보험청구'!$B:$B,$A12,'보험청구'!$L:$L)</f>
        <v>0</v>
      </c>
      <c r="AD12" s="30">
        <v>46111.0</v>
      </c>
      <c r="AE12" s="30">
        <v>46114.0</v>
      </c>
      <c r="AF12" s="10">
        <f t="shared" si="1"/>
        <v>169</v>
      </c>
      <c r="AG12" s="10" t="str">
        <f t="shared" si="2"/>
        <v>정상</v>
      </c>
      <c r="AH12" s="25"/>
      <c r="AI12" s="10"/>
      <c r="AJ12" s="10"/>
    </row>
    <row r="13" ht="15.75" customHeight="1">
      <c r="A13" s="10" t="s">
        <v>120</v>
      </c>
      <c r="B13" s="13" t="s">
        <v>421</v>
      </c>
      <c r="C13" s="10"/>
      <c r="D13" s="14">
        <v>1.9541118E7</v>
      </c>
      <c r="E13" s="10" t="s">
        <v>422</v>
      </c>
      <c r="F13" s="10" t="s">
        <v>126</v>
      </c>
      <c r="G13" s="13" t="s">
        <v>423</v>
      </c>
      <c r="H13" s="15" t="s">
        <v>424</v>
      </c>
      <c r="I13" s="10" t="s">
        <v>106</v>
      </c>
      <c r="J13" s="10" t="s">
        <v>427</v>
      </c>
      <c r="K13" s="10"/>
      <c r="L13" s="10">
        <v>2.509387828E9</v>
      </c>
      <c r="M13" s="10" t="s">
        <v>428</v>
      </c>
      <c r="N13" s="10" t="s">
        <v>429</v>
      </c>
      <c r="O13" s="10"/>
      <c r="P13" s="10"/>
      <c r="Q13" s="10" t="s">
        <v>77</v>
      </c>
      <c r="R13" s="10"/>
      <c r="S13" s="10" t="s">
        <v>430</v>
      </c>
      <c r="T13" s="10"/>
      <c r="U13" s="10" t="s">
        <v>322</v>
      </c>
      <c r="V13" s="10" t="s">
        <v>431</v>
      </c>
      <c r="W13" s="10" t="s">
        <v>56</v>
      </c>
      <c r="X13" s="18">
        <f>COUNTIF('간병인배정'!$B:$B,$A13)</f>
        <v>1</v>
      </c>
      <c r="Y13" s="18">
        <f>SUMIF('간병비지급'!$B:$B,$A13,'간병비지급'!$I:$I)</f>
        <v>9855000</v>
      </c>
      <c r="Z13" s="18">
        <f>COUNTIF('보험청구'!$B:$B,$A13)</f>
        <v>8</v>
      </c>
      <c r="AA13" s="18">
        <f>COUNTIFS('보험청구'!$B:$B,$A13,'보험청구'!$J:$J,"미확인")</f>
        <v>0</v>
      </c>
      <c r="AB13" s="18">
        <f>SUMIF('보험청구'!$B:$B,$A13,'보험청구'!$I:$I)</f>
        <v>9855000</v>
      </c>
      <c r="AC13" s="18">
        <f>SUMIF('보험청구'!$B:$B,$A13,'보험청구'!$L:$L)</f>
        <v>0</v>
      </c>
      <c r="AD13" s="30">
        <v>46113.0</v>
      </c>
      <c r="AE13" s="30">
        <v>46186.0</v>
      </c>
      <c r="AF13" s="10">
        <f t="shared" si="1"/>
        <v>97</v>
      </c>
      <c r="AG13" s="10" t="str">
        <f t="shared" si="2"/>
        <v>정상</v>
      </c>
      <c r="AH13" s="25" t="s">
        <v>439</v>
      </c>
      <c r="AI13" s="10"/>
      <c r="AJ13" s="10"/>
    </row>
    <row r="14" ht="15.75" customHeight="1">
      <c r="A14" s="10" t="s">
        <v>145</v>
      </c>
      <c r="B14" s="13" t="s">
        <v>441</v>
      </c>
      <c r="C14" s="10" t="s">
        <v>66</v>
      </c>
      <c r="D14" s="14">
        <v>1.9530909E7</v>
      </c>
      <c r="E14" s="10" t="s">
        <v>442</v>
      </c>
      <c r="F14" s="10" t="s">
        <v>338</v>
      </c>
      <c r="G14" s="13" t="s">
        <v>339</v>
      </c>
      <c r="H14" s="15" t="s">
        <v>443</v>
      </c>
      <c r="I14" s="10" t="s">
        <v>106</v>
      </c>
      <c r="J14" s="10" t="s">
        <v>444</v>
      </c>
      <c r="K14" s="10"/>
      <c r="L14" s="10">
        <v>2.511844861E9</v>
      </c>
      <c r="M14" s="10" t="s">
        <v>445</v>
      </c>
      <c r="N14" s="10" t="s">
        <v>446</v>
      </c>
      <c r="O14" s="10"/>
      <c r="P14" s="10"/>
      <c r="Q14" s="10" t="s">
        <v>77</v>
      </c>
      <c r="R14" s="10"/>
      <c r="S14" s="10" t="s">
        <v>448</v>
      </c>
      <c r="T14" s="10"/>
      <c r="U14" s="10" t="s">
        <v>322</v>
      </c>
      <c r="V14" s="10" t="s">
        <v>451</v>
      </c>
      <c r="W14" s="10" t="s">
        <v>56</v>
      </c>
      <c r="X14" s="18">
        <f>COUNTIF('간병인배정'!$B:$B,$A14)</f>
        <v>1</v>
      </c>
      <c r="Y14" s="18">
        <f>SUMIF('간병비지급'!$B:$B,$A14,'간병비지급'!$I:$I)</f>
        <v>390000</v>
      </c>
      <c r="Z14" s="18">
        <f>COUNTIF('보험청구'!$B:$B,$A14)</f>
        <v>1</v>
      </c>
      <c r="AA14" s="18">
        <f>COUNTIFS('보험청구'!$B:$B,$A14,'보험청구'!$J:$J,"미확인")</f>
        <v>0</v>
      </c>
      <c r="AB14" s="18">
        <f>SUMIF('보험청구'!$B:$B,$A14,'보험청구'!$I:$I)</f>
        <v>387000</v>
      </c>
      <c r="AC14" s="18">
        <f>SUMIF('보험청구'!$B:$B,$A14,'보험청구'!$L:$L)</f>
        <v>0</v>
      </c>
      <c r="AD14" s="30">
        <v>46113.0</v>
      </c>
      <c r="AE14" s="30">
        <v>46116.0</v>
      </c>
      <c r="AF14" s="10">
        <f t="shared" si="1"/>
        <v>167</v>
      </c>
      <c r="AG14" s="10" t="str">
        <f t="shared" si="2"/>
        <v>정상</v>
      </c>
      <c r="AH14" s="25" t="s">
        <v>464</v>
      </c>
      <c r="AI14" s="10"/>
      <c r="AJ14" s="10"/>
    </row>
    <row r="15" ht="15.75" customHeight="1">
      <c r="A15" s="10" t="s">
        <v>159</v>
      </c>
      <c r="B15" s="13" t="s">
        <v>465</v>
      </c>
      <c r="C15" s="10" t="s">
        <v>66</v>
      </c>
      <c r="D15" s="14">
        <v>1.9490415E7</v>
      </c>
      <c r="E15" s="10" t="s">
        <v>466</v>
      </c>
      <c r="F15" s="10" t="s">
        <v>467</v>
      </c>
      <c r="G15" s="13" t="s">
        <v>468</v>
      </c>
      <c r="H15" s="15" t="s">
        <v>469</v>
      </c>
      <c r="I15" s="10" t="s">
        <v>106</v>
      </c>
      <c r="J15" s="10" t="s">
        <v>470</v>
      </c>
      <c r="K15" s="10"/>
      <c r="L15" s="10">
        <v>2.511845962E9</v>
      </c>
      <c r="M15" s="10" t="s">
        <v>471</v>
      </c>
      <c r="N15" s="10" t="s">
        <v>472</v>
      </c>
      <c r="O15" s="10"/>
      <c r="P15" s="10"/>
      <c r="Q15" s="10" t="s">
        <v>77</v>
      </c>
      <c r="R15" s="10"/>
      <c r="S15" s="10" t="s">
        <v>473</v>
      </c>
      <c r="T15" s="10"/>
      <c r="U15" s="10" t="s">
        <v>322</v>
      </c>
      <c r="V15" s="10" t="s">
        <v>451</v>
      </c>
      <c r="W15" s="10" t="s">
        <v>56</v>
      </c>
      <c r="X15" s="18">
        <f>COUNTIF('간병인배정'!$B:$B,$A15)</f>
        <v>1</v>
      </c>
      <c r="Y15" s="18">
        <f>SUMIF('간병비지급'!$B:$B,$A15,'간병비지급'!$I:$I)</f>
        <v>7800000</v>
      </c>
      <c r="Z15" s="18">
        <f>COUNTIF('보험청구'!$B:$B,$A15)</f>
        <v>6</v>
      </c>
      <c r="AA15" s="18">
        <f>COUNTIFS('보험청구'!$B:$B,$A15,'보험청구'!$J:$J,"미확인")</f>
        <v>0</v>
      </c>
      <c r="AB15" s="18">
        <f>SUMIF('보험청구'!$B:$B,$A15,'보험청구'!$I:$I)</f>
        <v>7740000</v>
      </c>
      <c r="AC15" s="18">
        <f>SUMIF('보험청구'!$B:$B,$A15,'보험청구'!$L:$L)</f>
        <v>0</v>
      </c>
      <c r="AD15" s="30">
        <v>46113.0</v>
      </c>
      <c r="AE15" s="30">
        <v>46173.0</v>
      </c>
      <c r="AF15" s="10">
        <f t="shared" si="1"/>
        <v>110</v>
      </c>
      <c r="AG15" s="10" t="str">
        <f t="shared" si="2"/>
        <v>정상</v>
      </c>
      <c r="AH15" s="25"/>
      <c r="AI15" s="10"/>
      <c r="AJ15" s="10"/>
    </row>
    <row r="16" ht="15.75" customHeight="1">
      <c r="A16" s="10" t="s">
        <v>188</v>
      </c>
      <c r="B16" s="13" t="s">
        <v>487</v>
      </c>
      <c r="C16" s="10" t="s">
        <v>66</v>
      </c>
      <c r="D16" s="14">
        <v>1.9440326E7</v>
      </c>
      <c r="E16" s="10" t="s">
        <v>488</v>
      </c>
      <c r="F16" s="10" t="s">
        <v>467</v>
      </c>
      <c r="G16" s="13" t="s">
        <v>489</v>
      </c>
      <c r="H16" s="15" t="s">
        <v>490</v>
      </c>
      <c r="I16" s="10" t="s">
        <v>106</v>
      </c>
      <c r="J16" s="10" t="s">
        <v>492</v>
      </c>
      <c r="K16" s="10"/>
      <c r="L16" s="10">
        <v>2.51294746E9</v>
      </c>
      <c r="M16" s="10" t="s">
        <v>493</v>
      </c>
      <c r="N16" s="10" t="s">
        <v>494</v>
      </c>
      <c r="O16" s="10"/>
      <c r="P16" s="10"/>
      <c r="Q16" s="10" t="s">
        <v>132</v>
      </c>
      <c r="R16" s="10"/>
      <c r="S16" s="10" t="s">
        <v>496</v>
      </c>
      <c r="T16" s="10"/>
      <c r="U16" s="10" t="s">
        <v>322</v>
      </c>
      <c r="V16" s="10" t="s">
        <v>497</v>
      </c>
      <c r="W16" s="10" t="s">
        <v>56</v>
      </c>
      <c r="X16" s="18">
        <f>COUNTIF('간병인배정'!$B:$B,$A16)</f>
        <v>1</v>
      </c>
      <c r="Y16" s="18">
        <f>SUMIF('간병비지급'!$B:$B,$A16,'간병비지급'!$I:$I)</f>
        <v>9590000</v>
      </c>
      <c r="Z16" s="18">
        <f>COUNTIF('보험청구'!$B:$B,$A16)</f>
        <v>7</v>
      </c>
      <c r="AA16" s="18">
        <f>COUNTIFS('보험청구'!$B:$B,$A16,'보험청구'!$J:$J,"미확인")</f>
        <v>0</v>
      </c>
      <c r="AB16" s="18">
        <f>SUMIF('보험청구'!$B:$B,$A16,'보험청구'!$I:$I)</f>
        <v>0</v>
      </c>
      <c r="AC16" s="18">
        <f>SUMIF('보험청구'!$B:$B,$A16,'보험청구'!$L:$L)</f>
        <v>9798000</v>
      </c>
      <c r="AD16" s="30">
        <v>46045.0</v>
      </c>
      <c r="AE16" s="30">
        <v>46181.0</v>
      </c>
      <c r="AF16" s="10">
        <f t="shared" si="1"/>
        <v>102</v>
      </c>
      <c r="AG16" s="10" t="str">
        <f t="shared" si="2"/>
        <v>정상</v>
      </c>
      <c r="AH16" s="26" t="s">
        <v>512</v>
      </c>
      <c r="AI16" s="10"/>
      <c r="AJ16" s="10"/>
    </row>
    <row r="17" ht="15.75" customHeight="1">
      <c r="A17" s="10" t="s">
        <v>513</v>
      </c>
      <c r="B17" s="13" t="s">
        <v>514</v>
      </c>
      <c r="C17" s="10" t="s">
        <v>66</v>
      </c>
      <c r="D17" s="14">
        <v>1.9630306E7</v>
      </c>
      <c r="E17" s="10" t="s">
        <v>515</v>
      </c>
      <c r="F17" s="10" t="s">
        <v>391</v>
      </c>
      <c r="G17" s="13" t="s">
        <v>516</v>
      </c>
      <c r="H17" s="15" t="s">
        <v>517</v>
      </c>
      <c r="I17" s="10" t="s">
        <v>106</v>
      </c>
      <c r="J17" s="10" t="s">
        <v>518</v>
      </c>
      <c r="K17" s="10"/>
      <c r="L17" s="10">
        <v>2.602691264E9</v>
      </c>
      <c r="M17" s="10" t="s">
        <v>519</v>
      </c>
      <c r="N17" s="10" t="s">
        <v>520</v>
      </c>
      <c r="O17" s="10"/>
      <c r="P17" s="10"/>
      <c r="Q17" s="10" t="s">
        <v>77</v>
      </c>
      <c r="R17" s="10"/>
      <c r="S17" s="10" t="s">
        <v>521</v>
      </c>
      <c r="T17" s="10"/>
      <c r="U17" s="10" t="s">
        <v>322</v>
      </c>
      <c r="V17" s="10" t="s">
        <v>314</v>
      </c>
      <c r="W17" s="10" t="s">
        <v>178</v>
      </c>
      <c r="X17" s="18">
        <f>COUNTIF('간병인배정'!$B:$B,$A17)</f>
        <v>0</v>
      </c>
      <c r="Y17" s="18">
        <f>SUMIF('간병비지급'!$B:$B,$A17,'간병비지급'!$I:$I)</f>
        <v>0</v>
      </c>
      <c r="Z17" s="18">
        <f>COUNTIF('보험청구'!$B:$B,$A17)</f>
        <v>0</v>
      </c>
      <c r="AA17" s="18">
        <f>COUNTIFS('보험청구'!$B:$B,$A17,'보험청구'!$J:$J,"미확인")</f>
        <v>0</v>
      </c>
      <c r="AB17" s="18">
        <f>SUMIF('보험청구'!$B:$B,$A17,'보험청구'!$I:$I)</f>
        <v>0</v>
      </c>
      <c r="AC17" s="18">
        <f>SUMIF('보험청구'!$B:$B,$A17,'보험청구'!$L:$L)</f>
        <v>0</v>
      </c>
      <c r="AD17" s="10"/>
      <c r="AE17" s="10"/>
      <c r="AF17" s="10" t="str">
        <f t="shared" si="1"/>
        <v/>
      </c>
      <c r="AG17" s="10" t="str">
        <f t="shared" si="2"/>
        <v>제외</v>
      </c>
      <c r="AH17" s="26"/>
      <c r="AI17" s="10"/>
      <c r="AJ17" s="10"/>
    </row>
    <row r="18" ht="15.75" customHeight="1">
      <c r="A18" s="10" t="s">
        <v>203</v>
      </c>
      <c r="B18" s="31" t="s">
        <v>542</v>
      </c>
      <c r="C18" s="10" t="s">
        <v>66</v>
      </c>
      <c r="D18" s="14">
        <v>1.9620928E7</v>
      </c>
      <c r="E18" s="10" t="s">
        <v>545</v>
      </c>
      <c r="F18" s="10" t="s">
        <v>467</v>
      </c>
      <c r="G18" s="13" t="s">
        <v>546</v>
      </c>
      <c r="H18" s="15" t="s">
        <v>547</v>
      </c>
      <c r="I18" s="10" t="s">
        <v>106</v>
      </c>
      <c r="J18" s="10" t="s">
        <v>549</v>
      </c>
      <c r="K18" s="10"/>
      <c r="L18" s="10">
        <v>2.602874418E9</v>
      </c>
      <c r="M18" s="20" t="s">
        <v>550</v>
      </c>
      <c r="N18" s="20" t="s">
        <v>551</v>
      </c>
      <c r="O18" s="20" t="s">
        <v>552</v>
      </c>
      <c r="P18" s="20" t="s">
        <v>553</v>
      </c>
      <c r="Q18" s="10" t="s">
        <v>77</v>
      </c>
      <c r="R18" s="10"/>
      <c r="S18" s="10" t="s">
        <v>554</v>
      </c>
      <c r="T18" s="10"/>
      <c r="U18" s="10" t="s">
        <v>322</v>
      </c>
      <c r="V18" s="10" t="s">
        <v>497</v>
      </c>
      <c r="W18" s="20" t="s">
        <v>56</v>
      </c>
      <c r="X18" s="18">
        <f>COUNTIF('간병인배정'!$B:$B,$A18)</f>
        <v>1</v>
      </c>
      <c r="Y18" s="18">
        <f>SUMIF('간병비지급'!$B:$B,$A18,'간병비지급'!$I:$I)</f>
        <v>18675000</v>
      </c>
      <c r="Z18" s="18">
        <f>COUNTIF('보험청구'!$B:$B,$A18)</f>
        <v>16</v>
      </c>
      <c r="AA18" s="18">
        <f>COUNTIFS('보험청구'!$B:$B,$A18,'보험청구'!$J:$J,"미확인")</f>
        <v>0</v>
      </c>
      <c r="AB18" s="18">
        <f>SUMIF('보험청구'!$B:$B,$A18,'보험청구'!$I:$I)</f>
        <v>17980000</v>
      </c>
      <c r="AC18" s="18">
        <f>SUMIF('보험청구'!$B:$B,$A18,'보험청구'!$L:$L)</f>
        <v>1240000</v>
      </c>
      <c r="AD18" s="30">
        <v>46113.0</v>
      </c>
      <c r="AE18" s="30">
        <v>46244.0</v>
      </c>
      <c r="AF18" s="10">
        <f t="shared" si="1"/>
        <v>39</v>
      </c>
      <c r="AG18" s="10" t="str">
        <f t="shared" si="2"/>
        <v>정상</v>
      </c>
      <c r="AH18" s="32" t="s">
        <v>570</v>
      </c>
      <c r="AI18" s="10"/>
      <c r="AJ18" s="10"/>
    </row>
    <row r="19" ht="15.75" customHeight="1">
      <c r="A19" s="10" t="s">
        <v>235</v>
      </c>
      <c r="B19" s="13" t="s">
        <v>572</v>
      </c>
      <c r="C19" s="10"/>
      <c r="D19" s="14">
        <v>1.9490913E7</v>
      </c>
      <c r="E19" s="10" t="s">
        <v>573</v>
      </c>
      <c r="F19" s="10" t="s">
        <v>574</v>
      </c>
      <c r="G19" s="13" t="s">
        <v>575</v>
      </c>
      <c r="H19" s="15" t="s">
        <v>576</v>
      </c>
      <c r="I19" s="10" t="s">
        <v>106</v>
      </c>
      <c r="J19" s="10" t="s">
        <v>577</v>
      </c>
      <c r="K19" s="10"/>
      <c r="L19" s="10">
        <v>2.603142073E9</v>
      </c>
      <c r="M19" s="10" t="s">
        <v>579</v>
      </c>
      <c r="N19" s="10" t="s">
        <v>580</v>
      </c>
      <c r="O19" s="10"/>
      <c r="P19" s="10"/>
      <c r="Q19" s="10" t="s">
        <v>132</v>
      </c>
      <c r="R19" s="10"/>
      <c r="S19" s="10" t="s">
        <v>582</v>
      </c>
      <c r="T19" s="10"/>
      <c r="U19" s="10" t="s">
        <v>322</v>
      </c>
      <c r="V19" s="10" t="s">
        <v>583</v>
      </c>
      <c r="W19" s="10" t="s">
        <v>56</v>
      </c>
      <c r="X19" s="18">
        <f>COUNTIF('간병인배정'!$B:$B,$A19)</f>
        <v>1</v>
      </c>
      <c r="Y19" s="18">
        <f>SUMIF('간병비지급'!$B:$B,$A19,'간병비지급'!$I:$I)</f>
        <v>730000</v>
      </c>
      <c r="Z19" s="18">
        <f>COUNTIF('보험청구'!$B:$B,$A19)</f>
        <v>1</v>
      </c>
      <c r="AA19" s="18">
        <f>COUNTIFS('보험청구'!$B:$B,$A19,'보험청구'!$J:$J,"미확인")</f>
        <v>0</v>
      </c>
      <c r="AB19" s="18">
        <f>SUMIF('보험청구'!$B:$B,$A19,'보험청구'!$I:$I)</f>
        <v>864000</v>
      </c>
      <c r="AC19" s="18">
        <f>SUMIF('보험청구'!$B:$B,$A19,'보험청구'!$L:$L)</f>
        <v>0</v>
      </c>
      <c r="AD19" s="30">
        <v>46113.0</v>
      </c>
      <c r="AE19" s="30">
        <v>46118.0</v>
      </c>
      <c r="AF19" s="10">
        <f t="shared" si="1"/>
        <v>165</v>
      </c>
      <c r="AG19" s="10" t="str">
        <f t="shared" si="2"/>
        <v>정상</v>
      </c>
      <c r="AH19" s="25" t="s">
        <v>599</v>
      </c>
      <c r="AI19" s="10"/>
      <c r="AJ19" s="10"/>
    </row>
    <row r="20" ht="15.75" customHeight="1">
      <c r="A20" s="10" t="s">
        <v>259</v>
      </c>
      <c r="B20" s="13" t="s">
        <v>572</v>
      </c>
      <c r="C20" s="10"/>
      <c r="D20" s="14">
        <v>1.9490913E7</v>
      </c>
      <c r="E20" s="10" t="s">
        <v>573</v>
      </c>
      <c r="F20" s="10" t="s">
        <v>600</v>
      </c>
      <c r="G20" s="13" t="s">
        <v>601</v>
      </c>
      <c r="H20" s="15" t="s">
        <v>602</v>
      </c>
      <c r="I20" s="10" t="s">
        <v>106</v>
      </c>
      <c r="J20" s="10" t="s">
        <v>577</v>
      </c>
      <c r="K20" s="10"/>
      <c r="L20" s="10">
        <v>2.603142073E9</v>
      </c>
      <c r="M20" s="10" t="s">
        <v>579</v>
      </c>
      <c r="N20" s="10" t="s">
        <v>580</v>
      </c>
      <c r="O20" s="10"/>
      <c r="P20" s="10"/>
      <c r="Q20" s="10" t="s">
        <v>132</v>
      </c>
      <c r="R20" s="10"/>
      <c r="S20" s="10" t="s">
        <v>582</v>
      </c>
      <c r="T20" s="10"/>
      <c r="U20" s="10" t="s">
        <v>322</v>
      </c>
      <c r="V20" s="10" t="s">
        <v>583</v>
      </c>
      <c r="W20" s="10" t="s">
        <v>56</v>
      </c>
      <c r="X20" s="18">
        <f>COUNTIF('간병인배정'!$B:$B,$A20)</f>
        <v>1</v>
      </c>
      <c r="Y20" s="18">
        <f>SUMIF('간병비지급'!$B:$B,$A20,'간병비지급'!$I:$I)</f>
        <v>840000</v>
      </c>
      <c r="Z20" s="18">
        <f>COUNTIF('보험청구'!$B:$B,$A20)</f>
        <v>1</v>
      </c>
      <c r="AA20" s="18">
        <f>COUNTIFS('보험청구'!$B:$B,$A20,'보험청구'!$J:$J,"미확인")</f>
        <v>0</v>
      </c>
      <c r="AB20" s="18">
        <f>SUMIF('보험청구'!$B:$B,$A20,'보험청구'!$I:$I)</f>
        <v>864000</v>
      </c>
      <c r="AC20" s="18">
        <f>SUMIF('보험청구'!$B:$B,$A20,'보험청구'!$L:$L)</f>
        <v>0</v>
      </c>
      <c r="AD20" s="30">
        <v>46118.0</v>
      </c>
      <c r="AE20" s="30">
        <v>46124.0</v>
      </c>
      <c r="AF20" s="10">
        <f t="shared" si="1"/>
        <v>159</v>
      </c>
      <c r="AG20" s="10" t="str">
        <f t="shared" si="2"/>
        <v>정상</v>
      </c>
      <c r="AH20" s="25"/>
      <c r="AI20" s="10"/>
      <c r="AJ20" s="10"/>
    </row>
    <row r="21" ht="15.75" customHeight="1">
      <c r="A21" s="10" t="s">
        <v>295</v>
      </c>
      <c r="B21" s="13" t="s">
        <v>572</v>
      </c>
      <c r="C21" s="10"/>
      <c r="D21" s="14">
        <v>1.9490913E7</v>
      </c>
      <c r="E21" s="10" t="s">
        <v>573</v>
      </c>
      <c r="F21" s="10" t="s">
        <v>600</v>
      </c>
      <c r="G21" s="13" t="s">
        <v>601</v>
      </c>
      <c r="H21" s="15" t="s">
        <v>618</v>
      </c>
      <c r="I21" s="10" t="s">
        <v>106</v>
      </c>
      <c r="J21" s="10" t="s">
        <v>577</v>
      </c>
      <c r="K21" s="10"/>
      <c r="L21" s="10">
        <v>2.603142073E9</v>
      </c>
      <c r="M21" s="10" t="s">
        <v>579</v>
      </c>
      <c r="N21" s="10" t="s">
        <v>580</v>
      </c>
      <c r="O21" s="10"/>
      <c r="P21" s="10"/>
      <c r="Q21" s="10" t="s">
        <v>132</v>
      </c>
      <c r="R21" s="10"/>
      <c r="S21" s="10" t="s">
        <v>582</v>
      </c>
      <c r="T21" s="10"/>
      <c r="U21" s="10" t="s">
        <v>322</v>
      </c>
      <c r="V21" s="10" t="s">
        <v>583</v>
      </c>
      <c r="W21" s="10" t="s">
        <v>56</v>
      </c>
      <c r="X21" s="18">
        <f>COUNTIF('간병인배정'!$B:$B,$A21)</f>
        <v>1</v>
      </c>
      <c r="Y21" s="18">
        <f>SUMIF('간병비지급'!$B:$B,$A21,'간병비지급'!$I:$I)</f>
        <v>1120000</v>
      </c>
      <c r="Z21" s="18">
        <f>COUNTIF('보험청구'!$B:$B,$A21)</f>
        <v>2</v>
      </c>
      <c r="AA21" s="18">
        <f>COUNTIFS('보험청구'!$B:$B,$A21,'보험청구'!$J:$J,"미확인")</f>
        <v>0</v>
      </c>
      <c r="AB21" s="18">
        <f>SUMIF('보험청구'!$B:$B,$A21,'보험청구'!$I:$I)</f>
        <v>1152000</v>
      </c>
      <c r="AC21" s="18">
        <f>SUMIF('보험청구'!$B:$B,$A21,'보험청구'!$L:$L)</f>
        <v>0</v>
      </c>
      <c r="AD21" s="30">
        <v>46126.0</v>
      </c>
      <c r="AE21" s="30">
        <v>46162.0</v>
      </c>
      <c r="AF21" s="10">
        <f t="shared" si="1"/>
        <v>121</v>
      </c>
      <c r="AG21" s="10" t="str">
        <f t="shared" si="2"/>
        <v>정상</v>
      </c>
      <c r="AH21" s="25"/>
      <c r="AI21" s="10"/>
      <c r="AJ21" s="10"/>
    </row>
    <row r="22" ht="15.75" customHeight="1">
      <c r="A22" s="10" t="s">
        <v>307</v>
      </c>
      <c r="B22" s="13" t="s">
        <v>572</v>
      </c>
      <c r="C22" s="10"/>
      <c r="D22" s="14">
        <v>1.9490913E7</v>
      </c>
      <c r="E22" s="10" t="s">
        <v>573</v>
      </c>
      <c r="F22" s="10" t="s">
        <v>600</v>
      </c>
      <c r="G22" s="13" t="s">
        <v>601</v>
      </c>
      <c r="H22" s="15" t="s">
        <v>643</v>
      </c>
      <c r="I22" s="10" t="s">
        <v>106</v>
      </c>
      <c r="J22" s="10" t="s">
        <v>577</v>
      </c>
      <c r="K22" s="10"/>
      <c r="L22" s="10">
        <v>2.603142073E9</v>
      </c>
      <c r="M22" s="10" t="s">
        <v>579</v>
      </c>
      <c r="N22" s="10" t="s">
        <v>580</v>
      </c>
      <c r="O22" s="10"/>
      <c r="P22" s="10"/>
      <c r="Q22" s="10" t="s">
        <v>132</v>
      </c>
      <c r="R22" s="10"/>
      <c r="S22" s="10" t="s">
        <v>582</v>
      </c>
      <c r="T22" s="10"/>
      <c r="U22" s="10" t="s">
        <v>322</v>
      </c>
      <c r="V22" s="10" t="s">
        <v>583</v>
      </c>
      <c r="W22" s="10" t="s">
        <v>56</v>
      </c>
      <c r="X22" s="18">
        <f>COUNTIF('간병인배정'!$B:$B,$A22)</f>
        <v>1</v>
      </c>
      <c r="Y22" s="18">
        <f>SUMIF('간병비지급'!$B:$B,$A22,'간병비지급'!$I:$I)</f>
        <v>700000</v>
      </c>
      <c r="Z22" s="18">
        <f>COUNTIF('보험청구'!$B:$B,$A22)</f>
        <v>1</v>
      </c>
      <c r="AA22" s="18">
        <f>COUNTIFS('보험청구'!$B:$B,$A22,'보험청구'!$J:$J,"미확인")</f>
        <v>0</v>
      </c>
      <c r="AB22" s="18">
        <f>SUMIF('보험청구'!$B:$B,$A22,'보험청구'!$I:$I)</f>
        <v>576000</v>
      </c>
      <c r="AC22" s="18">
        <f>SUMIF('보험청구'!$B:$B,$A22,'보험청구'!$L:$L)</f>
        <v>0</v>
      </c>
      <c r="AD22" s="30">
        <v>46132.0</v>
      </c>
      <c r="AE22" s="30">
        <v>46136.0</v>
      </c>
      <c r="AF22" s="10">
        <f t="shared" si="1"/>
        <v>147</v>
      </c>
      <c r="AG22" s="10" t="str">
        <f t="shared" si="2"/>
        <v>정상</v>
      </c>
      <c r="AH22" s="25"/>
      <c r="AI22" s="10"/>
      <c r="AJ22" s="10"/>
    </row>
    <row r="23" ht="15.75" customHeight="1">
      <c r="A23" s="10" t="s">
        <v>326</v>
      </c>
      <c r="B23" s="13" t="s">
        <v>572</v>
      </c>
      <c r="C23" s="10"/>
      <c r="D23" s="14">
        <v>1.9490913E7</v>
      </c>
      <c r="E23" s="10" t="s">
        <v>573</v>
      </c>
      <c r="F23" s="10" t="s">
        <v>600</v>
      </c>
      <c r="G23" s="13" t="s">
        <v>601</v>
      </c>
      <c r="H23" s="15" t="s">
        <v>618</v>
      </c>
      <c r="I23" s="10" t="s">
        <v>106</v>
      </c>
      <c r="J23" s="10" t="s">
        <v>577</v>
      </c>
      <c r="K23" s="10"/>
      <c r="L23" s="10">
        <v>2.603142073E9</v>
      </c>
      <c r="M23" s="10" t="s">
        <v>579</v>
      </c>
      <c r="N23" s="10" t="s">
        <v>580</v>
      </c>
      <c r="O23" s="10"/>
      <c r="P23" s="10"/>
      <c r="Q23" s="10" t="s">
        <v>132</v>
      </c>
      <c r="R23" s="10"/>
      <c r="S23" s="10" t="s">
        <v>582</v>
      </c>
      <c r="T23" s="10"/>
      <c r="U23" s="10" t="s">
        <v>322</v>
      </c>
      <c r="V23" s="10" t="s">
        <v>583</v>
      </c>
      <c r="W23" s="10" t="s">
        <v>56</v>
      </c>
      <c r="X23" s="18">
        <f>COUNTIF('간병인배정'!$B:$B,$A23)</f>
        <v>1</v>
      </c>
      <c r="Y23" s="18">
        <f>SUMIF('간병비지급'!$B:$B,$A23,'간병비지급'!$I:$I)</f>
        <v>2100000</v>
      </c>
      <c r="Z23" s="18">
        <f>COUNTIF('보험청구'!$B:$B,$A23)</f>
        <v>2</v>
      </c>
      <c r="AA23" s="18">
        <f>COUNTIFS('보험청구'!$B:$B,$A23,'보험청구'!$J:$J,"미확인")</f>
        <v>0</v>
      </c>
      <c r="AB23" s="18">
        <f>SUMIF('보험청구'!$B:$B,$A23,'보험청구'!$I:$I)</f>
        <v>1728000</v>
      </c>
      <c r="AC23" s="18">
        <f>SUMIF('보험청구'!$B:$B,$A23,'보험청구'!$L:$L)</f>
        <v>0</v>
      </c>
      <c r="AD23" s="30">
        <v>46136.0</v>
      </c>
      <c r="AE23" s="30">
        <v>46148.0</v>
      </c>
      <c r="AF23" s="10">
        <f t="shared" si="1"/>
        <v>135</v>
      </c>
      <c r="AG23" s="10" t="str">
        <f t="shared" si="2"/>
        <v>정상</v>
      </c>
      <c r="AH23" s="25"/>
      <c r="AI23" s="10"/>
      <c r="AJ23" s="10"/>
    </row>
    <row r="24" ht="15.75" customHeight="1">
      <c r="A24" s="10" t="s">
        <v>333</v>
      </c>
      <c r="B24" s="13" t="s">
        <v>572</v>
      </c>
      <c r="C24" s="10"/>
      <c r="D24" s="14">
        <v>1.9490913E7</v>
      </c>
      <c r="E24" s="10" t="s">
        <v>573</v>
      </c>
      <c r="F24" s="10" t="s">
        <v>600</v>
      </c>
      <c r="G24" s="13" t="s">
        <v>601</v>
      </c>
      <c r="H24" s="15" t="s">
        <v>643</v>
      </c>
      <c r="I24" s="10" t="s">
        <v>106</v>
      </c>
      <c r="J24" s="10" t="s">
        <v>577</v>
      </c>
      <c r="K24" s="10"/>
      <c r="L24" s="10">
        <v>2.603142073E9</v>
      </c>
      <c r="M24" s="10" t="s">
        <v>579</v>
      </c>
      <c r="N24" s="10" t="s">
        <v>580</v>
      </c>
      <c r="O24" s="10"/>
      <c r="P24" s="10"/>
      <c r="Q24" s="10" t="s">
        <v>132</v>
      </c>
      <c r="R24" s="10"/>
      <c r="S24" s="10" t="s">
        <v>582</v>
      </c>
      <c r="T24" s="10"/>
      <c r="U24" s="10" t="s">
        <v>322</v>
      </c>
      <c r="V24" s="10" t="s">
        <v>583</v>
      </c>
      <c r="W24" s="10" t="s">
        <v>56</v>
      </c>
      <c r="X24" s="18">
        <f>COUNTIF('간병인배정'!$B:$B,$A24)</f>
        <v>1</v>
      </c>
      <c r="Y24" s="18">
        <f>SUMIF('간병비지급'!$B:$B,$A24,'간병비지급'!$I:$I)</f>
        <v>280000</v>
      </c>
      <c r="Z24" s="18">
        <f>COUNTIF('보험청구'!$B:$B,$A24)</f>
        <v>1</v>
      </c>
      <c r="AA24" s="18">
        <f>COUNTIFS('보험청구'!$B:$B,$A24,'보험청구'!$J:$J,"미확인")</f>
        <v>0</v>
      </c>
      <c r="AB24" s="18">
        <f>SUMIF('보험청구'!$B:$B,$A24,'보험청구'!$I:$I)</f>
        <v>0</v>
      </c>
      <c r="AC24" s="18">
        <f>SUMIF('보험청구'!$B:$B,$A24,'보험청구'!$L:$L)</f>
        <v>0</v>
      </c>
      <c r="AD24" s="30">
        <v>46148.0</v>
      </c>
      <c r="AE24" s="10"/>
      <c r="AF24" s="10" t="str">
        <f t="shared" si="1"/>
        <v/>
      </c>
      <c r="AG24" s="10" t="str">
        <f t="shared" si="2"/>
        <v>정상</v>
      </c>
      <c r="AH24" s="26"/>
      <c r="AI24" s="10"/>
      <c r="AJ24" s="10"/>
    </row>
    <row r="25" ht="15.75" customHeight="1">
      <c r="A25" s="10" t="s">
        <v>353</v>
      </c>
      <c r="B25" s="13" t="s">
        <v>572</v>
      </c>
      <c r="C25" s="10"/>
      <c r="D25" s="14">
        <v>1.9490913E7</v>
      </c>
      <c r="E25" s="10" t="s">
        <v>573</v>
      </c>
      <c r="F25" s="10" t="s">
        <v>600</v>
      </c>
      <c r="G25" s="13" t="s">
        <v>601</v>
      </c>
      <c r="H25" s="15" t="s">
        <v>618</v>
      </c>
      <c r="I25" s="10" t="s">
        <v>106</v>
      </c>
      <c r="J25" s="10" t="s">
        <v>577</v>
      </c>
      <c r="K25" s="10"/>
      <c r="L25" s="10">
        <v>2.603142073E9</v>
      </c>
      <c r="M25" s="10" t="s">
        <v>579</v>
      </c>
      <c r="N25" s="10" t="s">
        <v>580</v>
      </c>
      <c r="O25" s="10"/>
      <c r="P25" s="10"/>
      <c r="Q25" s="10" t="s">
        <v>132</v>
      </c>
      <c r="R25" s="10"/>
      <c r="S25" s="10" t="s">
        <v>582</v>
      </c>
      <c r="T25" s="10"/>
      <c r="U25" s="10" t="s">
        <v>322</v>
      </c>
      <c r="V25" s="10" t="s">
        <v>583</v>
      </c>
      <c r="W25" s="10" t="s">
        <v>56</v>
      </c>
      <c r="X25" s="18">
        <f>COUNTIF('간병인배정'!$B:$B,$A25)</f>
        <v>1</v>
      </c>
      <c r="Y25" s="18">
        <f>SUMIF('간병비지급'!$B:$B,$A25,'간병비지급'!$I:$I)</f>
        <v>560000</v>
      </c>
      <c r="Z25" s="18">
        <f>COUNTIF('보험청구'!$B:$B,$A25)</f>
        <v>1</v>
      </c>
      <c r="AA25" s="18">
        <f>COUNTIFS('보험청구'!$B:$B,$A25,'보험청구'!$J:$J,"미확인")</f>
        <v>0</v>
      </c>
      <c r="AB25" s="18">
        <f>SUMIF('보험청구'!$B:$B,$A25,'보험청구'!$I:$I)</f>
        <v>0</v>
      </c>
      <c r="AC25" s="18">
        <f>SUMIF('보험청구'!$B:$B,$A25,'보험청구'!$L:$L)</f>
        <v>0</v>
      </c>
      <c r="AD25" s="30">
        <v>46154.0</v>
      </c>
      <c r="AE25" s="10"/>
      <c r="AF25" s="10" t="str">
        <f t="shared" si="1"/>
        <v/>
      </c>
      <c r="AG25" s="10" t="str">
        <f t="shared" si="2"/>
        <v>정상</v>
      </c>
      <c r="AH25" s="26"/>
      <c r="AI25" s="10"/>
      <c r="AJ25" s="10"/>
    </row>
    <row r="26" ht="15.75" customHeight="1">
      <c r="A26" s="10" t="s">
        <v>375</v>
      </c>
      <c r="B26" s="13" t="s">
        <v>740</v>
      </c>
      <c r="C26" s="10"/>
      <c r="D26" s="14">
        <v>1.9590327E7</v>
      </c>
      <c r="E26" s="10" t="s">
        <v>741</v>
      </c>
      <c r="F26" s="10" t="s">
        <v>743</v>
      </c>
      <c r="G26" s="13" t="s">
        <v>744</v>
      </c>
      <c r="H26" s="15" t="s">
        <v>745</v>
      </c>
      <c r="I26" s="10" t="s">
        <v>106</v>
      </c>
      <c r="J26" s="10" t="s">
        <v>746</v>
      </c>
      <c r="K26" s="10"/>
      <c r="L26" s="10">
        <v>2.603224746E9</v>
      </c>
      <c r="M26" s="10" t="s">
        <v>747</v>
      </c>
      <c r="N26" s="10" t="s">
        <v>748</v>
      </c>
      <c r="O26" s="10"/>
      <c r="P26" s="10"/>
      <c r="Q26" s="10" t="s">
        <v>77</v>
      </c>
      <c r="R26" s="10"/>
      <c r="S26" s="10" t="s">
        <v>96</v>
      </c>
      <c r="T26" s="10"/>
      <c r="U26" s="10" t="s">
        <v>322</v>
      </c>
      <c r="V26" s="10" t="s">
        <v>497</v>
      </c>
      <c r="W26" s="10" t="s">
        <v>56</v>
      </c>
      <c r="X26" s="18">
        <f>COUNTIF('간병인배정'!$B:$B,$A26)</f>
        <v>1</v>
      </c>
      <c r="Y26" s="18">
        <f>SUMIF('간병비지급'!$B:$B,$A26,'간병비지급'!$I:$I)</f>
        <v>1170000</v>
      </c>
      <c r="Z26" s="18">
        <f>COUNTIF('보험청구'!$B:$B,$A26)</f>
        <v>1</v>
      </c>
      <c r="AA26" s="18">
        <f>COUNTIFS('보험청구'!$B:$B,$A26,'보험청구'!$J:$J,"미확인")</f>
        <v>0</v>
      </c>
      <c r="AB26" s="18">
        <f>SUMIF('보험청구'!$B:$B,$A26,'보험청구'!$I:$I)</f>
        <v>1626000</v>
      </c>
      <c r="AC26" s="18">
        <f>SUMIF('보험청구'!$B:$B,$A26,'보험청구'!$L:$L)</f>
        <v>0</v>
      </c>
      <c r="AD26" s="30">
        <v>46112.0</v>
      </c>
      <c r="AE26" s="30">
        <v>46122.0</v>
      </c>
      <c r="AF26" s="10">
        <f t="shared" si="1"/>
        <v>161</v>
      </c>
      <c r="AG26" s="10" t="str">
        <f t="shared" si="2"/>
        <v>정상</v>
      </c>
      <c r="AH26" s="25" t="s">
        <v>599</v>
      </c>
      <c r="AI26" s="10"/>
      <c r="AJ26" s="10"/>
    </row>
    <row r="27" ht="15.75" customHeight="1">
      <c r="A27" s="10" t="s">
        <v>386</v>
      </c>
      <c r="B27" s="13" t="s">
        <v>572</v>
      </c>
      <c r="C27" s="10"/>
      <c r="D27" s="14">
        <v>1.9490913E7</v>
      </c>
      <c r="E27" s="10" t="s">
        <v>573</v>
      </c>
      <c r="F27" s="10" t="s">
        <v>600</v>
      </c>
      <c r="G27" s="13" t="s">
        <v>601</v>
      </c>
      <c r="H27" s="15" t="s">
        <v>643</v>
      </c>
      <c r="I27" s="10" t="s">
        <v>106</v>
      </c>
      <c r="J27" s="10" t="s">
        <v>577</v>
      </c>
      <c r="K27" s="10"/>
      <c r="L27" s="10">
        <v>2.603142073E9</v>
      </c>
      <c r="M27" s="10" t="s">
        <v>579</v>
      </c>
      <c r="N27" s="10" t="s">
        <v>580</v>
      </c>
      <c r="O27" s="10"/>
      <c r="P27" s="10"/>
      <c r="Q27" s="10" t="s">
        <v>132</v>
      </c>
      <c r="R27" s="10"/>
      <c r="S27" s="10" t="s">
        <v>582</v>
      </c>
      <c r="T27" s="10"/>
      <c r="U27" s="10" t="s">
        <v>322</v>
      </c>
      <c r="V27" s="10" t="s">
        <v>583</v>
      </c>
      <c r="W27" s="10" t="s">
        <v>56</v>
      </c>
      <c r="X27" s="18">
        <f>COUNTIF('간병인배정'!$B:$B,$A27)</f>
        <v>1</v>
      </c>
      <c r="Y27" s="18">
        <f>SUMIF('간병비지급'!$B:$B,$A27,'간병비지급'!$I:$I)</f>
        <v>560000</v>
      </c>
      <c r="Z27" s="18">
        <f>COUNTIF('보험청구'!$B:$B,$A27)</f>
        <v>1</v>
      </c>
      <c r="AA27" s="18">
        <f>COUNTIFS('보험청구'!$B:$B,$A27,'보험청구'!$J:$J,"미확인")</f>
        <v>0</v>
      </c>
      <c r="AB27" s="18">
        <f>SUMIF('보험청구'!$B:$B,$A27,'보험청구'!$I:$I)</f>
        <v>0</v>
      </c>
      <c r="AC27" s="18">
        <f>SUMIF('보험청구'!$B:$B,$A27,'보험청구'!$L:$L)</f>
        <v>0</v>
      </c>
      <c r="AD27" s="30">
        <v>46158.0</v>
      </c>
      <c r="AE27" s="10"/>
      <c r="AF27" s="10" t="str">
        <f t="shared" si="1"/>
        <v/>
      </c>
      <c r="AG27" s="10" t="str">
        <f t="shared" si="2"/>
        <v>정상</v>
      </c>
      <c r="AH27" s="26" t="s">
        <v>789</v>
      </c>
      <c r="AI27" s="10"/>
      <c r="AJ27" s="10"/>
    </row>
    <row r="28" ht="15.75" customHeight="1">
      <c r="A28" s="10" t="s">
        <v>404</v>
      </c>
      <c r="B28" s="13" t="s">
        <v>572</v>
      </c>
      <c r="C28" s="10"/>
      <c r="D28" s="14">
        <v>1.9490913E7</v>
      </c>
      <c r="E28" s="10" t="s">
        <v>573</v>
      </c>
      <c r="F28" s="10" t="s">
        <v>600</v>
      </c>
      <c r="G28" s="13" t="s">
        <v>601</v>
      </c>
      <c r="H28" s="15" t="s">
        <v>618</v>
      </c>
      <c r="I28" s="10" t="s">
        <v>106</v>
      </c>
      <c r="J28" s="10" t="s">
        <v>577</v>
      </c>
      <c r="K28" s="10"/>
      <c r="L28" s="10">
        <v>2.606033391E9</v>
      </c>
      <c r="M28" s="10"/>
      <c r="N28" s="10" t="s">
        <v>803</v>
      </c>
      <c r="O28" s="10"/>
      <c r="P28" s="10"/>
      <c r="Q28" s="10" t="s">
        <v>77</v>
      </c>
      <c r="R28" s="10"/>
      <c r="S28" s="10" t="s">
        <v>582</v>
      </c>
      <c r="T28" s="10"/>
      <c r="U28" s="10" t="s">
        <v>322</v>
      </c>
      <c r="V28" s="10"/>
      <c r="W28" s="10" t="s">
        <v>56</v>
      </c>
      <c r="X28" s="18">
        <f>COUNTIF('간병인배정'!$B:$B,$A28)</f>
        <v>1</v>
      </c>
      <c r="Y28" s="18">
        <f>SUMIF('간병비지급'!$B:$B,$A28,'간병비지급'!$I:$I)</f>
        <v>2940000</v>
      </c>
      <c r="Z28" s="18">
        <f>COUNTIF('보험청구'!$B:$B,$A28)</f>
        <v>2</v>
      </c>
      <c r="AA28" s="18">
        <f>COUNTIFS('보험청구'!$B:$B,$A28,'보험청구'!$J:$J,"미확인")</f>
        <v>0</v>
      </c>
      <c r="AB28" s="18">
        <f>SUMIF('보험청구'!$B:$B,$A28,'보험청구'!$I:$I)</f>
        <v>2880000</v>
      </c>
      <c r="AC28" s="18">
        <f>SUMIF('보험청구'!$B:$B,$A28,'보험청구'!$L:$L)</f>
        <v>0</v>
      </c>
      <c r="AD28" s="30">
        <v>46162.0</v>
      </c>
      <c r="AE28" s="30">
        <v>46168.0</v>
      </c>
      <c r="AF28" s="10">
        <f t="shared" si="1"/>
        <v>115</v>
      </c>
      <c r="AG28" s="10" t="str">
        <f t="shared" si="2"/>
        <v>정상</v>
      </c>
      <c r="AH28" s="25"/>
      <c r="AI28" s="10"/>
      <c r="AJ28" s="10"/>
    </row>
    <row r="29" ht="15.75" customHeight="1">
      <c r="A29" s="10" t="s">
        <v>417</v>
      </c>
      <c r="B29" s="13" t="s">
        <v>572</v>
      </c>
      <c r="C29" s="10"/>
      <c r="D29" s="14">
        <v>1.9490913E7</v>
      </c>
      <c r="E29" s="10" t="s">
        <v>573</v>
      </c>
      <c r="F29" s="10" t="s">
        <v>600</v>
      </c>
      <c r="G29" s="13" t="s">
        <v>601</v>
      </c>
      <c r="H29" s="15" t="s">
        <v>643</v>
      </c>
      <c r="I29" s="10" t="s">
        <v>106</v>
      </c>
      <c r="J29" s="10" t="s">
        <v>577</v>
      </c>
      <c r="K29" s="10"/>
      <c r="L29" s="10">
        <v>2.606033391E9</v>
      </c>
      <c r="M29" s="10"/>
      <c r="N29" s="10" t="s">
        <v>803</v>
      </c>
      <c r="O29" s="10"/>
      <c r="P29" s="10"/>
      <c r="Q29" s="10" t="s">
        <v>77</v>
      </c>
      <c r="R29" s="10"/>
      <c r="S29" s="10" t="s">
        <v>582</v>
      </c>
      <c r="T29" s="10"/>
      <c r="U29" s="10" t="s">
        <v>322</v>
      </c>
      <c r="V29" s="10"/>
      <c r="W29" s="10" t="s">
        <v>56</v>
      </c>
      <c r="X29" s="18">
        <f>COUNTIF('간병인배정'!$B:$B,$A29)</f>
        <v>1</v>
      </c>
      <c r="Y29" s="18">
        <f>SUMIF('간병비지급'!$B:$B,$A29,'간병비지급'!$I:$I)</f>
        <v>0</v>
      </c>
      <c r="Z29" s="18">
        <f>COUNTIF('보험청구'!$B:$B,$A29)</f>
        <v>2</v>
      </c>
      <c r="AA29" s="18">
        <f>COUNTIFS('보험청구'!$B:$B,$A29,'보험청구'!$J:$J,"미확인")</f>
        <v>0</v>
      </c>
      <c r="AB29" s="18">
        <f>SUMIF('보험청구'!$B:$B,$A29,'보험청구'!$I:$I)</f>
        <v>1008000</v>
      </c>
      <c r="AC29" s="18">
        <f>SUMIF('보험청구'!$B:$B,$A29,'보험청구'!$L:$L)</f>
        <v>0</v>
      </c>
      <c r="AD29" s="30">
        <v>46168.0</v>
      </c>
      <c r="AE29" s="30">
        <v>46175.0</v>
      </c>
      <c r="AF29" s="10">
        <f t="shared" si="1"/>
        <v>108</v>
      </c>
      <c r="AG29" s="10" t="str">
        <f t="shared" si="2"/>
        <v>정상</v>
      </c>
      <c r="AH29" s="25"/>
      <c r="AI29" s="10"/>
      <c r="AJ29" s="10"/>
    </row>
    <row r="30" ht="15.75" customHeight="1">
      <c r="A30" s="10" t="s">
        <v>435</v>
      </c>
      <c r="B30" s="13" t="s">
        <v>572</v>
      </c>
      <c r="C30" s="10"/>
      <c r="D30" s="14">
        <v>1.9490913E7</v>
      </c>
      <c r="E30" s="10" t="s">
        <v>573</v>
      </c>
      <c r="F30" s="10" t="s">
        <v>600</v>
      </c>
      <c r="G30" s="13" t="s">
        <v>601</v>
      </c>
      <c r="H30" s="15" t="s">
        <v>618</v>
      </c>
      <c r="I30" s="10" t="s">
        <v>106</v>
      </c>
      <c r="J30" s="10" t="s">
        <v>577</v>
      </c>
      <c r="K30" s="10"/>
      <c r="L30" s="10">
        <v>2.606033391E9</v>
      </c>
      <c r="M30" s="10"/>
      <c r="N30" s="10" t="s">
        <v>803</v>
      </c>
      <c r="O30" s="10"/>
      <c r="P30" s="10"/>
      <c r="Q30" s="10" t="s">
        <v>77</v>
      </c>
      <c r="R30" s="10"/>
      <c r="S30" s="10" t="s">
        <v>582</v>
      </c>
      <c r="T30" s="10"/>
      <c r="U30" s="10" t="s">
        <v>322</v>
      </c>
      <c r="V30" s="10"/>
      <c r="W30" s="10" t="s">
        <v>56</v>
      </c>
      <c r="X30" s="18">
        <f>COUNTIF('간병인배정'!$B:$B,$A30)</f>
        <v>1</v>
      </c>
      <c r="Y30" s="18">
        <f>SUMIF('간병비지급'!$B:$B,$A30,'간병비지급'!$I:$I)</f>
        <v>840000</v>
      </c>
      <c r="Z30" s="18">
        <f>COUNTIF('보험청구'!$B:$B,$A30)</f>
        <v>2</v>
      </c>
      <c r="AA30" s="18">
        <f>COUNTIFS('보험청구'!$B:$B,$A30,'보험청구'!$J:$J,"미확인")</f>
        <v>0</v>
      </c>
      <c r="AB30" s="18">
        <f>SUMIF('보험청구'!$B:$B,$A30,'보험청구'!$I:$I)</f>
        <v>2016000</v>
      </c>
      <c r="AC30" s="18">
        <f>SUMIF('보험청구'!$B:$B,$A30,'보험청구'!$L:$L)</f>
        <v>0</v>
      </c>
      <c r="AD30" s="30">
        <v>46175.0</v>
      </c>
      <c r="AE30" s="30">
        <v>46188.0</v>
      </c>
      <c r="AF30" s="10">
        <f t="shared" si="1"/>
        <v>95</v>
      </c>
      <c r="AG30" s="10" t="str">
        <f t="shared" si="2"/>
        <v>정상</v>
      </c>
      <c r="AH30" s="25"/>
      <c r="AI30" s="10"/>
      <c r="AJ30" s="10"/>
    </row>
    <row r="31" ht="15.75" customHeight="1">
      <c r="A31" s="10" t="s">
        <v>450</v>
      </c>
      <c r="B31" s="13" t="s">
        <v>572</v>
      </c>
      <c r="C31" s="10"/>
      <c r="D31" s="14">
        <v>1.9490913E7</v>
      </c>
      <c r="E31" s="10" t="s">
        <v>573</v>
      </c>
      <c r="F31" s="10" t="s">
        <v>600</v>
      </c>
      <c r="G31" s="13" t="s">
        <v>601</v>
      </c>
      <c r="H31" s="15" t="s">
        <v>618</v>
      </c>
      <c r="I31" s="10" t="s">
        <v>106</v>
      </c>
      <c r="J31" s="10" t="s">
        <v>577</v>
      </c>
      <c r="K31" s="10"/>
      <c r="L31" s="10">
        <v>2.606033391E9</v>
      </c>
      <c r="M31" s="10"/>
      <c r="N31" s="10" t="s">
        <v>803</v>
      </c>
      <c r="O31" s="10"/>
      <c r="P31" s="10"/>
      <c r="Q31" s="10" t="s">
        <v>77</v>
      </c>
      <c r="R31" s="10"/>
      <c r="S31" s="10" t="s">
        <v>582</v>
      </c>
      <c r="T31" s="10"/>
      <c r="U31" s="10" t="s">
        <v>322</v>
      </c>
      <c r="V31" s="10"/>
      <c r="W31" s="10" t="s">
        <v>56</v>
      </c>
      <c r="X31" s="18">
        <f>COUNTIF('간병인배정'!$B:$B,$A31)</f>
        <v>1</v>
      </c>
      <c r="Y31" s="18">
        <f>SUMIF('간병비지급'!$B:$B,$A31,'간병비지급'!$I:$I)</f>
        <v>420000</v>
      </c>
      <c r="Z31" s="18">
        <f>COUNTIF('보험청구'!$B:$B,$A31)</f>
        <v>1</v>
      </c>
      <c r="AA31" s="18">
        <f>COUNTIFS('보험청구'!$B:$B,$A31,'보험청구'!$J:$J,"미확인")</f>
        <v>0</v>
      </c>
      <c r="AB31" s="18">
        <f>SUMIF('보험청구'!$B:$B,$A31,'보험청구'!$I:$I)</f>
        <v>576000</v>
      </c>
      <c r="AC31" s="18">
        <f>SUMIF('보험청구'!$B:$B,$A31,'보험청구'!$L:$L)</f>
        <v>0</v>
      </c>
      <c r="AD31" s="30">
        <v>46189.0</v>
      </c>
      <c r="AE31" s="30">
        <v>46192.0</v>
      </c>
      <c r="AF31" s="10">
        <f t="shared" si="1"/>
        <v>91</v>
      </c>
      <c r="AG31" s="10" t="str">
        <f t="shared" si="2"/>
        <v>정상</v>
      </c>
      <c r="AH31" s="25"/>
      <c r="AI31" s="10"/>
      <c r="AJ31" s="10"/>
    </row>
    <row r="32" ht="15.75" customHeight="1">
      <c r="A32" s="10" t="s">
        <v>461</v>
      </c>
      <c r="B32" s="13" t="s">
        <v>572</v>
      </c>
      <c r="C32" s="10"/>
      <c r="D32" s="14">
        <v>1.9490913E7</v>
      </c>
      <c r="E32" s="10" t="s">
        <v>573</v>
      </c>
      <c r="F32" s="10" t="s">
        <v>600</v>
      </c>
      <c r="G32" s="13" t="s">
        <v>601</v>
      </c>
      <c r="H32" s="15" t="s">
        <v>618</v>
      </c>
      <c r="I32" s="10" t="s">
        <v>106</v>
      </c>
      <c r="J32" s="10" t="s">
        <v>577</v>
      </c>
      <c r="K32" s="10"/>
      <c r="L32" s="10">
        <v>2.606033391E9</v>
      </c>
      <c r="M32" s="10" t="s">
        <v>893</v>
      </c>
      <c r="N32" s="10" t="s">
        <v>803</v>
      </c>
      <c r="O32" s="10" t="s">
        <v>894</v>
      </c>
      <c r="P32" s="10"/>
      <c r="Q32" s="10" t="s">
        <v>77</v>
      </c>
      <c r="R32" s="10"/>
      <c r="S32" s="10" t="s">
        <v>582</v>
      </c>
      <c r="T32" s="10"/>
      <c r="U32" s="10" t="s">
        <v>322</v>
      </c>
      <c r="V32" s="10"/>
      <c r="W32" s="10" t="s">
        <v>56</v>
      </c>
      <c r="X32" s="18">
        <f>COUNTIF('간병인배정'!$B:$B,$A32)</f>
        <v>1</v>
      </c>
      <c r="Y32" s="18">
        <f>SUMIF('간병비지급'!$B:$B,$A32,'간병비지급'!$I:$I)</f>
        <v>2800000</v>
      </c>
      <c r="Z32" s="18">
        <f>COUNTIF('보험청구'!$B:$B,$A32)</f>
        <v>3</v>
      </c>
      <c r="AA32" s="18">
        <f>COUNTIFS('보험청구'!$B:$B,$A32,'보험청구'!$J:$J,"미확인")</f>
        <v>0</v>
      </c>
      <c r="AB32" s="18">
        <f>SUMIF('보험청구'!$B:$B,$A32,'보험청구'!$I:$I)</f>
        <v>3456000</v>
      </c>
      <c r="AC32" s="18">
        <f>SUMIF('보험청구'!$B:$B,$A32,'보험청구'!$L:$L)</f>
        <v>0</v>
      </c>
      <c r="AD32" s="30">
        <v>46193.0</v>
      </c>
      <c r="AE32" s="30">
        <v>46217.0</v>
      </c>
      <c r="AF32" s="10">
        <f t="shared" si="1"/>
        <v>66</v>
      </c>
      <c r="AG32" s="10" t="str">
        <f t="shared" si="2"/>
        <v>정상</v>
      </c>
      <c r="AH32" s="25"/>
      <c r="AI32" s="10"/>
      <c r="AJ32" s="10"/>
    </row>
    <row r="33" ht="15.75" customHeight="1">
      <c r="A33" s="10" t="s">
        <v>480</v>
      </c>
      <c r="B33" s="13" t="s">
        <v>572</v>
      </c>
      <c r="C33" s="10"/>
      <c r="D33" s="14">
        <v>1.9490913E7</v>
      </c>
      <c r="E33" s="10" t="s">
        <v>573</v>
      </c>
      <c r="F33" s="10" t="s">
        <v>600</v>
      </c>
      <c r="G33" s="13" t="s">
        <v>601</v>
      </c>
      <c r="H33" s="15" t="s">
        <v>643</v>
      </c>
      <c r="I33" s="10" t="s">
        <v>106</v>
      </c>
      <c r="J33" s="10" t="s">
        <v>577</v>
      </c>
      <c r="K33" s="10"/>
      <c r="L33" s="10">
        <v>2.606033391E9</v>
      </c>
      <c r="M33" s="10" t="s">
        <v>893</v>
      </c>
      <c r="N33" s="10" t="s">
        <v>803</v>
      </c>
      <c r="O33" s="10" t="s">
        <v>894</v>
      </c>
      <c r="P33" s="10"/>
      <c r="Q33" s="10" t="s">
        <v>77</v>
      </c>
      <c r="R33" s="10"/>
      <c r="S33" s="10" t="s">
        <v>582</v>
      </c>
      <c r="T33" s="10"/>
      <c r="U33" s="10" t="s">
        <v>322</v>
      </c>
      <c r="V33" s="10"/>
      <c r="W33" s="10" t="s">
        <v>56</v>
      </c>
      <c r="X33" s="18">
        <f>COUNTIF('간병인배정'!$B:$B,$A33)</f>
        <v>1</v>
      </c>
      <c r="Y33" s="18">
        <f>SUMIF('간병비지급'!$B:$B,$A33,'간병비지급'!$I:$I)</f>
        <v>1400000</v>
      </c>
      <c r="Z33" s="18">
        <f>COUNTIF('보험청구'!$B:$B,$A33)</f>
        <v>2</v>
      </c>
      <c r="AA33" s="18">
        <f>COUNTIFS('보험청구'!$B:$B,$A33,'보험청구'!$J:$J,"미확인")</f>
        <v>0</v>
      </c>
      <c r="AB33" s="18">
        <f>SUMIF('보험청구'!$B:$B,$A33,'보험청구'!$I:$I)</f>
        <v>2016000</v>
      </c>
      <c r="AC33" s="18">
        <f>SUMIF('보험청구'!$B:$B,$A33,'보험청구'!$L:$L)</f>
        <v>0</v>
      </c>
      <c r="AD33" s="30">
        <v>46217.0</v>
      </c>
      <c r="AE33" s="30">
        <v>46231.0</v>
      </c>
      <c r="AF33" s="10">
        <f t="shared" si="1"/>
        <v>52</v>
      </c>
      <c r="AG33" s="10" t="str">
        <f t="shared" si="2"/>
        <v>정상</v>
      </c>
      <c r="AH33" s="25"/>
      <c r="AI33" s="10"/>
      <c r="AJ33" s="10"/>
    </row>
    <row r="34" ht="15.75" customHeight="1">
      <c r="A34" s="10" t="s">
        <v>486</v>
      </c>
      <c r="B34" s="13" t="s">
        <v>572</v>
      </c>
      <c r="C34" s="10"/>
      <c r="D34" s="14">
        <v>1.9490913E7</v>
      </c>
      <c r="E34" s="10" t="s">
        <v>573</v>
      </c>
      <c r="F34" s="10" t="s">
        <v>574</v>
      </c>
      <c r="G34" s="13" t="s">
        <v>927</v>
      </c>
      <c r="H34" s="15" t="s">
        <v>928</v>
      </c>
      <c r="I34" s="10" t="s">
        <v>106</v>
      </c>
      <c r="J34" s="10" t="s">
        <v>577</v>
      </c>
      <c r="K34" s="10"/>
      <c r="L34" s="10">
        <v>2.606033391E9</v>
      </c>
      <c r="M34" s="10" t="s">
        <v>893</v>
      </c>
      <c r="N34" s="10" t="s">
        <v>803</v>
      </c>
      <c r="O34" s="10" t="s">
        <v>894</v>
      </c>
      <c r="P34" s="10"/>
      <c r="Q34" s="10" t="s">
        <v>77</v>
      </c>
      <c r="R34" s="10"/>
      <c r="S34" s="10" t="s">
        <v>582</v>
      </c>
      <c r="T34" s="10"/>
      <c r="U34" s="10" t="s">
        <v>322</v>
      </c>
      <c r="V34" s="10"/>
      <c r="W34" s="10" t="s">
        <v>56</v>
      </c>
      <c r="X34" s="18">
        <f>COUNTIF('간병인배정'!$B:$B,$A34)</f>
        <v>1</v>
      </c>
      <c r="Y34" s="18">
        <f>SUMIF('간병비지급'!$B:$B,$A34,'간병비지급'!$I:$I)</f>
        <v>1960000</v>
      </c>
      <c r="Z34" s="18">
        <f>COUNTIF('보험청구'!$B:$B,$A34)</f>
        <v>1</v>
      </c>
      <c r="AA34" s="18">
        <f>COUNTIFS('보험청구'!$B:$B,$A34,'보험청구'!$J:$J,"미확인")</f>
        <v>0</v>
      </c>
      <c r="AB34" s="18">
        <f>SUMIF('보험청구'!$B:$B,$A34,'보험청구'!$I:$I)</f>
        <v>864000</v>
      </c>
      <c r="AC34" s="18">
        <f>SUMIF('보험청구'!$B:$B,$A34,'보험청구'!$L:$L)</f>
        <v>0</v>
      </c>
      <c r="AD34" s="30">
        <v>46231.0</v>
      </c>
      <c r="AE34" s="30">
        <v>46237.0</v>
      </c>
      <c r="AF34" s="10">
        <f t="shared" si="1"/>
        <v>46</v>
      </c>
      <c r="AG34" s="10" t="str">
        <f t="shared" si="2"/>
        <v>정상</v>
      </c>
      <c r="AH34" s="25"/>
      <c r="AI34" s="10"/>
      <c r="AJ34" s="10"/>
    </row>
    <row r="35" ht="15.75" customHeight="1">
      <c r="A35" s="10" t="s">
        <v>501</v>
      </c>
      <c r="B35" s="13" t="s">
        <v>572</v>
      </c>
      <c r="C35" s="10"/>
      <c r="D35" s="14">
        <v>1.9490913E7</v>
      </c>
      <c r="E35" s="10" t="s">
        <v>573</v>
      </c>
      <c r="F35" s="10" t="s">
        <v>574</v>
      </c>
      <c r="G35" s="13" t="s">
        <v>927</v>
      </c>
      <c r="H35" s="15" t="s">
        <v>928</v>
      </c>
      <c r="I35" s="10" t="s">
        <v>106</v>
      </c>
      <c r="J35" s="10" t="s">
        <v>577</v>
      </c>
      <c r="K35" s="10"/>
      <c r="L35" s="10">
        <v>2.606033391E9</v>
      </c>
      <c r="M35" s="10" t="s">
        <v>893</v>
      </c>
      <c r="N35" s="10" t="s">
        <v>803</v>
      </c>
      <c r="O35" s="10" t="s">
        <v>894</v>
      </c>
      <c r="P35" s="10"/>
      <c r="Q35" s="10" t="s">
        <v>77</v>
      </c>
      <c r="R35" s="10"/>
      <c r="S35" s="10" t="s">
        <v>582</v>
      </c>
      <c r="T35" s="10"/>
      <c r="U35" s="10" t="s">
        <v>322</v>
      </c>
      <c r="V35" s="10"/>
      <c r="W35" s="10" t="s">
        <v>56</v>
      </c>
      <c r="X35" s="18">
        <f>COUNTIF('간병인배정'!$B:$B,$A35)</f>
        <v>1</v>
      </c>
      <c r="Y35" s="18">
        <f>SUMIF('간병비지급'!$B:$B,$A35,'간병비지급'!$I:$I)</f>
        <v>420000</v>
      </c>
      <c r="Z35" s="18">
        <f>COUNTIF('보험청구'!$B:$B,$A35)</f>
        <v>1</v>
      </c>
      <c r="AA35" s="18">
        <f>COUNTIFS('보험청구'!$B:$B,$A35,'보험청구'!$J:$J,"미확인")</f>
        <v>0</v>
      </c>
      <c r="AB35" s="18">
        <f>SUMIF('보험청구'!$B:$B,$A35,'보험청구'!$I:$I)</f>
        <v>576000</v>
      </c>
      <c r="AC35" s="18">
        <f>SUMIF('보험청구'!$B:$B,$A35,'보험청구'!$L:$L)</f>
        <v>0</v>
      </c>
      <c r="AD35" s="30">
        <v>46237.0</v>
      </c>
      <c r="AE35" s="30">
        <v>46240.0</v>
      </c>
      <c r="AF35" s="10">
        <f t="shared" si="1"/>
        <v>43</v>
      </c>
      <c r="AG35" s="10" t="str">
        <f t="shared" si="2"/>
        <v>정상</v>
      </c>
      <c r="AH35" s="38"/>
      <c r="AI35" s="10"/>
      <c r="AJ35" s="10"/>
    </row>
    <row r="36" ht="15.75" customHeight="1">
      <c r="A36" s="10" t="s">
        <v>510</v>
      </c>
      <c r="B36" s="13" t="s">
        <v>740</v>
      </c>
      <c r="C36" s="10"/>
      <c r="D36" s="14">
        <v>1.9590327E7</v>
      </c>
      <c r="E36" s="10" t="s">
        <v>741</v>
      </c>
      <c r="F36" s="10" t="s">
        <v>743</v>
      </c>
      <c r="G36" s="13" t="s">
        <v>744</v>
      </c>
      <c r="H36" s="15" t="s">
        <v>745</v>
      </c>
      <c r="I36" s="10" t="s">
        <v>106</v>
      </c>
      <c r="J36" s="10" t="s">
        <v>746</v>
      </c>
      <c r="K36" s="10"/>
      <c r="L36" s="10">
        <v>2.603224746E9</v>
      </c>
      <c r="M36" s="10" t="s">
        <v>747</v>
      </c>
      <c r="N36" s="10" t="s">
        <v>748</v>
      </c>
      <c r="O36" s="10"/>
      <c r="P36" s="10"/>
      <c r="Q36" s="10" t="s">
        <v>77</v>
      </c>
      <c r="R36" s="10"/>
      <c r="S36" s="10" t="s">
        <v>96</v>
      </c>
      <c r="T36" s="10"/>
      <c r="U36" s="10" t="s">
        <v>322</v>
      </c>
      <c r="V36" s="10" t="s">
        <v>497</v>
      </c>
      <c r="W36" s="10" t="s">
        <v>56</v>
      </c>
      <c r="X36" s="18">
        <f>COUNTIF('간병인배정'!$B:$B,$A36)</f>
        <v>1</v>
      </c>
      <c r="Y36" s="18">
        <f>SUMIF('간병비지급'!$B:$B,$A36,'간병비지급'!$I:$I)</f>
        <v>4340000</v>
      </c>
      <c r="Z36" s="18">
        <f>COUNTIF('보험청구'!$B:$B,$A36)</f>
        <v>3</v>
      </c>
      <c r="AA36" s="18">
        <f>COUNTIFS('보험청구'!$B:$B,$A36,'보험청구'!$J:$J,"미확인")</f>
        <v>0</v>
      </c>
      <c r="AB36" s="18">
        <f>SUMIF('보험청구'!$B:$B,$A36,'보험청구'!$I:$I)</f>
        <v>4278000</v>
      </c>
      <c r="AC36" s="18">
        <f>SUMIF('보험청구'!$B:$B,$A36,'보험청구'!$L:$L)</f>
        <v>0</v>
      </c>
      <c r="AD36" s="30">
        <v>46122.0</v>
      </c>
      <c r="AE36" s="30">
        <v>46153.0</v>
      </c>
      <c r="AF36" s="10">
        <f t="shared" si="1"/>
        <v>130</v>
      </c>
      <c r="AG36" s="10" t="str">
        <f t="shared" si="2"/>
        <v>정상</v>
      </c>
      <c r="AH36" s="25"/>
      <c r="AI36" s="10"/>
      <c r="AJ36" s="10"/>
    </row>
    <row r="37" ht="15.75" customHeight="1">
      <c r="A37" s="10" t="s">
        <v>530</v>
      </c>
      <c r="B37" s="31" t="s">
        <v>985</v>
      </c>
      <c r="C37" s="10" t="s">
        <v>66</v>
      </c>
      <c r="D37" s="14">
        <v>1.9650117E7</v>
      </c>
      <c r="E37" s="10" t="s">
        <v>986</v>
      </c>
      <c r="F37" s="10" t="s">
        <v>987</v>
      </c>
      <c r="G37" s="13" t="s">
        <v>988</v>
      </c>
      <c r="H37" s="15" t="s">
        <v>989</v>
      </c>
      <c r="I37" s="10" t="s">
        <v>106</v>
      </c>
      <c r="J37" s="10" t="s">
        <v>991</v>
      </c>
      <c r="K37" s="10"/>
      <c r="L37" s="10">
        <v>2.603370234E9</v>
      </c>
      <c r="M37" s="10" t="s">
        <v>994</v>
      </c>
      <c r="N37" s="10" t="s">
        <v>997</v>
      </c>
      <c r="O37" s="10"/>
      <c r="P37" s="10"/>
      <c r="Q37" s="10" t="s">
        <v>77</v>
      </c>
      <c r="R37" s="10"/>
      <c r="S37" s="10" t="s">
        <v>1001</v>
      </c>
      <c r="T37" s="10"/>
      <c r="U37" s="10" t="s">
        <v>322</v>
      </c>
      <c r="V37" s="10" t="s">
        <v>314</v>
      </c>
      <c r="W37" s="10" t="s">
        <v>56</v>
      </c>
      <c r="X37" s="18">
        <f>COUNTIF('간병인배정'!$B:$B,$A37)</f>
        <v>1</v>
      </c>
      <c r="Y37" s="18">
        <f>SUMIF('간병비지급'!$B:$B,$A37,'간병비지급'!$I:$I)</f>
        <v>5590000</v>
      </c>
      <c r="Z37" s="18">
        <f>COUNTIF('보험청구'!$B:$B,$A37)</f>
        <v>5</v>
      </c>
      <c r="AA37" s="18">
        <f>COUNTIFS('보험청구'!$B:$B,$A37,'보험청구'!$J:$J,"미확인")</f>
        <v>0</v>
      </c>
      <c r="AB37" s="18">
        <f>SUMIF('보험청구'!$B:$B,$A37,'보험청구'!$I:$I)</f>
        <v>5670000</v>
      </c>
      <c r="AC37" s="18">
        <f>SUMIF('보험청구'!$B:$B,$A37,'보험청구'!$L:$L)</f>
        <v>0</v>
      </c>
      <c r="AD37" s="30">
        <v>46113.0</v>
      </c>
      <c r="AE37" s="30">
        <v>46152.0</v>
      </c>
      <c r="AF37" s="10">
        <f t="shared" si="1"/>
        <v>131</v>
      </c>
      <c r="AG37" s="10" t="str">
        <f t="shared" si="2"/>
        <v>정상</v>
      </c>
      <c r="AH37" s="25"/>
      <c r="AI37" s="10"/>
      <c r="AJ37" s="10"/>
    </row>
    <row r="38" ht="15.75" customHeight="1">
      <c r="A38" s="10" t="s">
        <v>544</v>
      </c>
      <c r="B38" s="13" t="s">
        <v>985</v>
      </c>
      <c r="C38" s="10" t="s">
        <v>66</v>
      </c>
      <c r="D38" s="14">
        <v>1.9650117E7</v>
      </c>
      <c r="E38" s="10" t="s">
        <v>986</v>
      </c>
      <c r="F38" s="10" t="s">
        <v>987</v>
      </c>
      <c r="G38" s="13" t="s">
        <v>988</v>
      </c>
      <c r="H38" s="15" t="s">
        <v>989</v>
      </c>
      <c r="I38" s="10" t="s">
        <v>106</v>
      </c>
      <c r="J38" s="10" t="s">
        <v>991</v>
      </c>
      <c r="K38" s="10"/>
      <c r="L38" s="10">
        <v>2.603370234E9</v>
      </c>
      <c r="M38" s="10" t="s">
        <v>994</v>
      </c>
      <c r="N38" s="10" t="s">
        <v>997</v>
      </c>
      <c r="O38" s="10"/>
      <c r="P38" s="10"/>
      <c r="Q38" s="10" t="s">
        <v>77</v>
      </c>
      <c r="R38" s="10"/>
      <c r="S38" s="10" t="s">
        <v>1001</v>
      </c>
      <c r="T38" s="10"/>
      <c r="U38" s="10" t="s">
        <v>322</v>
      </c>
      <c r="V38" s="10" t="s">
        <v>314</v>
      </c>
      <c r="W38" s="10" t="s">
        <v>56</v>
      </c>
      <c r="X38" s="18">
        <f>COUNTIF('간병인배정'!$B:$B,$A38)</f>
        <v>1</v>
      </c>
      <c r="Y38" s="18">
        <f>SUMIF('간병비지급'!$B:$B,$A38,'간병비지급'!$I:$I)</f>
        <v>4995000</v>
      </c>
      <c r="Z38" s="18">
        <f>COUNTIF('보험청구'!$B:$B,$A38)</f>
        <v>4</v>
      </c>
      <c r="AA38" s="18">
        <f>COUNTIFS('보험청구'!$B:$B,$A38,'보험청구'!$J:$J,"미확인")</f>
        <v>0</v>
      </c>
      <c r="AB38" s="18">
        <f>SUMIF('보험청구'!$B:$B,$A38,'보험청구'!$I:$I)</f>
        <v>2430000</v>
      </c>
      <c r="AC38" s="18">
        <f>SUMIF('보험청구'!$B:$B,$A38,'보험청구'!$L:$L)</f>
        <v>0</v>
      </c>
      <c r="AD38" s="30">
        <v>46155.0</v>
      </c>
      <c r="AE38" s="30">
        <v>46192.0</v>
      </c>
      <c r="AF38" s="10">
        <f t="shared" si="1"/>
        <v>91</v>
      </c>
      <c r="AG38" s="10" t="str">
        <f t="shared" si="2"/>
        <v>정상</v>
      </c>
      <c r="AH38" s="25"/>
      <c r="AI38" s="10"/>
      <c r="AJ38" s="10"/>
    </row>
    <row r="39" ht="16.5" customHeight="1">
      <c r="A39" s="10" t="s">
        <v>564</v>
      </c>
      <c r="B39" s="13" t="s">
        <v>985</v>
      </c>
      <c r="C39" s="10" t="s">
        <v>66</v>
      </c>
      <c r="D39" s="14">
        <v>1.9650117E7</v>
      </c>
      <c r="E39" s="10" t="s">
        <v>986</v>
      </c>
      <c r="F39" s="10" t="s">
        <v>987</v>
      </c>
      <c r="G39" s="13" t="s">
        <v>988</v>
      </c>
      <c r="H39" s="15" t="s">
        <v>989</v>
      </c>
      <c r="I39" s="10" t="s">
        <v>106</v>
      </c>
      <c r="J39" s="10" t="s">
        <v>991</v>
      </c>
      <c r="K39" s="10"/>
      <c r="L39" s="10">
        <v>2.603370234E9</v>
      </c>
      <c r="M39" s="10" t="s">
        <v>994</v>
      </c>
      <c r="N39" s="10" t="s">
        <v>997</v>
      </c>
      <c r="O39" s="10"/>
      <c r="P39" s="10"/>
      <c r="Q39" s="10" t="s">
        <v>77</v>
      </c>
      <c r="R39" s="10"/>
      <c r="S39" s="10" t="s">
        <v>1001</v>
      </c>
      <c r="T39" s="10"/>
      <c r="U39" s="10" t="s">
        <v>322</v>
      </c>
      <c r="V39" s="10" t="s">
        <v>314</v>
      </c>
      <c r="W39" s="10" t="s">
        <v>65</v>
      </c>
      <c r="X39" s="18">
        <f>COUNTIF('간병인배정'!$B:$B,$A39)</f>
        <v>2</v>
      </c>
      <c r="Y39" s="18">
        <f>SUMIF('간병비지급'!$B:$B,$A39,'간병비지급'!$I:$I)</f>
        <v>11340000</v>
      </c>
      <c r="Z39" s="18">
        <f>COUNTIF('보험청구'!$B:$B,$A39)</f>
        <v>8</v>
      </c>
      <c r="AA39" s="18">
        <f>COUNTIFS('보험청구'!$B:$B,$A39,'보험청구'!$J:$J,"미확인")</f>
        <v>0</v>
      </c>
      <c r="AB39" s="18">
        <f>SUMIF('보험청구'!$B:$B,$A39,'보험청구'!$I:$I)</f>
        <v>7020000</v>
      </c>
      <c r="AC39" s="18">
        <f>SUMIF('보험청구'!$B:$B,$A39,'보험청구'!$L:$L)</f>
        <v>5335000</v>
      </c>
      <c r="AD39" s="30">
        <v>46192.0</v>
      </c>
      <c r="AE39" s="39">
        <v>46275.0</v>
      </c>
      <c r="AF39" s="10">
        <f t="shared" si="1"/>
        <v>8</v>
      </c>
      <c r="AG39" s="10" t="str">
        <f t="shared" si="2"/>
        <v>정상</v>
      </c>
      <c r="AH39" s="34" t="s">
        <v>1050</v>
      </c>
      <c r="AI39" s="10"/>
      <c r="AJ39" s="10"/>
    </row>
    <row r="40" ht="15.75" customHeight="1">
      <c r="A40" s="10" t="s">
        <v>591</v>
      </c>
      <c r="B40" s="13" t="s">
        <v>1051</v>
      </c>
      <c r="C40" s="10" t="s">
        <v>66</v>
      </c>
      <c r="D40" s="14">
        <v>1.9551016E7</v>
      </c>
      <c r="E40" s="10" t="s">
        <v>1054</v>
      </c>
      <c r="F40" s="10" t="s">
        <v>743</v>
      </c>
      <c r="G40" s="13" t="s">
        <v>1055</v>
      </c>
      <c r="H40" s="15" t="s">
        <v>1056</v>
      </c>
      <c r="I40" s="10" t="s">
        <v>106</v>
      </c>
      <c r="J40" s="10" t="s">
        <v>1057</v>
      </c>
      <c r="K40" s="10"/>
      <c r="L40" s="10">
        <v>2.603508567E9</v>
      </c>
      <c r="M40" s="10" t="s">
        <v>1059</v>
      </c>
      <c r="N40" s="10" t="s">
        <v>1061</v>
      </c>
      <c r="O40" s="10"/>
      <c r="P40" s="10"/>
      <c r="Q40" s="10" t="s">
        <v>132</v>
      </c>
      <c r="R40" s="10"/>
      <c r="S40" s="10" t="s">
        <v>1064</v>
      </c>
      <c r="T40" s="10"/>
      <c r="U40" s="10" t="s">
        <v>322</v>
      </c>
      <c r="V40" s="10" t="s">
        <v>431</v>
      </c>
      <c r="W40" s="10" t="s">
        <v>56</v>
      </c>
      <c r="X40" s="18">
        <f>COUNTIF('간병인배정'!$B:$B,$A40)</f>
        <v>1</v>
      </c>
      <c r="Y40" s="18">
        <f>SUMIF('간병비지급'!$B:$B,$A40,'간병비지급'!$I:$I)</f>
        <v>4500000</v>
      </c>
      <c r="Z40" s="18">
        <f>COUNTIF('보험청구'!$B:$B,$A40)</f>
        <v>3</v>
      </c>
      <c r="AA40" s="18">
        <f>COUNTIFS('보험청구'!$B:$B,$A40,'보험청구'!$J:$J,"미확인")</f>
        <v>0</v>
      </c>
      <c r="AB40" s="18">
        <f>SUMIF('보험청구'!$B:$B,$A40,'보험청구'!$I:$I)</f>
        <v>4185000</v>
      </c>
      <c r="AC40" s="18">
        <f>SUMIF('보험청구'!$B:$B,$A40,'보험청구'!$L:$L)</f>
        <v>0</v>
      </c>
      <c r="AD40" s="30">
        <v>46113.0</v>
      </c>
      <c r="AE40" s="30">
        <v>46143.0</v>
      </c>
      <c r="AF40" s="10">
        <f t="shared" si="1"/>
        <v>140</v>
      </c>
      <c r="AG40" s="10" t="str">
        <f t="shared" si="2"/>
        <v>정상</v>
      </c>
      <c r="AH40" s="25"/>
      <c r="AI40" s="10"/>
      <c r="AJ40" s="10"/>
    </row>
    <row r="41" ht="15.75" customHeight="1">
      <c r="A41" s="10" t="s">
        <v>611</v>
      </c>
      <c r="B41" s="13" t="s">
        <v>1051</v>
      </c>
      <c r="C41" s="10" t="s">
        <v>66</v>
      </c>
      <c r="D41" s="14">
        <v>1.9551016E7</v>
      </c>
      <c r="E41" s="10" t="s">
        <v>1054</v>
      </c>
      <c r="F41" s="10" t="s">
        <v>743</v>
      </c>
      <c r="G41" s="13" t="s">
        <v>1055</v>
      </c>
      <c r="H41" s="15" t="s">
        <v>1056</v>
      </c>
      <c r="I41" s="10" t="s">
        <v>106</v>
      </c>
      <c r="J41" s="10" t="s">
        <v>1057</v>
      </c>
      <c r="K41" s="10"/>
      <c r="L41" s="10">
        <v>2.603508567E9</v>
      </c>
      <c r="M41" s="10" t="s">
        <v>1059</v>
      </c>
      <c r="N41" s="10" t="s">
        <v>1061</v>
      </c>
      <c r="O41" s="10"/>
      <c r="P41" s="10"/>
      <c r="Q41" s="10" t="s">
        <v>132</v>
      </c>
      <c r="R41" s="10"/>
      <c r="S41" s="10" t="s">
        <v>1064</v>
      </c>
      <c r="T41" s="10"/>
      <c r="U41" s="10" t="s">
        <v>322</v>
      </c>
      <c r="V41" s="10" t="s">
        <v>431</v>
      </c>
      <c r="W41" s="10" t="s">
        <v>56</v>
      </c>
      <c r="X41" s="18">
        <f>COUNTIF('간병인배정'!$B:$B,$A41)</f>
        <v>1</v>
      </c>
      <c r="Y41" s="18">
        <f>SUMIF('간병비지급'!$B:$B,$A41,'간병비지급'!$I:$I)</f>
        <v>1680000</v>
      </c>
      <c r="Z41" s="18">
        <f>COUNTIF('보험청구'!$B:$B,$A41)</f>
        <v>2</v>
      </c>
      <c r="AA41" s="18">
        <f>COUNTIFS('보험청구'!$B:$B,$A41,'보험청구'!$J:$J,"미확인")</f>
        <v>0</v>
      </c>
      <c r="AB41" s="18">
        <f>SUMIF('보험청구'!$B:$B,$A41,'보험청구'!$I:$I)</f>
        <v>1620000</v>
      </c>
      <c r="AC41" s="18">
        <f>SUMIF('보험청구'!$B:$B,$A41,'보험청구'!$L:$L)</f>
        <v>0</v>
      </c>
      <c r="AD41" s="30">
        <v>46148.0</v>
      </c>
      <c r="AE41" s="30">
        <v>46160.0</v>
      </c>
      <c r="AF41" s="10">
        <f t="shared" si="1"/>
        <v>123</v>
      </c>
      <c r="AG41" s="10" t="str">
        <f t="shared" si="2"/>
        <v>정상</v>
      </c>
      <c r="AH41" s="25"/>
      <c r="AI41" s="10"/>
      <c r="AJ41" s="10"/>
    </row>
    <row r="42" ht="15.75" customHeight="1">
      <c r="A42" s="10" t="s">
        <v>628</v>
      </c>
      <c r="B42" s="13" t="s">
        <v>1102</v>
      </c>
      <c r="C42" s="10"/>
      <c r="D42" s="14">
        <v>1.9500911E7</v>
      </c>
      <c r="E42" s="10" t="s">
        <v>1103</v>
      </c>
      <c r="F42" s="10" t="s">
        <v>1104</v>
      </c>
      <c r="G42" s="13" t="s">
        <v>1105</v>
      </c>
      <c r="H42" s="15"/>
      <c r="I42" s="10" t="s">
        <v>106</v>
      </c>
      <c r="J42" s="10" t="s">
        <v>1106</v>
      </c>
      <c r="K42" s="10"/>
      <c r="L42" s="10">
        <v>2.603642834E9</v>
      </c>
      <c r="M42" s="10" t="s">
        <v>1108</v>
      </c>
      <c r="N42" s="10" t="s">
        <v>1109</v>
      </c>
      <c r="O42" s="10"/>
      <c r="P42" s="10"/>
      <c r="Q42" s="10"/>
      <c r="R42" s="10"/>
      <c r="S42" s="10" t="s">
        <v>582</v>
      </c>
      <c r="T42" s="10"/>
      <c r="U42" s="10" t="s">
        <v>322</v>
      </c>
      <c r="V42" s="10" t="s">
        <v>314</v>
      </c>
      <c r="W42" s="10" t="s">
        <v>56</v>
      </c>
      <c r="X42" s="18">
        <f>COUNTIF('간병인배정'!$B:$B,$A42)</f>
        <v>1</v>
      </c>
      <c r="Y42" s="18">
        <f>SUMIF('간병비지급'!$B:$B,$A42,'간병비지급'!$I:$I)</f>
        <v>4640000</v>
      </c>
      <c r="Z42" s="18">
        <f>COUNTIF('보험청구'!$B:$B,$A42)</f>
        <v>3</v>
      </c>
      <c r="AA42" s="18">
        <f>COUNTIFS('보험청구'!$B:$B,$A42,'보험청구'!$J:$J,"미확인")</f>
        <v>0</v>
      </c>
      <c r="AB42" s="18">
        <f>SUMIF('보험청구'!$B:$B,$A42,'보험청구'!$I:$I)</f>
        <v>4901000</v>
      </c>
      <c r="AC42" s="18">
        <f>SUMIF('보험청구'!$B:$B,$A42,'보험청구'!$L:$L)</f>
        <v>0</v>
      </c>
      <c r="AD42" s="30">
        <v>46112.0</v>
      </c>
      <c r="AE42" s="30">
        <v>46141.0</v>
      </c>
      <c r="AF42" s="10">
        <f t="shared" si="1"/>
        <v>142</v>
      </c>
      <c r="AG42" s="10" t="str">
        <f t="shared" si="2"/>
        <v>정상</v>
      </c>
      <c r="AH42" s="25" t="s">
        <v>1124</v>
      </c>
      <c r="AI42" s="10"/>
      <c r="AJ42" s="10"/>
    </row>
    <row r="43" ht="15.75" customHeight="1">
      <c r="A43" s="10" t="s">
        <v>641</v>
      </c>
      <c r="B43" s="13" t="s">
        <v>1125</v>
      </c>
      <c r="C43" s="10"/>
      <c r="D43" s="14">
        <v>1.942052E7</v>
      </c>
      <c r="E43" s="10" t="s">
        <v>1129</v>
      </c>
      <c r="F43" s="10" t="s">
        <v>126</v>
      </c>
      <c r="G43" s="13" t="s">
        <v>1131</v>
      </c>
      <c r="H43" s="15" t="s">
        <v>1133</v>
      </c>
      <c r="I43" s="10" t="s">
        <v>106</v>
      </c>
      <c r="J43" s="10" t="s">
        <v>1136</v>
      </c>
      <c r="K43" s="10"/>
      <c r="L43" s="10">
        <v>2.603840487E9</v>
      </c>
      <c r="M43" s="10" t="s">
        <v>1138</v>
      </c>
      <c r="N43" s="10" t="s">
        <v>1139</v>
      </c>
      <c r="O43" s="10"/>
      <c r="P43" s="10"/>
      <c r="Q43" s="10" t="s">
        <v>132</v>
      </c>
      <c r="R43" s="10"/>
      <c r="S43" s="10" t="s">
        <v>1140</v>
      </c>
      <c r="T43" s="10"/>
      <c r="U43" s="10" t="s">
        <v>322</v>
      </c>
      <c r="V43" s="10" t="s">
        <v>314</v>
      </c>
      <c r="W43" s="10" t="s">
        <v>56</v>
      </c>
      <c r="X43" s="18">
        <f>COUNTIF('간병인배정'!$B:$B,$A43)</f>
        <v>1</v>
      </c>
      <c r="Y43" s="18">
        <f>SUMIF('간병비지급'!$B:$B,$A43,'간병비지급'!$I:$I)</f>
        <v>35000</v>
      </c>
      <c r="Z43" s="18">
        <f>COUNTIF('보험청구'!$B:$B,$A43)</f>
        <v>0</v>
      </c>
      <c r="AA43" s="18">
        <f>COUNTIFS('보험청구'!$B:$B,$A43,'보험청구'!$J:$J,"미확인")</f>
        <v>0</v>
      </c>
      <c r="AB43" s="18">
        <f>SUMIF('보험청구'!$B:$B,$A43,'보험청구'!$I:$I)</f>
        <v>0</v>
      </c>
      <c r="AC43" s="18">
        <f>SUMIF('보험청구'!$B:$B,$A43,'보험청구'!$L:$L)</f>
        <v>0</v>
      </c>
      <c r="AD43" s="30">
        <v>46113.0</v>
      </c>
      <c r="AE43" s="10"/>
      <c r="AF43" s="10" t="str">
        <f t="shared" si="1"/>
        <v/>
      </c>
      <c r="AG43" s="10" t="str">
        <f t="shared" si="2"/>
        <v>미청구(완료·무청구)</v>
      </c>
      <c r="AH43" s="42" t="s">
        <v>1159</v>
      </c>
      <c r="AI43" s="10"/>
      <c r="AJ43" s="10"/>
    </row>
    <row r="44" ht="15.75" customHeight="1">
      <c r="A44" s="10" t="s">
        <v>652</v>
      </c>
      <c r="B44" s="13" t="s">
        <v>1125</v>
      </c>
      <c r="C44" s="10"/>
      <c r="D44" s="14">
        <v>1.942052E7</v>
      </c>
      <c r="E44" s="10" t="s">
        <v>1129</v>
      </c>
      <c r="F44" s="10" t="s">
        <v>126</v>
      </c>
      <c r="G44" s="13" t="s">
        <v>1131</v>
      </c>
      <c r="H44" s="15" t="s">
        <v>1133</v>
      </c>
      <c r="I44" s="10" t="s">
        <v>106</v>
      </c>
      <c r="J44" s="10" t="s">
        <v>1136</v>
      </c>
      <c r="K44" s="10"/>
      <c r="L44" s="10">
        <v>2.603840487E9</v>
      </c>
      <c r="M44" s="10" t="s">
        <v>1138</v>
      </c>
      <c r="N44" s="10" t="s">
        <v>1139</v>
      </c>
      <c r="O44" s="10"/>
      <c r="P44" s="10"/>
      <c r="Q44" s="10" t="s">
        <v>132</v>
      </c>
      <c r="R44" s="10"/>
      <c r="S44" s="10" t="s">
        <v>1140</v>
      </c>
      <c r="T44" s="10"/>
      <c r="U44" s="10" t="s">
        <v>322</v>
      </c>
      <c r="V44" s="10"/>
      <c r="W44" s="10" t="s">
        <v>56</v>
      </c>
      <c r="X44" s="18">
        <f>COUNTIF('간병인배정'!$B:$B,$A44)</f>
        <v>1</v>
      </c>
      <c r="Y44" s="18">
        <f>SUMIF('간병비지급'!$B:$B,$A44,'간병비지급'!$I:$I)</f>
        <v>1080000</v>
      </c>
      <c r="Z44" s="18">
        <f>COUNTIF('보험청구'!$B:$B,$A44)</f>
        <v>1</v>
      </c>
      <c r="AA44" s="18">
        <f>COUNTIFS('보험청구'!$B:$B,$A44,'보험청구'!$J:$J,"미확인")</f>
        <v>0</v>
      </c>
      <c r="AB44" s="18">
        <f>SUMIF('보험청구'!$B:$B,$A44,'보험청구'!$I:$I)</f>
        <v>1440000</v>
      </c>
      <c r="AC44" s="18">
        <f>SUMIF('보험청구'!$B:$B,$A44,'보험청구'!$L:$L)</f>
        <v>0</v>
      </c>
      <c r="AD44" s="30">
        <v>46114.0</v>
      </c>
      <c r="AE44" s="30">
        <v>46122.0</v>
      </c>
      <c r="AF44" s="10">
        <f t="shared" si="1"/>
        <v>161</v>
      </c>
      <c r="AG44" s="10" t="str">
        <f t="shared" si="2"/>
        <v>정상</v>
      </c>
      <c r="AH44" s="25"/>
      <c r="AI44" s="10"/>
      <c r="AJ44" s="10"/>
    </row>
    <row r="45" ht="15.75" customHeight="1">
      <c r="A45" s="10" t="s">
        <v>662</v>
      </c>
      <c r="B45" s="13" t="s">
        <v>1189</v>
      </c>
      <c r="C45" s="10" t="s">
        <v>66</v>
      </c>
      <c r="D45" s="14">
        <v>1.9580111E7</v>
      </c>
      <c r="E45" s="10" t="s">
        <v>1190</v>
      </c>
      <c r="F45" s="10" t="s">
        <v>391</v>
      </c>
      <c r="G45" s="13" t="s">
        <v>1191</v>
      </c>
      <c r="H45" s="15" t="s">
        <v>1192</v>
      </c>
      <c r="I45" s="10" t="s">
        <v>106</v>
      </c>
      <c r="J45" s="10" t="s">
        <v>1193</v>
      </c>
      <c r="K45" s="10"/>
      <c r="L45" s="10">
        <v>2.603840765E9</v>
      </c>
      <c r="M45" s="10" t="s">
        <v>1108</v>
      </c>
      <c r="N45" s="10" t="s">
        <v>1109</v>
      </c>
      <c r="O45" s="10"/>
      <c r="P45" s="10"/>
      <c r="Q45" s="10" t="s">
        <v>132</v>
      </c>
      <c r="R45" s="10"/>
      <c r="S45" s="10" t="s">
        <v>1140</v>
      </c>
      <c r="T45" s="10"/>
      <c r="U45" s="10" t="s">
        <v>322</v>
      </c>
      <c r="V45" s="10" t="s">
        <v>497</v>
      </c>
      <c r="W45" s="10" t="s">
        <v>56</v>
      </c>
      <c r="X45" s="18">
        <f>COUNTIF('간병인배정'!$B:$B,$A45)</f>
        <v>1</v>
      </c>
      <c r="Y45" s="18">
        <f>SUMIF('간병비지급'!$B:$B,$A45,'간병비지급'!$I:$I)</f>
        <v>650000</v>
      </c>
      <c r="Z45" s="18">
        <f>COUNTIF('보험청구'!$B:$B,$A45)</f>
        <v>1</v>
      </c>
      <c r="AA45" s="18">
        <f>COUNTIFS('보험청구'!$B:$B,$A45,'보험청구'!$J:$J,"미확인")</f>
        <v>0</v>
      </c>
      <c r="AB45" s="18">
        <f>SUMIF('보험청구'!$B:$B,$A45,'보험청구'!$I:$I)</f>
        <v>864000</v>
      </c>
      <c r="AC45" s="18">
        <f>SUMIF('보험청구'!$B:$B,$A45,'보험청구'!$L:$L)</f>
        <v>0</v>
      </c>
      <c r="AD45" s="30">
        <v>46113.0</v>
      </c>
      <c r="AE45" s="30">
        <v>46118.0</v>
      </c>
      <c r="AF45" s="10">
        <f t="shared" si="1"/>
        <v>165</v>
      </c>
      <c r="AG45" s="10" t="str">
        <f t="shared" si="2"/>
        <v>정상</v>
      </c>
      <c r="AH45" s="25" t="s">
        <v>1213</v>
      </c>
      <c r="AI45" s="10"/>
      <c r="AJ45" s="10"/>
    </row>
    <row r="46" ht="15.75" customHeight="1">
      <c r="A46" s="10" t="s">
        <v>673</v>
      </c>
      <c r="B46" s="13" t="s">
        <v>1214</v>
      </c>
      <c r="C46" s="10" t="s">
        <v>66</v>
      </c>
      <c r="D46" s="14">
        <v>2.0200711E7</v>
      </c>
      <c r="E46" s="10" t="s">
        <v>1215</v>
      </c>
      <c r="F46" s="10" t="s">
        <v>168</v>
      </c>
      <c r="G46" s="13" t="s">
        <v>1216</v>
      </c>
      <c r="H46" s="15" t="s">
        <v>1217</v>
      </c>
      <c r="I46" s="10" t="s">
        <v>106</v>
      </c>
      <c r="J46" s="10" t="s">
        <v>1218</v>
      </c>
      <c r="K46" s="10"/>
      <c r="L46" s="10">
        <v>2.603937295E9</v>
      </c>
      <c r="M46" s="10" t="s">
        <v>1220</v>
      </c>
      <c r="N46" s="10" t="s">
        <v>1221</v>
      </c>
      <c r="O46" s="10"/>
      <c r="P46" s="10"/>
      <c r="Q46" s="10" t="s">
        <v>132</v>
      </c>
      <c r="R46" s="10"/>
      <c r="S46" s="10" t="s">
        <v>1140</v>
      </c>
      <c r="T46" s="10"/>
      <c r="U46" s="10" t="s">
        <v>322</v>
      </c>
      <c r="V46" s="10" t="s">
        <v>1225</v>
      </c>
      <c r="W46" s="10" t="s">
        <v>56</v>
      </c>
      <c r="X46" s="18">
        <f>COUNTIF('간병인배정'!$B:$B,$A46)</f>
        <v>1</v>
      </c>
      <c r="Y46" s="18">
        <f>SUMIF('간병비지급'!$B:$B,$A46,'간병비지급'!$I:$I)</f>
        <v>280000</v>
      </c>
      <c r="Z46" s="18">
        <f>COUNTIF('보험청구'!$B:$B,$A46)</f>
        <v>1</v>
      </c>
      <c r="AA46" s="18">
        <f>COUNTIFS('보험청구'!$B:$B,$A46,'보험청구'!$J:$J,"미확인")</f>
        <v>0</v>
      </c>
      <c r="AB46" s="18">
        <f>SUMIF('보험청구'!$B:$B,$A46,'보험청구'!$I:$I)</f>
        <v>270000</v>
      </c>
      <c r="AC46" s="18">
        <f>SUMIF('보험청구'!$B:$B,$A46,'보험청구'!$L:$L)</f>
        <v>0</v>
      </c>
      <c r="AD46" s="30">
        <v>46104.0</v>
      </c>
      <c r="AE46" s="30">
        <v>46115.0</v>
      </c>
      <c r="AF46" s="10">
        <f t="shared" si="1"/>
        <v>168</v>
      </c>
      <c r="AG46" s="10" t="str">
        <f t="shared" si="2"/>
        <v>정상</v>
      </c>
      <c r="AH46" s="25"/>
      <c r="AI46" s="10"/>
      <c r="AJ46" s="10"/>
    </row>
    <row r="47" ht="15.75" customHeight="1">
      <c r="A47" s="10" t="s">
        <v>683</v>
      </c>
      <c r="B47" s="13" t="s">
        <v>1246</v>
      </c>
      <c r="C47" s="10" t="s">
        <v>212</v>
      </c>
      <c r="D47" s="14">
        <v>2.0200711E7</v>
      </c>
      <c r="E47" s="10" t="s">
        <v>1215</v>
      </c>
      <c r="F47" s="10" t="s">
        <v>168</v>
      </c>
      <c r="G47" s="13" t="s">
        <v>1216</v>
      </c>
      <c r="H47" s="15" t="s">
        <v>1217</v>
      </c>
      <c r="I47" s="10" t="s">
        <v>106</v>
      </c>
      <c r="J47" s="10" t="s">
        <v>1248</v>
      </c>
      <c r="K47" s="10"/>
      <c r="L47" s="10">
        <v>2.603936388E9</v>
      </c>
      <c r="M47" s="10" t="s">
        <v>1249</v>
      </c>
      <c r="N47" s="10" t="s">
        <v>1250</v>
      </c>
      <c r="O47" s="10"/>
      <c r="P47" s="10"/>
      <c r="Q47" s="10" t="s">
        <v>132</v>
      </c>
      <c r="R47" s="10"/>
      <c r="S47" s="10" t="s">
        <v>1140</v>
      </c>
      <c r="T47" s="10"/>
      <c r="U47" s="10" t="s">
        <v>322</v>
      </c>
      <c r="V47" s="10" t="s">
        <v>1225</v>
      </c>
      <c r="W47" s="10" t="s">
        <v>56</v>
      </c>
      <c r="X47" s="18">
        <f>COUNTIF('간병인배정'!$B:$B,$A47)</f>
        <v>1</v>
      </c>
      <c r="Y47" s="18">
        <f>SUMIF('간병비지급'!$B:$B,$A47,'간병비지급'!$I:$I)</f>
        <v>280000</v>
      </c>
      <c r="Z47" s="18">
        <f>COUNTIF('보험청구'!$B:$B,$A47)</f>
        <v>1</v>
      </c>
      <c r="AA47" s="18">
        <f>COUNTIFS('보험청구'!$B:$B,$A47,'보험청구'!$J:$J,"미확인")</f>
        <v>0</v>
      </c>
      <c r="AB47" s="18">
        <f>SUMIF('보험청구'!$B:$B,$A47,'보험청구'!$I:$I)</f>
        <v>270000</v>
      </c>
      <c r="AC47" s="18">
        <f>SUMIF('보험청구'!$B:$B,$A47,'보험청구'!$L:$L)</f>
        <v>0</v>
      </c>
      <c r="AD47" s="30">
        <v>46104.0</v>
      </c>
      <c r="AE47" s="30">
        <v>46115.0</v>
      </c>
      <c r="AF47" s="10">
        <f t="shared" si="1"/>
        <v>168</v>
      </c>
      <c r="AG47" s="10" t="str">
        <f t="shared" si="2"/>
        <v>정상</v>
      </c>
      <c r="AH47" s="25" t="s">
        <v>464</v>
      </c>
      <c r="AI47" s="10"/>
      <c r="AJ47" s="10"/>
    </row>
    <row r="48" ht="15.75" customHeight="1">
      <c r="A48" s="10" t="s">
        <v>1271</v>
      </c>
      <c r="B48" s="13" t="s">
        <v>1272</v>
      </c>
      <c r="C48" s="10" t="s">
        <v>66</v>
      </c>
      <c r="D48" s="14">
        <v>1.9490429E7</v>
      </c>
      <c r="E48" s="10" t="s">
        <v>1273</v>
      </c>
      <c r="F48" s="10" t="s">
        <v>1274</v>
      </c>
      <c r="G48" s="13" t="s">
        <v>601</v>
      </c>
      <c r="H48" s="15" t="s">
        <v>1275</v>
      </c>
      <c r="I48" s="10" t="s">
        <v>106</v>
      </c>
      <c r="J48" s="10" t="s">
        <v>1276</v>
      </c>
      <c r="K48" s="10"/>
      <c r="L48" s="10">
        <v>2.601610431E9</v>
      </c>
      <c r="M48" s="10" t="s">
        <v>1278</v>
      </c>
      <c r="N48" s="10" t="s">
        <v>1279</v>
      </c>
      <c r="O48" s="10"/>
      <c r="P48" s="10"/>
      <c r="Q48" s="10" t="s">
        <v>77</v>
      </c>
      <c r="R48" s="10"/>
      <c r="S48" s="10" t="s">
        <v>1281</v>
      </c>
      <c r="T48" s="10"/>
      <c r="U48" s="10" t="s">
        <v>322</v>
      </c>
      <c r="V48" s="10" t="s">
        <v>314</v>
      </c>
      <c r="W48" s="10" t="s">
        <v>178</v>
      </c>
      <c r="X48" s="18">
        <f>COUNTIF('간병인배정'!$B:$B,$A48)</f>
        <v>0</v>
      </c>
      <c r="Y48" s="18">
        <f>SUMIF('간병비지급'!$B:$B,$A48,'간병비지급'!$I:$I)</f>
        <v>0</v>
      </c>
      <c r="Z48" s="18">
        <f>COUNTIF('보험청구'!$B:$B,$A48)</f>
        <v>0</v>
      </c>
      <c r="AA48" s="18">
        <f>COUNTIFS('보험청구'!$B:$B,$A48,'보험청구'!$J:$J,"미확인")</f>
        <v>0</v>
      </c>
      <c r="AB48" s="18">
        <f>SUMIF('보험청구'!$B:$B,$A48,'보험청구'!$I:$I)</f>
        <v>0</v>
      </c>
      <c r="AC48" s="18">
        <f>SUMIF('보험청구'!$B:$B,$A48,'보험청구'!$L:$L)</f>
        <v>0</v>
      </c>
      <c r="AD48" s="30">
        <v>46113.0</v>
      </c>
      <c r="AE48" s="10"/>
      <c r="AF48" s="10" t="str">
        <f t="shared" si="1"/>
        <v/>
      </c>
      <c r="AG48" s="10" t="str">
        <f t="shared" si="2"/>
        <v>제외</v>
      </c>
      <c r="AH48" s="25" t="s">
        <v>464</v>
      </c>
      <c r="AI48" s="10"/>
      <c r="AJ48" s="10"/>
    </row>
    <row r="49" ht="15.75" customHeight="1">
      <c r="A49" s="10" t="s">
        <v>692</v>
      </c>
      <c r="B49" s="13" t="s">
        <v>1300</v>
      </c>
      <c r="C49" s="20" t="s">
        <v>212</v>
      </c>
      <c r="D49" s="14">
        <v>1.954052E7</v>
      </c>
      <c r="E49" s="10" t="s">
        <v>1301</v>
      </c>
      <c r="F49" s="10" t="s">
        <v>987</v>
      </c>
      <c r="G49" s="13" t="s">
        <v>988</v>
      </c>
      <c r="H49" s="15" t="s">
        <v>1303</v>
      </c>
      <c r="I49" s="10" t="s">
        <v>106</v>
      </c>
      <c r="J49" s="10" t="s">
        <v>1304</v>
      </c>
      <c r="K49" s="10"/>
      <c r="L49" s="10">
        <v>2.60393501E9</v>
      </c>
      <c r="M49" s="10" t="s">
        <v>1305</v>
      </c>
      <c r="N49" s="10" t="s">
        <v>1306</v>
      </c>
      <c r="O49" s="10"/>
      <c r="P49" s="10"/>
      <c r="Q49" s="10" t="s">
        <v>132</v>
      </c>
      <c r="R49" s="10"/>
      <c r="S49" s="10" t="s">
        <v>1308</v>
      </c>
      <c r="T49" s="10"/>
      <c r="U49" s="10" t="s">
        <v>322</v>
      </c>
      <c r="V49" s="10" t="s">
        <v>1225</v>
      </c>
      <c r="W49" s="10" t="s">
        <v>56</v>
      </c>
      <c r="X49" s="18">
        <f>COUNTIF('간병인배정'!$B:$B,$A49)</f>
        <v>1</v>
      </c>
      <c r="Y49" s="18">
        <f>SUMIF('간병비지급'!$B:$B,$A49,'간병비지급'!$I:$I)</f>
        <v>2160000</v>
      </c>
      <c r="Z49" s="18">
        <f>COUNTIF('보험청구'!$B:$B,$A49)</f>
        <v>1</v>
      </c>
      <c r="AA49" s="18">
        <f>COUNTIFS('보험청구'!$B:$B,$A49,'보험청구'!$J:$J,"미확인")</f>
        <v>0</v>
      </c>
      <c r="AB49" s="18">
        <f>SUMIF('보험청구'!$B:$B,$A49,'보험청구'!$I:$I)</f>
        <v>2304000</v>
      </c>
      <c r="AC49" s="18">
        <f>SUMIF('보험청구'!$B:$B,$A49,'보험청구'!$L:$L)</f>
        <v>0</v>
      </c>
      <c r="AD49" s="30">
        <v>46113.0</v>
      </c>
      <c r="AE49" s="30">
        <v>46129.0</v>
      </c>
      <c r="AF49" s="10">
        <f t="shared" si="1"/>
        <v>154</v>
      </c>
      <c r="AG49" s="10" t="str">
        <f t="shared" si="2"/>
        <v>정상</v>
      </c>
      <c r="AH49" s="25" t="s">
        <v>1321</v>
      </c>
      <c r="AI49" s="10"/>
      <c r="AJ49" s="10"/>
    </row>
    <row r="50" ht="15.75" customHeight="1">
      <c r="A50" s="10" t="s">
        <v>707</v>
      </c>
      <c r="B50" s="13" t="s">
        <v>1322</v>
      </c>
      <c r="C50" s="20" t="s">
        <v>212</v>
      </c>
      <c r="D50" s="14">
        <v>1.9581021E7</v>
      </c>
      <c r="E50" s="10" t="s">
        <v>1323</v>
      </c>
      <c r="F50" s="10" t="s">
        <v>987</v>
      </c>
      <c r="G50" s="13" t="s">
        <v>1324</v>
      </c>
      <c r="H50" s="15" t="s">
        <v>1325</v>
      </c>
      <c r="I50" s="10" t="s">
        <v>106</v>
      </c>
      <c r="J50" s="10" t="s">
        <v>1326</v>
      </c>
      <c r="K50" s="10"/>
      <c r="L50" s="10">
        <v>2.603794472E9</v>
      </c>
      <c r="M50" s="10" t="s">
        <v>1327</v>
      </c>
      <c r="N50" s="10" t="s">
        <v>1328</v>
      </c>
      <c r="O50" s="10"/>
      <c r="P50" s="10"/>
      <c r="Q50" s="10" t="s">
        <v>77</v>
      </c>
      <c r="R50" s="10"/>
      <c r="S50" s="10" t="s">
        <v>1308</v>
      </c>
      <c r="T50" s="10"/>
      <c r="U50" s="10" t="s">
        <v>322</v>
      </c>
      <c r="V50" s="10" t="s">
        <v>314</v>
      </c>
      <c r="W50" s="10" t="s">
        <v>56</v>
      </c>
      <c r="X50" s="18">
        <f>COUNTIF('간병인배정'!$B:$B,$A50)</f>
        <v>1</v>
      </c>
      <c r="Y50" s="18">
        <f>SUMIF('간병비지급'!$B:$B,$A50,'간병비지급'!$I:$I)</f>
        <v>280000</v>
      </c>
      <c r="Z50" s="18">
        <f>COUNTIF('보험청구'!$B:$B,$A50)</f>
        <v>1</v>
      </c>
      <c r="AA50" s="18">
        <f>COUNTIFS('보험청구'!$B:$B,$A50,'보험청구'!$J:$J,"미확인")</f>
        <v>0</v>
      </c>
      <c r="AB50" s="18">
        <f>SUMIF('보험청구'!$B:$B,$A50,'보험청구'!$I:$I)</f>
        <v>288000</v>
      </c>
      <c r="AC50" s="18">
        <f>SUMIF('보험청구'!$B:$B,$A50,'보험청구'!$L:$L)</f>
        <v>0</v>
      </c>
      <c r="AD50" s="30">
        <v>46113.0</v>
      </c>
      <c r="AE50" s="30">
        <v>46115.0</v>
      </c>
      <c r="AF50" s="10">
        <f t="shared" si="1"/>
        <v>168</v>
      </c>
      <c r="AG50" s="10" t="str">
        <f t="shared" si="2"/>
        <v>정상</v>
      </c>
      <c r="AH50" s="25" t="s">
        <v>512</v>
      </c>
      <c r="AI50" s="10"/>
      <c r="AJ50" s="10"/>
    </row>
    <row r="51" ht="15.75" customHeight="1">
      <c r="A51" s="10" t="s">
        <v>718</v>
      </c>
      <c r="B51" s="13" t="s">
        <v>1347</v>
      </c>
      <c r="C51" s="10"/>
      <c r="D51" s="14">
        <v>1.953091E7</v>
      </c>
      <c r="E51" s="10" t="s">
        <v>1348</v>
      </c>
      <c r="F51" s="10" t="s">
        <v>467</v>
      </c>
      <c r="G51" s="13" t="s">
        <v>468</v>
      </c>
      <c r="H51" s="15" t="s">
        <v>1349</v>
      </c>
      <c r="I51" s="10" t="s">
        <v>106</v>
      </c>
      <c r="J51" s="10" t="s">
        <v>1350</v>
      </c>
      <c r="K51" s="10"/>
      <c r="L51" s="10" t="s">
        <v>1351</v>
      </c>
      <c r="M51" s="10" t="s">
        <v>1352</v>
      </c>
      <c r="N51" s="10" t="s">
        <v>1353</v>
      </c>
      <c r="O51" s="10"/>
      <c r="P51" s="10"/>
      <c r="Q51" s="10" t="s">
        <v>132</v>
      </c>
      <c r="R51" s="10"/>
      <c r="S51" s="10" t="s">
        <v>398</v>
      </c>
      <c r="T51" s="10"/>
      <c r="U51" s="10" t="s">
        <v>322</v>
      </c>
      <c r="V51" s="10" t="s">
        <v>1354</v>
      </c>
      <c r="W51" s="10" t="s">
        <v>56</v>
      </c>
      <c r="X51" s="18">
        <f>COUNTIF('간병인배정'!$B:$B,$A51)</f>
        <v>1</v>
      </c>
      <c r="Y51" s="18">
        <f>SUMIF('간병비지급'!$B:$B,$A51,'간병비지급'!$I:$I)</f>
        <v>945000</v>
      </c>
      <c r="Z51" s="18">
        <f>COUNTIF('보험청구'!$B:$B,$A51)</f>
        <v>1</v>
      </c>
      <c r="AA51" s="18">
        <f>COUNTIFS('보험청구'!$B:$B,$A51,'보험청구'!$J:$J,"미확인")</f>
        <v>0</v>
      </c>
      <c r="AB51" s="18">
        <f>SUMIF('보험청구'!$B:$B,$A51,'보험청구'!$I:$I)</f>
        <v>1008000</v>
      </c>
      <c r="AC51" s="18">
        <f>SUMIF('보험청구'!$B:$B,$A51,'보험청구'!$L:$L)</f>
        <v>0</v>
      </c>
      <c r="AD51" s="30">
        <v>46106.0</v>
      </c>
      <c r="AE51" s="30">
        <v>46120.0</v>
      </c>
      <c r="AF51" s="10">
        <f t="shared" si="1"/>
        <v>163</v>
      </c>
      <c r="AG51" s="10" t="str">
        <f t="shared" si="2"/>
        <v>정상</v>
      </c>
      <c r="AH51" s="25" t="s">
        <v>512</v>
      </c>
      <c r="AI51" s="10"/>
      <c r="AJ51" s="10"/>
    </row>
    <row r="52" ht="15.75" customHeight="1">
      <c r="A52" s="10" t="s">
        <v>727</v>
      </c>
      <c r="B52" s="13" t="s">
        <v>1347</v>
      </c>
      <c r="C52" s="10"/>
      <c r="D52" s="14">
        <v>1.953091E7</v>
      </c>
      <c r="E52" s="10" t="s">
        <v>1348</v>
      </c>
      <c r="F52" s="10" t="s">
        <v>467</v>
      </c>
      <c r="G52" s="13" t="s">
        <v>468</v>
      </c>
      <c r="H52" s="15" t="s">
        <v>1371</v>
      </c>
      <c r="I52" s="10" t="s">
        <v>106</v>
      </c>
      <c r="J52" s="10" t="s">
        <v>1350</v>
      </c>
      <c r="K52" s="10"/>
      <c r="L52" s="10" t="s">
        <v>1351</v>
      </c>
      <c r="M52" s="10" t="s">
        <v>1352</v>
      </c>
      <c r="N52" s="10" t="s">
        <v>1353</v>
      </c>
      <c r="O52" s="10"/>
      <c r="P52" s="10"/>
      <c r="Q52" s="10" t="s">
        <v>132</v>
      </c>
      <c r="R52" s="10"/>
      <c r="S52" s="10" t="s">
        <v>398</v>
      </c>
      <c r="T52" s="10"/>
      <c r="U52" s="10" t="s">
        <v>322</v>
      </c>
      <c r="V52" s="10" t="s">
        <v>1354</v>
      </c>
      <c r="W52" s="10" t="s">
        <v>56</v>
      </c>
      <c r="X52" s="18">
        <f>COUNTIF('간병인배정'!$B:$B,$A52)</f>
        <v>1</v>
      </c>
      <c r="Y52" s="18">
        <f>SUMIF('간병비지급'!$B:$B,$A52,'간병비지급'!$I:$I)</f>
        <v>810000</v>
      </c>
      <c r="Z52" s="18">
        <f>COUNTIF('보험청구'!$B:$B,$A52)</f>
        <v>1</v>
      </c>
      <c r="AA52" s="18">
        <f>COUNTIFS('보험청구'!$B:$B,$A52,'보험청구'!$J:$J,"미확인")</f>
        <v>0</v>
      </c>
      <c r="AB52" s="18">
        <f>SUMIF('보험청구'!$B:$B,$A52,'보험청구'!$I:$I)</f>
        <v>864000</v>
      </c>
      <c r="AC52" s="18">
        <f>SUMIF('보험청구'!$B:$B,$A52,'보험청구'!$L:$L)</f>
        <v>0</v>
      </c>
      <c r="AD52" s="30">
        <v>46120.0</v>
      </c>
      <c r="AE52" s="30">
        <v>46126.0</v>
      </c>
      <c r="AF52" s="10">
        <f t="shared" si="1"/>
        <v>157</v>
      </c>
      <c r="AG52" s="10" t="str">
        <f t="shared" si="2"/>
        <v>정상</v>
      </c>
      <c r="AH52" s="25" t="s">
        <v>1393</v>
      </c>
      <c r="AI52" s="10"/>
      <c r="AJ52" s="10"/>
    </row>
    <row r="53" ht="15.75" customHeight="1">
      <c r="A53" s="10" t="s">
        <v>735</v>
      </c>
      <c r="B53" s="13" t="s">
        <v>1347</v>
      </c>
      <c r="C53" s="10"/>
      <c r="D53" s="14">
        <v>1.953091E7</v>
      </c>
      <c r="E53" s="10" t="s">
        <v>1348</v>
      </c>
      <c r="F53" s="10" t="s">
        <v>467</v>
      </c>
      <c r="G53" s="13" t="s">
        <v>468</v>
      </c>
      <c r="H53" s="15" t="s">
        <v>1349</v>
      </c>
      <c r="I53" s="10" t="s">
        <v>106</v>
      </c>
      <c r="J53" s="10" t="s">
        <v>1350</v>
      </c>
      <c r="K53" s="10"/>
      <c r="L53" s="10" t="s">
        <v>1351</v>
      </c>
      <c r="M53" s="10" t="s">
        <v>1352</v>
      </c>
      <c r="N53" s="10" t="s">
        <v>1353</v>
      </c>
      <c r="O53" s="10"/>
      <c r="P53" s="10"/>
      <c r="Q53" s="10" t="s">
        <v>132</v>
      </c>
      <c r="R53" s="10"/>
      <c r="S53" s="10" t="s">
        <v>398</v>
      </c>
      <c r="T53" s="10"/>
      <c r="U53" s="10" t="s">
        <v>322</v>
      </c>
      <c r="V53" s="10" t="s">
        <v>1354</v>
      </c>
      <c r="W53" s="10" t="s">
        <v>56</v>
      </c>
      <c r="X53" s="18">
        <f>COUNTIF('간병인배정'!$B:$B,$A53)</f>
        <v>1</v>
      </c>
      <c r="Y53" s="18">
        <f>SUMIF('간병비지급'!$B:$B,$A53,'간병비지급'!$I:$I)</f>
        <v>2160000</v>
      </c>
      <c r="Z53" s="18">
        <f>COUNTIF('보험청구'!$B:$B,$A53)</f>
        <v>2</v>
      </c>
      <c r="AA53" s="18">
        <f>COUNTIFS('보험청구'!$B:$B,$A53,'보험청구'!$J:$J,"미확인")</f>
        <v>0</v>
      </c>
      <c r="AB53" s="18">
        <f>SUMIF('보험청구'!$B:$B,$A53,'보험청구'!$I:$I)</f>
        <v>2304000</v>
      </c>
      <c r="AC53" s="18">
        <f>SUMIF('보험청구'!$B:$B,$A53,'보험청구'!$L:$L)</f>
        <v>0</v>
      </c>
      <c r="AD53" s="30">
        <v>46126.0</v>
      </c>
      <c r="AE53" s="30">
        <v>46142.0</v>
      </c>
      <c r="AF53" s="10">
        <f t="shared" si="1"/>
        <v>141</v>
      </c>
      <c r="AG53" s="10" t="str">
        <f t="shared" si="2"/>
        <v>정상</v>
      </c>
      <c r="AH53" s="25"/>
      <c r="AI53" s="10"/>
      <c r="AJ53" s="10"/>
    </row>
    <row r="54" ht="15.75" customHeight="1">
      <c r="A54" s="10" t="s">
        <v>754</v>
      </c>
      <c r="B54" s="13" t="s">
        <v>1347</v>
      </c>
      <c r="C54" s="10"/>
      <c r="D54" s="14">
        <v>1.953091E7</v>
      </c>
      <c r="E54" s="10" t="s">
        <v>1348</v>
      </c>
      <c r="F54" s="10" t="s">
        <v>467</v>
      </c>
      <c r="G54" s="13" t="s">
        <v>468</v>
      </c>
      <c r="H54" s="15" t="s">
        <v>1371</v>
      </c>
      <c r="I54" s="10" t="s">
        <v>106</v>
      </c>
      <c r="J54" s="10" t="s">
        <v>1350</v>
      </c>
      <c r="K54" s="10"/>
      <c r="L54" s="10" t="s">
        <v>1351</v>
      </c>
      <c r="M54" s="10" t="s">
        <v>1352</v>
      </c>
      <c r="N54" s="10" t="s">
        <v>1353</v>
      </c>
      <c r="O54" s="10"/>
      <c r="P54" s="10"/>
      <c r="Q54" s="10" t="s">
        <v>132</v>
      </c>
      <c r="R54" s="10"/>
      <c r="S54" s="10" t="s">
        <v>398</v>
      </c>
      <c r="T54" s="10"/>
      <c r="U54" s="10" t="s">
        <v>322</v>
      </c>
      <c r="V54" s="10" t="s">
        <v>1354</v>
      </c>
      <c r="W54" s="10" t="s">
        <v>56</v>
      </c>
      <c r="X54" s="18">
        <f>COUNTIF('간병인배정'!$B:$B,$A54)</f>
        <v>1</v>
      </c>
      <c r="Y54" s="18">
        <f>SUMIF('간병비지급'!$B:$B,$A54,'간병비지급'!$I:$I)</f>
        <v>2160000</v>
      </c>
      <c r="Z54" s="18">
        <f>COUNTIF('보험청구'!$B:$B,$A54)</f>
        <v>2</v>
      </c>
      <c r="AA54" s="18">
        <f>COUNTIFS('보험청구'!$B:$B,$A54,'보험청구'!$J:$J,"미확인")</f>
        <v>0</v>
      </c>
      <c r="AB54" s="18">
        <f>SUMIF('보험청구'!$B:$B,$A54,'보험청구'!$I:$I)</f>
        <v>2304000</v>
      </c>
      <c r="AC54" s="18">
        <f>SUMIF('보험청구'!$B:$B,$A54,'보험청구'!$L:$L)</f>
        <v>0</v>
      </c>
      <c r="AD54" s="30">
        <v>46143.0</v>
      </c>
      <c r="AE54" s="30">
        <v>46158.0</v>
      </c>
      <c r="AF54" s="10">
        <f t="shared" si="1"/>
        <v>125</v>
      </c>
      <c r="AG54" s="10" t="str">
        <f t="shared" si="2"/>
        <v>정상</v>
      </c>
      <c r="AH54" s="25"/>
      <c r="AI54" s="10"/>
      <c r="AJ54" s="10"/>
    </row>
    <row r="55" ht="15.75" customHeight="1">
      <c r="A55" s="10" t="s">
        <v>760</v>
      </c>
      <c r="B55" s="13" t="s">
        <v>1347</v>
      </c>
      <c r="C55" s="10"/>
      <c r="D55" s="14">
        <v>1.953091E7</v>
      </c>
      <c r="E55" s="10" t="s">
        <v>1348</v>
      </c>
      <c r="F55" s="10" t="s">
        <v>467</v>
      </c>
      <c r="G55" s="13" t="s">
        <v>468</v>
      </c>
      <c r="H55" s="15" t="s">
        <v>1436</v>
      </c>
      <c r="I55" s="10" t="s">
        <v>106</v>
      </c>
      <c r="J55" s="10" t="s">
        <v>1350</v>
      </c>
      <c r="K55" s="10"/>
      <c r="L55" s="10" t="s">
        <v>1351</v>
      </c>
      <c r="M55" s="10" t="s">
        <v>1352</v>
      </c>
      <c r="N55" s="10" t="s">
        <v>1353</v>
      </c>
      <c r="O55" s="10"/>
      <c r="P55" s="10"/>
      <c r="Q55" s="10" t="s">
        <v>132</v>
      </c>
      <c r="R55" s="10"/>
      <c r="S55" s="10" t="s">
        <v>398</v>
      </c>
      <c r="T55" s="10"/>
      <c r="U55" s="10" t="s">
        <v>322</v>
      </c>
      <c r="V55" s="10" t="s">
        <v>1354</v>
      </c>
      <c r="W55" s="10" t="s">
        <v>56</v>
      </c>
      <c r="X55" s="18">
        <f>COUNTIF('간병인배정'!$B:$B,$A55)</f>
        <v>1</v>
      </c>
      <c r="Y55" s="18">
        <f>SUMIF('간병비지급'!$B:$B,$A55,'간병비지급'!$I:$I)</f>
        <v>2160000</v>
      </c>
      <c r="Z55" s="18">
        <f>COUNTIF('보험청구'!$B:$B,$A55)</f>
        <v>2</v>
      </c>
      <c r="AA55" s="18">
        <f>COUNTIFS('보험청구'!$B:$B,$A55,'보험청구'!$J:$J,"미확인")</f>
        <v>0</v>
      </c>
      <c r="AB55" s="18">
        <f>SUMIF('보험청구'!$B:$B,$A55,'보험청구'!$I:$I)</f>
        <v>2304000</v>
      </c>
      <c r="AC55" s="18">
        <f>SUMIF('보험청구'!$B:$B,$A55,'보험청구'!$L:$L)</f>
        <v>0</v>
      </c>
      <c r="AD55" s="30">
        <v>46160.0</v>
      </c>
      <c r="AE55" s="30">
        <v>46175.0</v>
      </c>
      <c r="AF55" s="10">
        <f t="shared" si="1"/>
        <v>108</v>
      </c>
      <c r="AG55" s="10" t="str">
        <f t="shared" si="2"/>
        <v>정상</v>
      </c>
      <c r="AH55" s="25"/>
      <c r="AI55" s="10"/>
      <c r="AJ55" s="10"/>
    </row>
    <row r="56" ht="15.75" customHeight="1">
      <c r="A56" s="10" t="s">
        <v>768</v>
      </c>
      <c r="B56" s="13" t="s">
        <v>1347</v>
      </c>
      <c r="C56" s="10"/>
      <c r="D56" s="14">
        <v>1.953091E7</v>
      </c>
      <c r="E56" s="10" t="s">
        <v>1348</v>
      </c>
      <c r="F56" s="10" t="s">
        <v>467</v>
      </c>
      <c r="G56" s="13" t="s">
        <v>468</v>
      </c>
      <c r="H56" s="15" t="s">
        <v>1460</v>
      </c>
      <c r="I56" s="10" t="s">
        <v>106</v>
      </c>
      <c r="J56" s="10" t="s">
        <v>1350</v>
      </c>
      <c r="K56" s="10"/>
      <c r="L56" s="10" t="s">
        <v>1351</v>
      </c>
      <c r="M56" s="10" t="s">
        <v>1352</v>
      </c>
      <c r="N56" s="10" t="s">
        <v>1353</v>
      </c>
      <c r="O56" s="10"/>
      <c r="P56" s="10"/>
      <c r="Q56" s="10" t="s">
        <v>132</v>
      </c>
      <c r="R56" s="10"/>
      <c r="S56" s="10" t="s">
        <v>398</v>
      </c>
      <c r="T56" s="10"/>
      <c r="U56" s="10" t="s">
        <v>322</v>
      </c>
      <c r="V56" s="10" t="s">
        <v>1354</v>
      </c>
      <c r="W56" s="10" t="s">
        <v>56</v>
      </c>
      <c r="X56" s="18">
        <f>COUNTIF('간병인배정'!$B:$B,$A56)</f>
        <v>1</v>
      </c>
      <c r="Y56" s="18">
        <f>SUMIF('간병비지급'!$B:$B,$A56,'간병비지급'!$I:$I)</f>
        <v>2025000</v>
      </c>
      <c r="Z56" s="18">
        <f>COUNTIF('보험청구'!$B:$B,$A56)</f>
        <v>2</v>
      </c>
      <c r="AA56" s="18">
        <f>COUNTIFS('보험청구'!$B:$B,$A56,'보험청구'!$J:$J,"미확인")</f>
        <v>0</v>
      </c>
      <c r="AB56" s="18">
        <f>SUMIF('보험청구'!$B:$B,$A56,'보험청구'!$I:$I)</f>
        <v>2160000</v>
      </c>
      <c r="AC56" s="18">
        <f>SUMIF('보험청구'!$B:$B,$A56,'보험청구'!$L:$L)</f>
        <v>0</v>
      </c>
      <c r="AD56" s="30">
        <v>46177.0</v>
      </c>
      <c r="AE56" s="30">
        <v>46192.0</v>
      </c>
      <c r="AF56" s="10">
        <f t="shared" si="1"/>
        <v>91</v>
      </c>
      <c r="AG56" s="10" t="str">
        <f t="shared" si="2"/>
        <v>정상</v>
      </c>
      <c r="AH56" s="25"/>
      <c r="AI56" s="10"/>
      <c r="AJ56" s="10"/>
    </row>
    <row r="57" ht="15.75" customHeight="1">
      <c r="A57" s="10" t="s">
        <v>776</v>
      </c>
      <c r="B57" s="13" t="s">
        <v>1478</v>
      </c>
      <c r="C57" s="10"/>
      <c r="D57" s="14">
        <v>2.0180818E7</v>
      </c>
      <c r="E57" s="10" t="s">
        <v>1479</v>
      </c>
      <c r="F57" s="10" t="s">
        <v>467</v>
      </c>
      <c r="G57" s="13" t="s">
        <v>1480</v>
      </c>
      <c r="H57" s="15" t="s">
        <v>1481</v>
      </c>
      <c r="I57" s="10" t="s">
        <v>106</v>
      </c>
      <c r="J57" s="10" t="s">
        <v>1482</v>
      </c>
      <c r="K57" s="10"/>
      <c r="L57" s="10" t="s">
        <v>1483</v>
      </c>
      <c r="M57" s="10" t="s">
        <v>1484</v>
      </c>
      <c r="N57" s="10" t="s">
        <v>1486</v>
      </c>
      <c r="O57" s="10"/>
      <c r="P57" s="10"/>
      <c r="Q57" s="10" t="s">
        <v>132</v>
      </c>
      <c r="R57" s="10"/>
      <c r="S57" s="10" t="s">
        <v>1487</v>
      </c>
      <c r="T57" s="10"/>
      <c r="U57" s="10" t="s">
        <v>322</v>
      </c>
      <c r="V57" s="10" t="s">
        <v>1225</v>
      </c>
      <c r="W57" s="10" t="s">
        <v>56</v>
      </c>
      <c r="X57" s="18">
        <f>COUNTIF('간병인배정'!$B:$B,$A57)</f>
        <v>1</v>
      </c>
      <c r="Y57" s="18">
        <f>SUMIF('간병비지급'!$B:$B,$A57,'간병비지급'!$I:$I)</f>
        <v>1215000</v>
      </c>
      <c r="Z57" s="18">
        <f>COUNTIF('보험청구'!$B:$B,$A57)</f>
        <v>1</v>
      </c>
      <c r="AA57" s="18">
        <f>COUNTIFS('보험청구'!$B:$B,$A57,'보험청구'!$J:$J,"미확인")</f>
        <v>0</v>
      </c>
      <c r="AB57" s="18">
        <f>SUMIF('보험청구'!$B:$B,$A57,'보험청구'!$I:$I)</f>
        <v>1296000</v>
      </c>
      <c r="AC57" s="18">
        <f>SUMIF('보험청구'!$B:$B,$A57,'보험청구'!$L:$L)</f>
        <v>0</v>
      </c>
      <c r="AD57" s="30">
        <v>46114.0</v>
      </c>
      <c r="AE57" s="30">
        <v>46122.0</v>
      </c>
      <c r="AF57" s="10">
        <f t="shared" si="1"/>
        <v>161</v>
      </c>
      <c r="AG57" s="10" t="str">
        <f t="shared" si="2"/>
        <v>정상</v>
      </c>
      <c r="AH57" s="25" t="s">
        <v>1040</v>
      </c>
      <c r="AI57" s="10"/>
      <c r="AJ57" s="10"/>
    </row>
    <row r="58" ht="15.75" customHeight="1">
      <c r="A58" s="10" t="s">
        <v>788</v>
      </c>
      <c r="B58" s="13" t="s">
        <v>1504</v>
      </c>
      <c r="C58" s="10" t="s">
        <v>66</v>
      </c>
      <c r="D58" s="14">
        <v>1.9500905E7</v>
      </c>
      <c r="E58" s="10" t="s">
        <v>1505</v>
      </c>
      <c r="F58" s="10" t="s">
        <v>69</v>
      </c>
      <c r="G58" s="13" t="s">
        <v>601</v>
      </c>
      <c r="H58" s="15" t="s">
        <v>1507</v>
      </c>
      <c r="I58" s="10" t="s">
        <v>106</v>
      </c>
      <c r="J58" s="10" t="s">
        <v>1509</v>
      </c>
      <c r="K58" s="10"/>
      <c r="L58" s="10" t="s">
        <v>1510</v>
      </c>
      <c r="M58" s="20" t="s">
        <v>1511</v>
      </c>
      <c r="N58" s="10" t="s">
        <v>1512</v>
      </c>
      <c r="O58" s="10"/>
      <c r="P58" s="10"/>
      <c r="Q58" s="10" t="s">
        <v>132</v>
      </c>
      <c r="R58" s="10"/>
      <c r="S58" s="10" t="s">
        <v>1514</v>
      </c>
      <c r="T58" s="10"/>
      <c r="U58" s="10" t="s">
        <v>322</v>
      </c>
      <c r="V58" s="10" t="s">
        <v>1515</v>
      </c>
      <c r="W58" s="10" t="s">
        <v>56</v>
      </c>
      <c r="X58" s="18">
        <f>COUNTIF('간병인배정'!$B:$B,$A58)</f>
        <v>1</v>
      </c>
      <c r="Y58" s="18">
        <f>SUMIF('간병비지급'!$B:$B,$A58,'간병비지급'!$I:$I)</f>
        <v>14795000</v>
      </c>
      <c r="Z58" s="18">
        <f>COUNTIF('보험청구'!$B:$B,$A58)</f>
        <v>10</v>
      </c>
      <c r="AA58" s="18">
        <f>COUNTIFS('보험청구'!$B:$B,$A58,'보험청구'!$J:$J,"미확인")</f>
        <v>0</v>
      </c>
      <c r="AB58" s="18">
        <f>SUMIF('보험청구'!$B:$B,$A58,'보험청구'!$I:$I)</f>
        <v>15408000</v>
      </c>
      <c r="AC58" s="18">
        <f>SUMIF('보험청구'!$B:$B,$A58,'보험청구'!$L:$L)</f>
        <v>0</v>
      </c>
      <c r="AD58" s="30">
        <v>46066.0</v>
      </c>
      <c r="AE58" s="30">
        <v>46223.0</v>
      </c>
      <c r="AF58" s="10">
        <f t="shared" si="1"/>
        <v>60</v>
      </c>
      <c r="AG58" s="10" t="str">
        <f t="shared" si="2"/>
        <v>정상</v>
      </c>
      <c r="AH58" s="25" t="s">
        <v>1530</v>
      </c>
      <c r="AI58" s="10"/>
      <c r="AJ58" s="20" t="s">
        <v>161</v>
      </c>
    </row>
    <row r="59" ht="15.75" customHeight="1">
      <c r="A59" s="10" t="s">
        <v>802</v>
      </c>
      <c r="B59" s="13" t="s">
        <v>1532</v>
      </c>
      <c r="C59" s="10" t="s">
        <v>66</v>
      </c>
      <c r="D59" s="14">
        <v>1.9760306E7</v>
      </c>
      <c r="E59" s="10" t="s">
        <v>1533</v>
      </c>
      <c r="F59" s="10" t="s">
        <v>245</v>
      </c>
      <c r="G59" s="13" t="s">
        <v>1534</v>
      </c>
      <c r="H59" s="15" t="s">
        <v>1535</v>
      </c>
      <c r="I59" s="10" t="s">
        <v>106</v>
      </c>
      <c r="J59" s="10" t="s">
        <v>1536</v>
      </c>
      <c r="K59" s="10"/>
      <c r="L59" s="10" t="s">
        <v>1537</v>
      </c>
      <c r="M59" s="10" t="s">
        <v>1538</v>
      </c>
      <c r="N59" s="10" t="s">
        <v>1539</v>
      </c>
      <c r="O59" s="10"/>
      <c r="P59" s="10"/>
      <c r="Q59" s="10"/>
      <c r="R59" s="10"/>
      <c r="S59" s="10" t="s">
        <v>1308</v>
      </c>
      <c r="T59" s="10"/>
      <c r="U59" s="10" t="s">
        <v>322</v>
      </c>
      <c r="V59" s="10" t="s">
        <v>583</v>
      </c>
      <c r="W59" s="10" t="s">
        <v>56</v>
      </c>
      <c r="X59" s="18">
        <f>COUNTIF('간병인배정'!$B:$B,$A59)</f>
        <v>1</v>
      </c>
      <c r="Y59" s="18">
        <f>SUMIF('간병비지급'!$B:$B,$A59,'간병비지급'!$I:$I)</f>
        <v>2070000</v>
      </c>
      <c r="Z59" s="18">
        <f>COUNTIF('보험청구'!$B:$B,$A59)</f>
        <v>1</v>
      </c>
      <c r="AA59" s="18">
        <f>COUNTIFS('보험청구'!$B:$B,$A59,'보험청구'!$J:$J,"미확인")</f>
        <v>0</v>
      </c>
      <c r="AB59" s="18">
        <f>SUMIF('보험청구'!$B:$B,$A59,'보험청구'!$I:$I)</f>
        <v>2535000</v>
      </c>
      <c r="AC59" s="18">
        <f>SUMIF('보험청구'!$B:$B,$A59,'보험청구'!$L:$L)</f>
        <v>0</v>
      </c>
      <c r="AD59" s="30">
        <v>46113.0</v>
      </c>
      <c r="AE59" s="30">
        <v>46128.0</v>
      </c>
      <c r="AF59" s="10">
        <f t="shared" si="1"/>
        <v>155</v>
      </c>
      <c r="AG59" s="10" t="str">
        <f t="shared" si="2"/>
        <v>정상</v>
      </c>
      <c r="AH59" s="25" t="s">
        <v>1560</v>
      </c>
      <c r="AI59" s="10"/>
      <c r="AJ59" s="20" t="s">
        <v>161</v>
      </c>
    </row>
    <row r="60" ht="15.75" customHeight="1">
      <c r="A60" s="10" t="s">
        <v>814</v>
      </c>
      <c r="B60" s="13" t="s">
        <v>1561</v>
      </c>
      <c r="C60" s="10" t="s">
        <v>212</v>
      </c>
      <c r="D60" s="14">
        <v>1.959031E7</v>
      </c>
      <c r="E60" s="10" t="s">
        <v>1562</v>
      </c>
      <c r="F60" s="10" t="s">
        <v>391</v>
      </c>
      <c r="G60" s="13" t="s">
        <v>411</v>
      </c>
      <c r="H60" s="15" t="s">
        <v>1563</v>
      </c>
      <c r="I60" s="10" t="s">
        <v>106</v>
      </c>
      <c r="J60" s="10" t="s">
        <v>1564</v>
      </c>
      <c r="K60" s="10"/>
      <c r="L60" s="10">
        <v>2.604035637E9</v>
      </c>
      <c r="M60" s="10" t="s">
        <v>1565</v>
      </c>
      <c r="N60" s="10" t="s">
        <v>1566</v>
      </c>
      <c r="O60" s="10"/>
      <c r="P60" s="10"/>
      <c r="Q60" s="10" t="s">
        <v>132</v>
      </c>
      <c r="R60" s="10"/>
      <c r="S60" s="10" t="s">
        <v>1514</v>
      </c>
      <c r="T60" s="10"/>
      <c r="U60" s="10" t="s">
        <v>322</v>
      </c>
      <c r="V60" s="10" t="s">
        <v>1568</v>
      </c>
      <c r="W60" s="10" t="s">
        <v>56</v>
      </c>
      <c r="X60" s="18">
        <f>COUNTIF('간병인배정'!$B:$B,$A60)</f>
        <v>1</v>
      </c>
      <c r="Y60" s="18">
        <f>SUMIF('간병비지급'!$B:$B,$A60,'간병비지급'!$I:$I)</f>
        <v>1070000</v>
      </c>
      <c r="Z60" s="18">
        <f>COUNTIF('보험청구'!$B:$B,$A60)</f>
        <v>1</v>
      </c>
      <c r="AA60" s="18">
        <f>COUNTIFS('보험청구'!$B:$B,$A60,'보험청구'!$J:$J,"미확인")</f>
        <v>0</v>
      </c>
      <c r="AB60" s="18">
        <f>SUMIF('보험청구'!$B:$B,$A60,'보험청구'!$I:$I)</f>
        <v>1008000</v>
      </c>
      <c r="AC60" s="18">
        <f>SUMIF('보험청구'!$B:$B,$A60,'보험청구'!$L:$L)</f>
        <v>0</v>
      </c>
      <c r="AD60" s="30">
        <v>46114.0</v>
      </c>
      <c r="AE60" s="30">
        <v>46121.0</v>
      </c>
      <c r="AF60" s="10">
        <f t="shared" si="1"/>
        <v>162</v>
      </c>
      <c r="AG60" s="10" t="str">
        <f t="shared" si="2"/>
        <v>정상</v>
      </c>
      <c r="AH60" s="25" t="s">
        <v>1585</v>
      </c>
      <c r="AI60" s="10"/>
      <c r="AJ60" s="20" t="s">
        <v>1586</v>
      </c>
    </row>
    <row r="61" ht="15.75" customHeight="1">
      <c r="A61" s="10" t="s">
        <v>826</v>
      </c>
      <c r="B61" s="13" t="s">
        <v>1587</v>
      </c>
      <c r="C61" s="10" t="s">
        <v>212</v>
      </c>
      <c r="D61" s="14">
        <v>1.9721105E7</v>
      </c>
      <c r="E61" s="10" t="s">
        <v>1588</v>
      </c>
      <c r="F61" s="10" t="s">
        <v>1104</v>
      </c>
      <c r="G61" s="13" t="s">
        <v>1589</v>
      </c>
      <c r="H61" s="15" t="s">
        <v>1590</v>
      </c>
      <c r="I61" s="10" t="s">
        <v>106</v>
      </c>
      <c r="J61" s="10" t="s">
        <v>1591</v>
      </c>
      <c r="K61" s="10"/>
      <c r="L61" s="10">
        <v>2.604034845E9</v>
      </c>
      <c r="M61" s="10" t="s">
        <v>254</v>
      </c>
      <c r="N61" s="10" t="s">
        <v>256</v>
      </c>
      <c r="O61" s="10"/>
      <c r="P61" s="10"/>
      <c r="Q61" s="10" t="s">
        <v>77</v>
      </c>
      <c r="R61" s="10"/>
      <c r="S61" s="10" t="s">
        <v>1514</v>
      </c>
      <c r="T61" s="10"/>
      <c r="U61" s="10" t="s">
        <v>322</v>
      </c>
      <c r="V61" s="10"/>
      <c r="W61" s="10" t="s">
        <v>178</v>
      </c>
      <c r="X61" s="18">
        <f>COUNTIF('간병인배정'!$B:$B,$A61)</f>
        <v>1</v>
      </c>
      <c r="Y61" s="18">
        <f>SUMIF('간병비지급'!$B:$B,$A61,'간병비지급'!$I:$I)</f>
        <v>0</v>
      </c>
      <c r="Z61" s="18">
        <f>COUNTIF('보험청구'!$B:$B,$A61)</f>
        <v>0</v>
      </c>
      <c r="AA61" s="18">
        <f>COUNTIFS('보험청구'!$B:$B,$A61,'보험청구'!$J:$J,"미확인")</f>
        <v>0</v>
      </c>
      <c r="AB61" s="18">
        <f>SUMIF('보험청구'!$B:$B,$A61,'보험청구'!$I:$I)</f>
        <v>0</v>
      </c>
      <c r="AC61" s="18">
        <f>SUMIF('보험청구'!$B:$B,$A61,'보험청구'!$L:$L)</f>
        <v>0</v>
      </c>
      <c r="AD61" s="30">
        <v>45755.0</v>
      </c>
      <c r="AE61" s="10"/>
      <c r="AF61" s="10" t="str">
        <f t="shared" si="1"/>
        <v/>
      </c>
      <c r="AG61" s="10" t="str">
        <f t="shared" si="2"/>
        <v>제외</v>
      </c>
      <c r="AH61" s="25" t="s">
        <v>1613</v>
      </c>
      <c r="AI61" s="10"/>
      <c r="AJ61" s="20" t="s">
        <v>1614</v>
      </c>
    </row>
    <row r="62" ht="15.75" customHeight="1">
      <c r="A62" s="10" t="s">
        <v>833</v>
      </c>
      <c r="B62" s="13" t="s">
        <v>1615</v>
      </c>
      <c r="C62" s="10" t="s">
        <v>212</v>
      </c>
      <c r="D62" s="14">
        <v>1.9480529E7</v>
      </c>
      <c r="E62" s="10" t="s">
        <v>1617</v>
      </c>
      <c r="F62" s="10" t="s">
        <v>1274</v>
      </c>
      <c r="G62" s="13" t="s">
        <v>601</v>
      </c>
      <c r="H62" s="15" t="s">
        <v>1618</v>
      </c>
      <c r="I62" s="10" t="s">
        <v>106</v>
      </c>
      <c r="J62" s="10" t="s">
        <v>1619</v>
      </c>
      <c r="K62" s="10"/>
      <c r="L62" s="10">
        <v>2.604146392E9</v>
      </c>
      <c r="M62" s="10" t="s">
        <v>1620</v>
      </c>
      <c r="N62" s="10" t="s">
        <v>1621</v>
      </c>
      <c r="O62" s="10"/>
      <c r="P62" s="10"/>
      <c r="Q62" s="10" t="s">
        <v>132</v>
      </c>
      <c r="R62" s="10"/>
      <c r="S62" s="10" t="s">
        <v>160</v>
      </c>
      <c r="T62" s="10"/>
      <c r="U62" s="10" t="s">
        <v>322</v>
      </c>
      <c r="V62" s="10" t="s">
        <v>583</v>
      </c>
      <c r="W62" s="10" t="s">
        <v>56</v>
      </c>
      <c r="X62" s="18">
        <f>COUNTIF('간병인배정'!$B:$B,$A62)</f>
        <v>1</v>
      </c>
      <c r="Y62" s="18">
        <f>SUMIF('간병비지급'!$B:$B,$A62,'간병비지급'!$I:$I)</f>
        <v>540000</v>
      </c>
      <c r="Z62" s="18">
        <f>COUNTIF('보험청구'!$B:$B,$A62)</f>
        <v>1</v>
      </c>
      <c r="AA62" s="18">
        <f>COUNTIFS('보험청구'!$B:$B,$A62,'보험청구'!$J:$J,"미확인")</f>
        <v>0</v>
      </c>
      <c r="AB62" s="18">
        <f>SUMIF('보험청구'!$B:$B,$A62,'보험청구'!$I:$I)</f>
        <v>0</v>
      </c>
      <c r="AC62" s="18">
        <f>SUMIF('보험청구'!$B:$B,$A62,'보험청구'!$L:$L)</f>
        <v>0</v>
      </c>
      <c r="AD62" s="30">
        <v>46117.0</v>
      </c>
      <c r="AE62" s="10"/>
      <c r="AF62" s="10" t="str">
        <f t="shared" si="1"/>
        <v/>
      </c>
      <c r="AG62" s="10" t="str">
        <f t="shared" si="2"/>
        <v>정상</v>
      </c>
      <c r="AH62" s="26"/>
      <c r="AI62" s="10"/>
      <c r="AJ62" s="20" t="s">
        <v>1640</v>
      </c>
    </row>
    <row r="63" ht="15.75" customHeight="1">
      <c r="A63" s="10" t="s">
        <v>846</v>
      </c>
      <c r="B63" s="13" t="s">
        <v>1615</v>
      </c>
      <c r="C63" s="10" t="s">
        <v>212</v>
      </c>
      <c r="D63" s="14">
        <v>1.9480529E7</v>
      </c>
      <c r="E63" s="10" t="s">
        <v>1617</v>
      </c>
      <c r="F63" s="10" t="s">
        <v>1274</v>
      </c>
      <c r="G63" s="13" t="s">
        <v>601</v>
      </c>
      <c r="H63" s="15" t="s">
        <v>1618</v>
      </c>
      <c r="I63" s="10" t="s">
        <v>106</v>
      </c>
      <c r="J63" s="10" t="s">
        <v>1619</v>
      </c>
      <c r="K63" s="10"/>
      <c r="L63" s="10">
        <v>2.604146392E9</v>
      </c>
      <c r="M63" s="10" t="s">
        <v>1620</v>
      </c>
      <c r="N63" s="10" t="s">
        <v>1621</v>
      </c>
      <c r="O63" s="10"/>
      <c r="P63" s="10"/>
      <c r="Q63" s="10" t="s">
        <v>132</v>
      </c>
      <c r="R63" s="10"/>
      <c r="S63" s="10" t="s">
        <v>160</v>
      </c>
      <c r="T63" s="10"/>
      <c r="U63" s="10" t="s">
        <v>322</v>
      </c>
      <c r="V63" s="10" t="s">
        <v>583</v>
      </c>
      <c r="W63" s="10" t="s">
        <v>56</v>
      </c>
      <c r="X63" s="18">
        <f>COUNTIF('간병인배정'!$B:$B,$A63)</f>
        <v>1</v>
      </c>
      <c r="Y63" s="18">
        <f>SUMIF('간병비지급'!$B:$B,$A63,'간병비지급'!$I:$I)</f>
        <v>135000</v>
      </c>
      <c r="Z63" s="18">
        <f>COUNTIF('보험청구'!$B:$B,$A63)</f>
        <v>1</v>
      </c>
      <c r="AA63" s="18">
        <f>COUNTIFS('보험청구'!$B:$B,$A63,'보험청구'!$J:$J,"미확인")</f>
        <v>0</v>
      </c>
      <c r="AB63" s="18">
        <f>SUMIF('보험청구'!$B:$B,$A63,'보험청구'!$I:$I)</f>
        <v>720000</v>
      </c>
      <c r="AC63" s="18">
        <f>SUMIF('보험청구'!$B:$B,$A63,'보험청구'!$L:$L)</f>
        <v>0</v>
      </c>
      <c r="AD63" s="30">
        <v>46121.0</v>
      </c>
      <c r="AE63" s="30">
        <v>46122.0</v>
      </c>
      <c r="AF63" s="10">
        <f t="shared" si="1"/>
        <v>161</v>
      </c>
      <c r="AG63" s="10" t="str">
        <f t="shared" si="2"/>
        <v>정상</v>
      </c>
      <c r="AH63" s="25"/>
      <c r="AI63" s="10"/>
      <c r="AJ63" s="10"/>
    </row>
    <row r="64" ht="15.75" customHeight="1">
      <c r="A64" s="10" t="s">
        <v>852</v>
      </c>
      <c r="B64" s="13" t="s">
        <v>1615</v>
      </c>
      <c r="C64" s="10" t="s">
        <v>212</v>
      </c>
      <c r="D64" s="14">
        <v>1.9480529E7</v>
      </c>
      <c r="E64" s="10" t="s">
        <v>1617</v>
      </c>
      <c r="F64" s="10" t="s">
        <v>1274</v>
      </c>
      <c r="G64" s="13" t="s">
        <v>601</v>
      </c>
      <c r="H64" s="15" t="s">
        <v>1618</v>
      </c>
      <c r="I64" s="10" t="s">
        <v>106</v>
      </c>
      <c r="J64" s="10" t="s">
        <v>1619</v>
      </c>
      <c r="K64" s="10"/>
      <c r="L64" s="10">
        <v>2.412566361E9</v>
      </c>
      <c r="M64" s="10" t="s">
        <v>1660</v>
      </c>
      <c r="N64" s="10" t="s">
        <v>1661</v>
      </c>
      <c r="O64" s="10"/>
      <c r="P64" s="10"/>
      <c r="Q64" s="10" t="s">
        <v>132</v>
      </c>
      <c r="R64" s="10"/>
      <c r="S64" s="10" t="s">
        <v>160</v>
      </c>
      <c r="T64" s="10"/>
      <c r="U64" s="10" t="s">
        <v>322</v>
      </c>
      <c r="V64" s="10" t="s">
        <v>583</v>
      </c>
      <c r="W64" s="10" t="s">
        <v>56</v>
      </c>
      <c r="X64" s="18">
        <f>COUNTIF('간병인배정'!$B:$B,$A64)</f>
        <v>1</v>
      </c>
      <c r="Y64" s="18">
        <f>SUMIF('간병비지급'!$B:$B,$A64,'간병비지급'!$I:$I)</f>
        <v>1350000</v>
      </c>
      <c r="Z64" s="18">
        <f>COUNTIF('보험청구'!$B:$B,$A64)</f>
        <v>1</v>
      </c>
      <c r="AA64" s="18">
        <f>COUNTIFS('보험청구'!$B:$B,$A64,'보험청구'!$J:$J,"미확인")</f>
        <v>0</v>
      </c>
      <c r="AB64" s="18">
        <f>SUMIF('보험청구'!$B:$B,$A64,'보험청구'!$I:$I)</f>
        <v>1728000</v>
      </c>
      <c r="AC64" s="18">
        <f>SUMIF('보험청구'!$B:$B,$A64,'보험청구'!$L:$L)</f>
        <v>0</v>
      </c>
      <c r="AD64" s="30">
        <v>46122.0</v>
      </c>
      <c r="AE64" s="30">
        <v>46134.0</v>
      </c>
      <c r="AF64" s="10">
        <f t="shared" si="1"/>
        <v>149</v>
      </c>
      <c r="AG64" s="10" t="str">
        <f t="shared" si="2"/>
        <v>정상</v>
      </c>
      <c r="AH64" s="25"/>
      <c r="AI64" s="10"/>
      <c r="AJ64" s="10"/>
    </row>
    <row r="65" ht="15.75" customHeight="1">
      <c r="A65" s="10" t="s">
        <v>861</v>
      </c>
      <c r="B65" s="13" t="s">
        <v>1615</v>
      </c>
      <c r="C65" s="10" t="s">
        <v>212</v>
      </c>
      <c r="D65" s="14">
        <v>1.9480529E7</v>
      </c>
      <c r="E65" s="10" t="s">
        <v>1617</v>
      </c>
      <c r="F65" s="10" t="s">
        <v>1274</v>
      </c>
      <c r="G65" s="13" t="s">
        <v>601</v>
      </c>
      <c r="H65" s="15" t="s">
        <v>1685</v>
      </c>
      <c r="I65" s="10" t="s">
        <v>106</v>
      </c>
      <c r="J65" s="10" t="s">
        <v>1619</v>
      </c>
      <c r="K65" s="10"/>
      <c r="L65" s="10">
        <v>2.412566361E9</v>
      </c>
      <c r="M65" s="10" t="s">
        <v>1660</v>
      </c>
      <c r="N65" s="10" t="s">
        <v>1661</v>
      </c>
      <c r="O65" s="10"/>
      <c r="P65" s="10"/>
      <c r="Q65" s="10" t="s">
        <v>132</v>
      </c>
      <c r="R65" s="10"/>
      <c r="S65" s="10" t="s">
        <v>160</v>
      </c>
      <c r="T65" s="10"/>
      <c r="U65" s="10" t="s">
        <v>322</v>
      </c>
      <c r="V65" s="10" t="s">
        <v>583</v>
      </c>
      <c r="W65" s="10" t="s">
        <v>56</v>
      </c>
      <c r="X65" s="18">
        <f>COUNTIF('간병인배정'!$B:$B,$A65)</f>
        <v>1</v>
      </c>
      <c r="Y65" s="18">
        <f>SUMIF('간병비지급'!$B:$B,$A65,'간병비지급'!$I:$I)</f>
        <v>0</v>
      </c>
      <c r="Z65" s="18">
        <f>COUNTIF('보험청구'!$B:$B,$A65)</f>
        <v>1</v>
      </c>
      <c r="AA65" s="18">
        <f>COUNTIFS('보험청구'!$B:$B,$A65,'보험청구'!$J:$J,"미확인")</f>
        <v>0</v>
      </c>
      <c r="AB65" s="18">
        <f>SUMIF('보험청구'!$B:$B,$A65,'보험청구'!$I:$I)</f>
        <v>288000</v>
      </c>
      <c r="AC65" s="18">
        <f>SUMIF('보험청구'!$B:$B,$A65,'보험청구'!$L:$L)</f>
        <v>0</v>
      </c>
      <c r="AD65" s="30">
        <v>46134.0</v>
      </c>
      <c r="AE65" s="30">
        <v>46136.0</v>
      </c>
      <c r="AF65" s="10">
        <f t="shared" si="1"/>
        <v>147</v>
      </c>
      <c r="AG65" s="10" t="str">
        <f t="shared" si="2"/>
        <v>정상</v>
      </c>
      <c r="AH65" s="25"/>
      <c r="AI65" s="10"/>
      <c r="AJ65" s="10"/>
    </row>
    <row r="66" ht="15.75" customHeight="1">
      <c r="A66" s="10" t="s">
        <v>867</v>
      </c>
      <c r="B66" s="13" t="s">
        <v>1615</v>
      </c>
      <c r="C66" s="10" t="s">
        <v>212</v>
      </c>
      <c r="D66" s="14">
        <v>1.9480529E7</v>
      </c>
      <c r="E66" s="10" t="s">
        <v>1617</v>
      </c>
      <c r="F66" s="10" t="s">
        <v>1274</v>
      </c>
      <c r="G66" s="13" t="s">
        <v>601</v>
      </c>
      <c r="H66" s="15" t="s">
        <v>1706</v>
      </c>
      <c r="I66" s="10" t="s">
        <v>106</v>
      </c>
      <c r="J66" s="10" t="s">
        <v>1619</v>
      </c>
      <c r="K66" s="10"/>
      <c r="L66" s="10">
        <v>2.412566361E9</v>
      </c>
      <c r="M66" s="10" t="s">
        <v>1660</v>
      </c>
      <c r="N66" s="10" t="s">
        <v>1661</v>
      </c>
      <c r="O66" s="10"/>
      <c r="P66" s="10"/>
      <c r="Q66" s="10" t="s">
        <v>132</v>
      </c>
      <c r="R66" s="10"/>
      <c r="S66" s="10" t="s">
        <v>160</v>
      </c>
      <c r="T66" s="10"/>
      <c r="U66" s="10" t="s">
        <v>322</v>
      </c>
      <c r="V66" s="10" t="s">
        <v>583</v>
      </c>
      <c r="W66" s="10" t="s">
        <v>56</v>
      </c>
      <c r="X66" s="18">
        <f>COUNTIF('간병인배정'!$B:$B,$A66)</f>
        <v>1</v>
      </c>
      <c r="Y66" s="18">
        <f>SUMIF('간병비지급'!$B:$B,$A66,'간병비지급'!$I:$I)</f>
        <v>1215000</v>
      </c>
      <c r="Z66" s="18">
        <f>COUNTIF('보험청구'!$B:$B,$A66)</f>
        <v>1</v>
      </c>
      <c r="AA66" s="18">
        <f>COUNTIFS('보험청구'!$B:$B,$A66,'보험청구'!$J:$J,"미확인")</f>
        <v>0</v>
      </c>
      <c r="AB66" s="18">
        <f>SUMIF('보험청구'!$B:$B,$A66,'보험청구'!$I:$I)</f>
        <v>0</v>
      </c>
      <c r="AC66" s="18">
        <f>SUMIF('보험청구'!$B:$B,$A66,'보험청구'!$L:$L)</f>
        <v>0</v>
      </c>
      <c r="AD66" s="30">
        <v>46136.0</v>
      </c>
      <c r="AE66" s="10"/>
      <c r="AF66" s="10" t="str">
        <f t="shared" si="1"/>
        <v/>
      </c>
      <c r="AG66" s="10" t="str">
        <f t="shared" si="2"/>
        <v>정상</v>
      </c>
      <c r="AH66" s="26" t="s">
        <v>789</v>
      </c>
      <c r="AI66" s="10"/>
      <c r="AJ66" s="10"/>
    </row>
    <row r="67" ht="15.75" customHeight="1">
      <c r="A67" s="10" t="s">
        <v>874</v>
      </c>
      <c r="B67" s="13" t="s">
        <v>1615</v>
      </c>
      <c r="C67" s="10" t="s">
        <v>212</v>
      </c>
      <c r="D67" s="14">
        <v>1.9480529E7</v>
      </c>
      <c r="E67" s="10" t="s">
        <v>1617</v>
      </c>
      <c r="F67" s="10" t="s">
        <v>1274</v>
      </c>
      <c r="G67" s="13" t="s">
        <v>601</v>
      </c>
      <c r="H67" s="15" t="s">
        <v>1706</v>
      </c>
      <c r="I67" s="10" t="s">
        <v>106</v>
      </c>
      <c r="J67" s="10" t="s">
        <v>1619</v>
      </c>
      <c r="K67" s="10"/>
      <c r="L67" s="10">
        <v>2.412566361E9</v>
      </c>
      <c r="M67" s="10"/>
      <c r="N67" s="10" t="s">
        <v>1734</v>
      </c>
      <c r="O67" s="10"/>
      <c r="P67" s="10"/>
      <c r="Q67" s="10" t="s">
        <v>132</v>
      </c>
      <c r="R67" s="10"/>
      <c r="S67" s="10" t="s">
        <v>160</v>
      </c>
      <c r="T67" s="10"/>
      <c r="U67" s="10" t="s">
        <v>322</v>
      </c>
      <c r="V67" s="10" t="s">
        <v>583</v>
      </c>
      <c r="W67" s="10" t="s">
        <v>56</v>
      </c>
      <c r="X67" s="18">
        <f>COUNTIF('간병인배정'!$B:$B,$A67)</f>
        <v>1</v>
      </c>
      <c r="Y67" s="18">
        <f>SUMIF('간병비지급'!$B:$B,$A67,'간병비지급'!$I:$I)</f>
        <v>1350000</v>
      </c>
      <c r="Z67" s="18">
        <f>COUNTIF('보험청구'!$B:$B,$A67)</f>
        <v>1</v>
      </c>
      <c r="AA67" s="18">
        <f>COUNTIFS('보험청구'!$B:$B,$A67,'보험청구'!$J:$J,"미확인")</f>
        <v>0</v>
      </c>
      <c r="AB67" s="18">
        <f>SUMIF('보험청구'!$B:$B,$A67,'보험청구'!$I:$I)</f>
        <v>2160000</v>
      </c>
      <c r="AC67" s="18">
        <f>SUMIF('보험청구'!$B:$B,$A67,'보험청구'!$L:$L)</f>
        <v>0</v>
      </c>
      <c r="AD67" s="30">
        <v>46141.0</v>
      </c>
      <c r="AE67" s="30">
        <v>46151.0</v>
      </c>
      <c r="AF67" s="10">
        <f t="shared" si="1"/>
        <v>132</v>
      </c>
      <c r="AG67" s="10" t="str">
        <f t="shared" si="2"/>
        <v>정상</v>
      </c>
      <c r="AH67" s="25"/>
      <c r="AI67" s="10"/>
      <c r="AJ67" s="10"/>
    </row>
    <row r="68" ht="15.75" customHeight="1">
      <c r="A68" s="10" t="s">
        <v>882</v>
      </c>
      <c r="B68" s="13" t="s">
        <v>1758</v>
      </c>
      <c r="C68" s="10" t="s">
        <v>66</v>
      </c>
      <c r="D68" s="14">
        <v>1.9710211E7</v>
      </c>
      <c r="E68" s="10" t="s">
        <v>1759</v>
      </c>
      <c r="F68" s="10" t="s">
        <v>987</v>
      </c>
      <c r="G68" s="13" t="s">
        <v>1324</v>
      </c>
      <c r="H68" s="15" t="s">
        <v>1760</v>
      </c>
      <c r="I68" s="10" t="s">
        <v>73</v>
      </c>
      <c r="J68" s="10" t="s">
        <v>1761</v>
      </c>
      <c r="K68" s="10" t="s">
        <v>1762</v>
      </c>
      <c r="L68" s="10">
        <v>2.604146669E9</v>
      </c>
      <c r="M68" s="10" t="s">
        <v>471</v>
      </c>
      <c r="N68" s="10" t="s">
        <v>472</v>
      </c>
      <c r="O68" s="10" t="s">
        <v>1763</v>
      </c>
      <c r="P68" s="10"/>
      <c r="Q68" s="10" t="s">
        <v>132</v>
      </c>
      <c r="R68" s="10"/>
      <c r="S68" s="10" t="s">
        <v>1764</v>
      </c>
      <c r="T68" s="10"/>
      <c r="U68" s="10" t="s">
        <v>80</v>
      </c>
      <c r="V68" s="10" t="s">
        <v>1766</v>
      </c>
      <c r="W68" s="10" t="s">
        <v>56</v>
      </c>
      <c r="X68" s="18">
        <f>COUNTIF('간병인배정'!$B:$B,$A68)</f>
        <v>1</v>
      </c>
      <c r="Y68" s="18">
        <f>SUMIF('간병비지급'!$B:$B,$A68,'간병비지급'!$I:$I)</f>
        <v>400000</v>
      </c>
      <c r="Z68" s="18">
        <f>COUNTIF('보험청구'!$B:$B,$A68)</f>
        <v>1</v>
      </c>
      <c r="AA68" s="18">
        <f>COUNTIFS('보험청구'!$B:$B,$A68,'보험청구'!$J:$J,"미확인")</f>
        <v>0</v>
      </c>
      <c r="AB68" s="18">
        <f>SUMIF('보험청구'!$B:$B,$A68,'보험청구'!$I:$I)</f>
        <v>430000</v>
      </c>
      <c r="AC68" s="18">
        <f>SUMIF('보험청구'!$B:$B,$A68,'보험청구'!$L:$L)</f>
        <v>0</v>
      </c>
      <c r="AD68" s="30">
        <v>46119.0</v>
      </c>
      <c r="AE68" s="30">
        <v>46123.0</v>
      </c>
      <c r="AF68" s="10">
        <f t="shared" si="1"/>
        <v>160</v>
      </c>
      <c r="AG68" s="10" t="str">
        <f t="shared" si="2"/>
        <v>정상</v>
      </c>
      <c r="AH68" s="25"/>
      <c r="AI68" s="10"/>
      <c r="AJ68" s="10"/>
    </row>
    <row r="69" ht="15.75" customHeight="1">
      <c r="A69" s="10" t="s">
        <v>1778</v>
      </c>
      <c r="B69" s="13"/>
      <c r="C69" s="10" t="s">
        <v>212</v>
      </c>
      <c r="D69" s="14">
        <v>1.9521117E7</v>
      </c>
      <c r="E69" s="10" t="s">
        <v>1779</v>
      </c>
      <c r="F69" s="10" t="s">
        <v>126</v>
      </c>
      <c r="G69" s="13" t="s">
        <v>392</v>
      </c>
      <c r="H69" s="15" t="s">
        <v>393</v>
      </c>
      <c r="I69" s="10" t="s">
        <v>106</v>
      </c>
      <c r="J69" s="10" t="s">
        <v>1781</v>
      </c>
      <c r="K69" s="10" t="s">
        <v>1783</v>
      </c>
      <c r="L69" s="10" t="s">
        <v>1783</v>
      </c>
      <c r="M69" s="10"/>
      <c r="N69" s="10"/>
      <c r="O69" s="10"/>
      <c r="P69" s="10"/>
      <c r="Q69" s="10" t="s">
        <v>77</v>
      </c>
      <c r="R69" s="10"/>
      <c r="S69" s="10" t="s">
        <v>1764</v>
      </c>
      <c r="T69" s="10"/>
      <c r="U69" s="10" t="s">
        <v>322</v>
      </c>
      <c r="V69" s="10" t="s">
        <v>1790</v>
      </c>
      <c r="W69" s="10" t="s">
        <v>178</v>
      </c>
      <c r="X69" s="18">
        <f>COUNTIF('간병인배정'!$B:$B,$A69)</f>
        <v>0</v>
      </c>
      <c r="Y69" s="18">
        <f>SUMIF('간병비지급'!$B:$B,$A69,'간병비지급'!$I:$I)</f>
        <v>0</v>
      </c>
      <c r="Z69" s="18">
        <f>COUNTIF('보험청구'!$B:$B,$A69)</f>
        <v>0</v>
      </c>
      <c r="AA69" s="18">
        <f>COUNTIFS('보험청구'!$B:$B,$A69,'보험청구'!$J:$J,"미확인")</f>
        <v>0</v>
      </c>
      <c r="AB69" s="18">
        <f>SUMIF('보험청구'!$B:$B,$A69,'보험청구'!$I:$I)</f>
        <v>0</v>
      </c>
      <c r="AC69" s="18">
        <f>SUMIF('보험청구'!$B:$B,$A69,'보험청구'!$L:$L)</f>
        <v>0</v>
      </c>
      <c r="AD69" s="10"/>
      <c r="AE69" s="10"/>
      <c r="AF69" s="10" t="str">
        <f t="shared" si="1"/>
        <v/>
      </c>
      <c r="AG69" s="10" t="str">
        <f t="shared" si="2"/>
        <v>제외</v>
      </c>
      <c r="AH69" s="25" t="s">
        <v>1801</v>
      </c>
      <c r="AI69" s="10"/>
      <c r="AJ69" s="10"/>
    </row>
    <row r="70" ht="15.75" customHeight="1">
      <c r="A70" s="10" t="s">
        <v>892</v>
      </c>
      <c r="B70" s="13" t="s">
        <v>1802</v>
      </c>
      <c r="C70" s="10" t="s">
        <v>212</v>
      </c>
      <c r="D70" s="14">
        <v>1.968021E7</v>
      </c>
      <c r="E70" s="10" t="s">
        <v>1803</v>
      </c>
      <c r="F70" s="10" t="s">
        <v>126</v>
      </c>
      <c r="G70" s="13" t="s">
        <v>1804</v>
      </c>
      <c r="H70" s="15" t="s">
        <v>1805</v>
      </c>
      <c r="I70" s="10" t="s">
        <v>106</v>
      </c>
      <c r="J70" s="10" t="s">
        <v>1806</v>
      </c>
      <c r="K70" s="10" t="s">
        <v>1807</v>
      </c>
      <c r="L70" s="10">
        <v>2.604048314E9</v>
      </c>
      <c r="M70" s="10" t="s">
        <v>1808</v>
      </c>
      <c r="N70" s="10" t="s">
        <v>1809</v>
      </c>
      <c r="O70" s="10"/>
      <c r="P70" s="10"/>
      <c r="Q70" s="10" t="s">
        <v>77</v>
      </c>
      <c r="R70" s="10"/>
      <c r="S70" s="10" t="s">
        <v>160</v>
      </c>
      <c r="T70" s="10"/>
      <c r="U70" s="10" t="s">
        <v>322</v>
      </c>
      <c r="V70" s="10" t="s">
        <v>1354</v>
      </c>
      <c r="W70" s="10" t="s">
        <v>56</v>
      </c>
      <c r="X70" s="18">
        <f>COUNTIF('간병인배정'!$B:$B,$A70)</f>
        <v>1</v>
      </c>
      <c r="Y70" s="18">
        <f>SUMIF('간병비지급'!$B:$B,$A70,'간병비지급'!$I:$I)</f>
        <v>945000</v>
      </c>
      <c r="Z70" s="18">
        <f>COUNTIF('보험청구'!$B:$B,$A70)</f>
        <v>1</v>
      </c>
      <c r="AA70" s="18">
        <f>COUNTIFS('보험청구'!$B:$B,$A70,'보험청구'!$J:$J,"미확인")</f>
        <v>0</v>
      </c>
      <c r="AB70" s="18">
        <f>SUMIF('보험청구'!$B:$B,$A70,'보험청구'!$I:$I)</f>
        <v>980000</v>
      </c>
      <c r="AC70" s="18">
        <f>SUMIF('보험청구'!$B:$B,$A70,'보험청구'!$L:$L)</f>
        <v>0</v>
      </c>
      <c r="AD70" s="30">
        <v>46114.0</v>
      </c>
      <c r="AE70" s="30">
        <v>46121.0</v>
      </c>
      <c r="AF70" s="10">
        <f t="shared" si="1"/>
        <v>162</v>
      </c>
      <c r="AG70" s="10" t="str">
        <f t="shared" si="2"/>
        <v>정상</v>
      </c>
      <c r="AH70" s="25"/>
      <c r="AI70" s="10"/>
      <c r="AJ70" s="10"/>
    </row>
    <row r="71" ht="15.75" customHeight="1">
      <c r="A71" s="10" t="s">
        <v>904</v>
      </c>
      <c r="B71" s="13" t="s">
        <v>1802</v>
      </c>
      <c r="C71" s="10" t="s">
        <v>212</v>
      </c>
      <c r="D71" s="14">
        <v>1.968021E7</v>
      </c>
      <c r="E71" s="10" t="s">
        <v>1803</v>
      </c>
      <c r="F71" s="10" t="s">
        <v>126</v>
      </c>
      <c r="G71" s="13" t="s">
        <v>1804</v>
      </c>
      <c r="H71" s="15" t="s">
        <v>1805</v>
      </c>
      <c r="I71" s="10" t="s">
        <v>106</v>
      </c>
      <c r="J71" s="10" t="s">
        <v>1806</v>
      </c>
      <c r="K71" s="10" t="s">
        <v>1807</v>
      </c>
      <c r="L71" s="10">
        <v>2.604048314E9</v>
      </c>
      <c r="M71" s="10" t="s">
        <v>1808</v>
      </c>
      <c r="N71" s="10" t="s">
        <v>1809</v>
      </c>
      <c r="O71" s="10"/>
      <c r="P71" s="10"/>
      <c r="Q71" s="10" t="s">
        <v>77</v>
      </c>
      <c r="R71" s="10"/>
      <c r="S71" s="10" t="s">
        <v>160</v>
      </c>
      <c r="T71" s="10"/>
      <c r="U71" s="10" t="s">
        <v>322</v>
      </c>
      <c r="V71" s="10" t="s">
        <v>1354</v>
      </c>
      <c r="W71" s="10" t="s">
        <v>56</v>
      </c>
      <c r="X71" s="18">
        <f>COUNTIF('간병인배정'!$B:$B,$A71)</f>
        <v>1</v>
      </c>
      <c r="Y71" s="18">
        <f>SUMIF('간병비지급'!$B:$B,$A71,'간병비지급'!$I:$I)</f>
        <v>945000</v>
      </c>
      <c r="Z71" s="18">
        <f>COUNTIF('보험청구'!$B:$B,$A71)</f>
        <v>1</v>
      </c>
      <c r="AA71" s="18">
        <f>COUNTIFS('보험청구'!$B:$B,$A71,'보험청구'!$J:$J,"미확인")</f>
        <v>0</v>
      </c>
      <c r="AB71" s="18">
        <f>SUMIF('보험청구'!$B:$B,$A71,'보험청구'!$I:$I)</f>
        <v>980000</v>
      </c>
      <c r="AC71" s="18">
        <f>SUMIF('보험청구'!$B:$B,$A71,'보험청구'!$L:$L)</f>
        <v>0</v>
      </c>
      <c r="AD71" s="30">
        <v>46121.0</v>
      </c>
      <c r="AE71" s="30">
        <v>46128.0</v>
      </c>
      <c r="AF71" s="10">
        <f t="shared" si="1"/>
        <v>155</v>
      </c>
      <c r="AG71" s="10" t="str">
        <f t="shared" si="2"/>
        <v>정상</v>
      </c>
      <c r="AH71" s="25"/>
      <c r="AI71" s="10"/>
      <c r="AJ71" s="10"/>
    </row>
    <row r="72" ht="15.75" customHeight="1">
      <c r="A72" s="10" t="s">
        <v>913</v>
      </c>
      <c r="B72" s="13" t="s">
        <v>1802</v>
      </c>
      <c r="C72" s="10" t="s">
        <v>212</v>
      </c>
      <c r="D72" s="14">
        <v>1.968021E7</v>
      </c>
      <c r="E72" s="10" t="s">
        <v>1803</v>
      </c>
      <c r="F72" s="10" t="s">
        <v>126</v>
      </c>
      <c r="G72" s="13" t="s">
        <v>1804</v>
      </c>
      <c r="H72" s="15" t="s">
        <v>1805</v>
      </c>
      <c r="I72" s="10" t="s">
        <v>106</v>
      </c>
      <c r="J72" s="10" t="s">
        <v>1806</v>
      </c>
      <c r="K72" s="10" t="s">
        <v>1807</v>
      </c>
      <c r="L72" s="10">
        <v>2.604048314E9</v>
      </c>
      <c r="M72" s="10" t="s">
        <v>1808</v>
      </c>
      <c r="N72" s="10" t="s">
        <v>1809</v>
      </c>
      <c r="O72" s="10"/>
      <c r="P72" s="10"/>
      <c r="Q72" s="10" t="s">
        <v>77</v>
      </c>
      <c r="R72" s="10"/>
      <c r="S72" s="10" t="s">
        <v>160</v>
      </c>
      <c r="T72" s="10"/>
      <c r="U72" s="10" t="s">
        <v>322</v>
      </c>
      <c r="V72" s="10" t="s">
        <v>1354</v>
      </c>
      <c r="W72" s="10" t="s">
        <v>56</v>
      </c>
      <c r="X72" s="18">
        <f>COUNTIF('간병인배정'!$B:$B,$A72)</f>
        <v>1</v>
      </c>
      <c r="Y72" s="18">
        <f>SUMIF('간병비지급'!$B:$B,$A72,'간병비지급'!$I:$I)</f>
        <v>810000</v>
      </c>
      <c r="Z72" s="18">
        <f>COUNTIF('보험청구'!$B:$B,$A72)</f>
        <v>1</v>
      </c>
      <c r="AA72" s="18">
        <f>COUNTIFS('보험청구'!$B:$B,$A72,'보험청구'!$J:$J,"미확인")</f>
        <v>0</v>
      </c>
      <c r="AB72" s="18">
        <f>SUMIF('보험청구'!$B:$B,$A72,'보험청구'!$I:$I)</f>
        <v>980000</v>
      </c>
      <c r="AC72" s="18">
        <f>SUMIF('보험청구'!$B:$B,$A72,'보험청구'!$L:$L)</f>
        <v>0</v>
      </c>
      <c r="AD72" s="30">
        <v>46146.0</v>
      </c>
      <c r="AE72" s="30">
        <v>46153.0</v>
      </c>
      <c r="AF72" s="10">
        <f t="shared" si="1"/>
        <v>130</v>
      </c>
      <c r="AG72" s="10" t="str">
        <f t="shared" si="2"/>
        <v>정상</v>
      </c>
      <c r="AH72" s="25" t="s">
        <v>1872</v>
      </c>
      <c r="AI72" s="10"/>
      <c r="AJ72" s="10"/>
    </row>
    <row r="73" ht="15.75" customHeight="1">
      <c r="A73" s="10" t="s">
        <v>923</v>
      </c>
      <c r="B73" s="13" t="s">
        <v>1802</v>
      </c>
      <c r="C73" s="10" t="s">
        <v>212</v>
      </c>
      <c r="D73" s="14">
        <v>1.968021E7</v>
      </c>
      <c r="E73" s="10" t="s">
        <v>1803</v>
      </c>
      <c r="F73" s="10" t="s">
        <v>126</v>
      </c>
      <c r="G73" s="13" t="s">
        <v>1804</v>
      </c>
      <c r="H73" s="15" t="s">
        <v>1805</v>
      </c>
      <c r="I73" s="10" t="s">
        <v>106</v>
      </c>
      <c r="J73" s="10" t="s">
        <v>1806</v>
      </c>
      <c r="K73" s="10" t="s">
        <v>1807</v>
      </c>
      <c r="L73" s="10">
        <v>2.604048314E9</v>
      </c>
      <c r="M73" s="10" t="s">
        <v>1808</v>
      </c>
      <c r="N73" s="10" t="s">
        <v>1809</v>
      </c>
      <c r="O73" s="10"/>
      <c r="P73" s="10"/>
      <c r="Q73" s="10" t="s">
        <v>77</v>
      </c>
      <c r="R73" s="10"/>
      <c r="S73" s="10" t="s">
        <v>160</v>
      </c>
      <c r="T73" s="10"/>
      <c r="U73" s="10" t="s">
        <v>322</v>
      </c>
      <c r="V73" s="10" t="s">
        <v>1354</v>
      </c>
      <c r="W73" s="10" t="s">
        <v>56</v>
      </c>
      <c r="X73" s="18">
        <f>COUNTIF('간병인배정'!$B:$B,$A73)</f>
        <v>1</v>
      </c>
      <c r="Y73" s="18">
        <f>SUMIF('간병비지급'!$B:$B,$A73,'간병비지급'!$I:$I)</f>
        <v>1485000</v>
      </c>
      <c r="Z73" s="18">
        <f>COUNTIF('보험청구'!$B:$B,$A73)</f>
        <v>1</v>
      </c>
      <c r="AA73" s="18">
        <f>COUNTIFS('보험청구'!$B:$B,$A73,'보험청구'!$J:$J,"미확인")</f>
        <v>0</v>
      </c>
      <c r="AB73" s="18">
        <f>SUMIF('보험청구'!$B:$B,$A73,'보험청구'!$I:$I)</f>
        <v>1680000</v>
      </c>
      <c r="AC73" s="18">
        <f>SUMIF('보험청구'!$B:$B,$A73,'보험청구'!$L:$L)</f>
        <v>0</v>
      </c>
      <c r="AD73" s="30">
        <v>46153.0</v>
      </c>
      <c r="AE73" s="30">
        <v>46164.0</v>
      </c>
      <c r="AF73" s="10">
        <f t="shared" si="1"/>
        <v>119</v>
      </c>
      <c r="AG73" s="10" t="str">
        <f t="shared" si="2"/>
        <v>정상</v>
      </c>
      <c r="AH73" s="25"/>
      <c r="AI73" s="10"/>
      <c r="AJ73" s="10"/>
    </row>
    <row r="74" ht="15.75" customHeight="1">
      <c r="A74" s="10" t="s">
        <v>936</v>
      </c>
      <c r="B74" s="13" t="s">
        <v>1894</v>
      </c>
      <c r="C74" s="10" t="s">
        <v>66</v>
      </c>
      <c r="D74" s="14">
        <v>2.0240405E7</v>
      </c>
      <c r="E74" s="10" t="s">
        <v>1897</v>
      </c>
      <c r="F74" s="10" t="s">
        <v>1104</v>
      </c>
      <c r="G74" s="13" t="s">
        <v>1105</v>
      </c>
      <c r="H74" s="15" t="s">
        <v>1899</v>
      </c>
      <c r="I74" s="10" t="s">
        <v>106</v>
      </c>
      <c r="J74" s="10" t="s">
        <v>1902</v>
      </c>
      <c r="K74" s="10" t="s">
        <v>1903</v>
      </c>
      <c r="L74" s="10">
        <v>2.604192301E9</v>
      </c>
      <c r="M74" s="10" t="s">
        <v>1904</v>
      </c>
      <c r="N74" s="10" t="s">
        <v>1905</v>
      </c>
      <c r="O74" s="10"/>
      <c r="P74" s="10"/>
      <c r="Q74" s="10" t="s">
        <v>77</v>
      </c>
      <c r="R74" s="10"/>
      <c r="S74" s="10" t="s">
        <v>160</v>
      </c>
      <c r="T74" s="10"/>
      <c r="U74" s="10" t="s">
        <v>322</v>
      </c>
      <c r="V74" s="10" t="s">
        <v>1354</v>
      </c>
      <c r="W74" s="10" t="s">
        <v>56</v>
      </c>
      <c r="X74" s="18">
        <f>COUNTIF('간병인배정'!$B:$B,$A74)</f>
        <v>1</v>
      </c>
      <c r="Y74" s="18">
        <f>SUMIF('간병비지급'!$B:$B,$A74,'간병비지급'!$I:$I)</f>
        <v>390000</v>
      </c>
      <c r="Z74" s="18">
        <f>COUNTIF('보험청구'!$B:$B,$A74)</f>
        <v>1</v>
      </c>
      <c r="AA74" s="18">
        <f>COUNTIFS('보험청구'!$B:$B,$A74,'보험청구'!$J:$J,"미확인")</f>
        <v>0</v>
      </c>
      <c r="AB74" s="18">
        <f>SUMIF('보험청구'!$B:$B,$A74,'보험청구'!$I:$I)</f>
        <v>432000</v>
      </c>
      <c r="AC74" s="18">
        <f>SUMIF('보험청구'!$B:$B,$A74,'보험청구'!$L:$L)</f>
        <v>0</v>
      </c>
      <c r="AD74" s="30">
        <v>46115.0</v>
      </c>
      <c r="AE74" s="30">
        <v>46118.0</v>
      </c>
      <c r="AF74" s="10">
        <f t="shared" si="1"/>
        <v>165</v>
      </c>
      <c r="AG74" s="10" t="str">
        <f t="shared" si="2"/>
        <v>정상</v>
      </c>
      <c r="AH74" s="25"/>
      <c r="AI74" s="10"/>
      <c r="AJ74" s="10"/>
    </row>
    <row r="75" ht="15.75" customHeight="1">
      <c r="A75" s="10" t="s">
        <v>949</v>
      </c>
      <c r="B75" s="13" t="s">
        <v>1916</v>
      </c>
      <c r="C75" s="10" t="s">
        <v>212</v>
      </c>
      <c r="D75" s="14">
        <v>1.981103E7</v>
      </c>
      <c r="E75" s="10" t="s">
        <v>1917</v>
      </c>
      <c r="F75" s="10" t="s">
        <v>168</v>
      </c>
      <c r="G75" s="13" t="s">
        <v>1216</v>
      </c>
      <c r="H75" s="15" t="s">
        <v>1918</v>
      </c>
      <c r="I75" s="10" t="s">
        <v>106</v>
      </c>
      <c r="J75" s="10" t="s">
        <v>1920</v>
      </c>
      <c r="K75" s="10" t="s">
        <v>1921</v>
      </c>
      <c r="L75" s="10">
        <v>2.60419246E9</v>
      </c>
      <c r="M75" s="10" t="s">
        <v>1249</v>
      </c>
      <c r="N75" s="10" t="s">
        <v>1250</v>
      </c>
      <c r="O75" s="10"/>
      <c r="P75" s="10"/>
      <c r="Q75" s="10" t="s">
        <v>77</v>
      </c>
      <c r="R75" s="10"/>
      <c r="S75" s="10" t="s">
        <v>160</v>
      </c>
      <c r="T75" s="10"/>
      <c r="U75" s="10" t="s">
        <v>322</v>
      </c>
      <c r="V75" s="10" t="s">
        <v>1354</v>
      </c>
      <c r="W75" s="10" t="s">
        <v>56</v>
      </c>
      <c r="X75" s="18">
        <f>COUNTIF('간병인배정'!$B:$B,$A75)</f>
        <v>1</v>
      </c>
      <c r="Y75" s="18">
        <f>SUMIF('간병비지급'!$B:$B,$A75,'간병비지급'!$I:$I)</f>
        <v>1350000</v>
      </c>
      <c r="Z75" s="18">
        <f>COUNTIF('보험청구'!$B:$B,$A75)</f>
        <v>1</v>
      </c>
      <c r="AA75" s="18">
        <f>COUNTIFS('보험청구'!$B:$B,$A75,'보험청구'!$J:$J,"미확인")</f>
        <v>0</v>
      </c>
      <c r="AB75" s="18">
        <f>SUMIF('보험청구'!$B:$B,$A75,'보험청구'!$I:$I)</f>
        <v>1440000</v>
      </c>
      <c r="AC75" s="18">
        <f>SUMIF('보험청구'!$B:$B,$A75,'보험청구'!$L:$L)</f>
        <v>0</v>
      </c>
      <c r="AD75" s="30">
        <v>46115.0</v>
      </c>
      <c r="AE75" s="30">
        <v>46125.0</v>
      </c>
      <c r="AF75" s="10">
        <f t="shared" si="1"/>
        <v>158</v>
      </c>
      <c r="AG75" s="10" t="str">
        <f t="shared" si="2"/>
        <v>정상</v>
      </c>
      <c r="AH75" s="25"/>
      <c r="AI75" s="10"/>
      <c r="AJ75" s="10"/>
    </row>
    <row r="76" ht="15.75" customHeight="1">
      <c r="A76" s="10" t="s">
        <v>959</v>
      </c>
      <c r="B76" s="13" t="s">
        <v>1944</v>
      </c>
      <c r="C76" s="10" t="s">
        <v>66</v>
      </c>
      <c r="D76" s="14">
        <v>1.9470205E7</v>
      </c>
      <c r="E76" s="10" t="s">
        <v>1947</v>
      </c>
      <c r="F76" s="10" t="s">
        <v>1948</v>
      </c>
      <c r="G76" s="13" t="s">
        <v>1949</v>
      </c>
      <c r="H76" s="15" t="s">
        <v>1950</v>
      </c>
      <c r="I76" s="10" t="s">
        <v>73</v>
      </c>
      <c r="J76" s="10" t="s">
        <v>1951</v>
      </c>
      <c r="K76" s="10" t="s">
        <v>76</v>
      </c>
      <c r="L76" s="10">
        <v>2.604302425E9</v>
      </c>
      <c r="M76" s="10" t="s">
        <v>1952</v>
      </c>
      <c r="N76" s="10" t="s">
        <v>1953</v>
      </c>
      <c r="O76" s="10"/>
      <c r="P76" s="10"/>
      <c r="Q76" s="10" t="s">
        <v>77</v>
      </c>
      <c r="R76" s="10"/>
      <c r="S76" s="10" t="s">
        <v>1955</v>
      </c>
      <c r="T76" s="10"/>
      <c r="U76" s="10" t="s">
        <v>80</v>
      </c>
      <c r="V76" s="10" t="s">
        <v>1956</v>
      </c>
      <c r="W76" s="20" t="s">
        <v>178</v>
      </c>
      <c r="X76" s="18">
        <f>COUNTIF('간병인배정'!$B:$B,$A76)</f>
        <v>1</v>
      </c>
      <c r="Y76" s="18">
        <f>SUMIF('간병비지급'!$B:$B,$A76,'간병비지급'!$I:$I)</f>
        <v>0</v>
      </c>
      <c r="Z76" s="18">
        <f>COUNTIF('보험청구'!$B:$B,$A76)</f>
        <v>0</v>
      </c>
      <c r="AA76" s="18">
        <f>COUNTIFS('보험청구'!$B:$B,$A76,'보험청구'!$J:$J,"미확인")</f>
        <v>0</v>
      </c>
      <c r="AB76" s="18">
        <f>SUMIF('보험청구'!$B:$B,$A76,'보험청구'!$I:$I)</f>
        <v>0</v>
      </c>
      <c r="AC76" s="18">
        <f>SUMIF('보험청구'!$B:$B,$A76,'보험청구'!$L:$L)</f>
        <v>0</v>
      </c>
      <c r="AD76" s="30">
        <v>46121.0</v>
      </c>
      <c r="AE76" s="10"/>
      <c r="AF76" s="10" t="str">
        <f t="shared" si="1"/>
        <v/>
      </c>
      <c r="AG76" s="10" t="str">
        <f t="shared" si="2"/>
        <v>제외</v>
      </c>
      <c r="AH76" s="26"/>
      <c r="AI76" s="10"/>
      <c r="AJ76" s="10"/>
    </row>
    <row r="77" ht="15.75" customHeight="1">
      <c r="A77" s="10" t="s">
        <v>968</v>
      </c>
      <c r="B77" s="13" t="s">
        <v>1973</v>
      </c>
      <c r="C77" s="10" t="s">
        <v>66</v>
      </c>
      <c r="D77" s="14">
        <v>1.9750106E7</v>
      </c>
      <c r="E77" s="10" t="s">
        <v>1974</v>
      </c>
      <c r="F77" s="10" t="s">
        <v>1976</v>
      </c>
      <c r="G77" s="13" t="s">
        <v>601</v>
      </c>
      <c r="H77" s="15" t="s">
        <v>1977</v>
      </c>
      <c r="I77" s="10" t="s">
        <v>106</v>
      </c>
      <c r="J77" s="10" t="s">
        <v>1978</v>
      </c>
      <c r="K77" s="10" t="s">
        <v>1979</v>
      </c>
      <c r="L77" s="10">
        <v>2.60430268E9</v>
      </c>
      <c r="M77" s="10" t="s">
        <v>1980</v>
      </c>
      <c r="N77" s="10" t="s">
        <v>1981</v>
      </c>
      <c r="O77" s="10"/>
      <c r="P77" s="10"/>
      <c r="Q77" s="10" t="s">
        <v>77</v>
      </c>
      <c r="R77" s="10"/>
      <c r="S77" s="10" t="s">
        <v>1955</v>
      </c>
      <c r="T77" s="10"/>
      <c r="U77" s="10" t="s">
        <v>322</v>
      </c>
      <c r="V77" s="10" t="s">
        <v>1354</v>
      </c>
      <c r="W77" s="10" t="s">
        <v>56</v>
      </c>
      <c r="X77" s="18">
        <f>COUNTIF('간병인배정'!$B:$B,$A77)</f>
        <v>1</v>
      </c>
      <c r="Y77" s="18">
        <f>SUMIF('간병비지급'!$B:$B,$A77,'간병비지급'!$I:$I)</f>
        <v>540000</v>
      </c>
      <c r="Z77" s="18">
        <f>COUNTIF('보험청구'!$B:$B,$A77)</f>
        <v>1</v>
      </c>
      <c r="AA77" s="18">
        <f>COUNTIFS('보험청구'!$B:$B,$A77,'보험청구'!$J:$J,"미확인")</f>
        <v>0</v>
      </c>
      <c r="AB77" s="18">
        <f>SUMIF('보험청구'!$B:$B,$A77,'보험청구'!$I:$I)</f>
        <v>720000</v>
      </c>
      <c r="AC77" s="18">
        <f>SUMIF('보험청구'!$B:$B,$A77,'보험청구'!$L:$L)</f>
        <v>0</v>
      </c>
      <c r="AD77" s="30">
        <v>46119.0</v>
      </c>
      <c r="AE77" s="30">
        <v>46123.0</v>
      </c>
      <c r="AF77" s="10">
        <f t="shared" si="1"/>
        <v>160</v>
      </c>
      <c r="AG77" s="10" t="str">
        <f t="shared" si="2"/>
        <v>정상</v>
      </c>
      <c r="AH77" s="25"/>
      <c r="AI77" s="10"/>
      <c r="AJ77" s="10"/>
    </row>
    <row r="78" ht="15.75" customHeight="1">
      <c r="A78" s="10" t="s">
        <v>980</v>
      </c>
      <c r="B78" s="13" t="s">
        <v>1973</v>
      </c>
      <c r="C78" s="10" t="s">
        <v>66</v>
      </c>
      <c r="D78" s="14">
        <v>1.9750106E7</v>
      </c>
      <c r="E78" s="10" t="s">
        <v>1974</v>
      </c>
      <c r="F78" s="10" t="s">
        <v>1976</v>
      </c>
      <c r="G78" s="13" t="s">
        <v>601</v>
      </c>
      <c r="H78" s="15" t="s">
        <v>1977</v>
      </c>
      <c r="I78" s="10" t="s">
        <v>106</v>
      </c>
      <c r="J78" s="10" t="s">
        <v>1978</v>
      </c>
      <c r="K78" s="10" t="s">
        <v>1979</v>
      </c>
      <c r="L78" s="10">
        <v>2.60430268E9</v>
      </c>
      <c r="M78" s="10" t="s">
        <v>1980</v>
      </c>
      <c r="N78" s="10" t="s">
        <v>1981</v>
      </c>
      <c r="O78" s="10"/>
      <c r="P78" s="10"/>
      <c r="Q78" s="10" t="s">
        <v>77</v>
      </c>
      <c r="R78" s="10"/>
      <c r="S78" s="10" t="s">
        <v>2010</v>
      </c>
      <c r="T78" s="10"/>
      <c r="U78" s="10" t="s">
        <v>322</v>
      </c>
      <c r="V78" s="10" t="s">
        <v>1354</v>
      </c>
      <c r="W78" s="10" t="s">
        <v>56</v>
      </c>
      <c r="X78" s="18">
        <f>COUNTIF('간병인배정'!$B:$B,$A78)</f>
        <v>1</v>
      </c>
      <c r="Y78" s="18">
        <f>SUMIF('간병비지급'!$B:$B,$A78,'간병비지급'!$I:$I)</f>
        <v>290000</v>
      </c>
      <c r="Z78" s="18">
        <f>COUNTIF('보험청구'!$B:$B,$A78)</f>
        <v>1</v>
      </c>
      <c r="AA78" s="18">
        <f>COUNTIFS('보험청구'!$B:$B,$A78,'보험청구'!$J:$J,"미확인")</f>
        <v>0</v>
      </c>
      <c r="AB78" s="18">
        <f>SUMIF('보험청구'!$B:$B,$A78,'보험청구'!$I:$I)</f>
        <v>0</v>
      </c>
      <c r="AC78" s="18">
        <f>SUMIF('보험청구'!$B:$B,$A78,'보험청구'!$L:$L)</f>
        <v>0</v>
      </c>
      <c r="AD78" s="30">
        <v>46151.0</v>
      </c>
      <c r="AE78" s="10"/>
      <c r="AF78" s="10" t="str">
        <f t="shared" si="1"/>
        <v/>
      </c>
      <c r="AG78" s="10" t="str">
        <f t="shared" si="2"/>
        <v>정상</v>
      </c>
      <c r="AH78" s="26" t="s">
        <v>2030</v>
      </c>
      <c r="AI78" s="10"/>
      <c r="AJ78" s="10"/>
    </row>
    <row r="79" ht="15.75" customHeight="1">
      <c r="A79" s="10" t="s">
        <v>1000</v>
      </c>
      <c r="B79" s="13" t="s">
        <v>1973</v>
      </c>
      <c r="C79" s="10" t="s">
        <v>66</v>
      </c>
      <c r="D79" s="14">
        <v>1.9750106E7</v>
      </c>
      <c r="E79" s="10" t="s">
        <v>1974</v>
      </c>
      <c r="F79" s="10" t="s">
        <v>1976</v>
      </c>
      <c r="G79" s="13" t="s">
        <v>601</v>
      </c>
      <c r="H79" s="15" t="s">
        <v>1977</v>
      </c>
      <c r="I79" s="10" t="s">
        <v>106</v>
      </c>
      <c r="J79" s="10" t="s">
        <v>1978</v>
      </c>
      <c r="K79" s="10" t="s">
        <v>1979</v>
      </c>
      <c r="L79" s="10">
        <v>2.60430268E9</v>
      </c>
      <c r="M79" s="10" t="s">
        <v>1980</v>
      </c>
      <c r="N79" s="10" t="s">
        <v>1981</v>
      </c>
      <c r="O79" s="10"/>
      <c r="P79" s="10"/>
      <c r="Q79" s="10" t="s">
        <v>77</v>
      </c>
      <c r="R79" s="10"/>
      <c r="S79" s="10" t="s">
        <v>2010</v>
      </c>
      <c r="T79" s="10"/>
      <c r="U79" s="10" t="s">
        <v>322</v>
      </c>
      <c r="V79" s="10" t="s">
        <v>1354</v>
      </c>
      <c r="W79" s="10" t="s">
        <v>56</v>
      </c>
      <c r="X79" s="18">
        <f>COUNTIF('간병인배정'!$B:$B,$A79)</f>
        <v>1</v>
      </c>
      <c r="Y79" s="18">
        <f>SUMIF('간병비지급'!$B:$B,$A79,'간병비지급'!$I:$I)</f>
        <v>530000</v>
      </c>
      <c r="Z79" s="18">
        <f>COUNTIF('보험청구'!$B:$B,$A79)</f>
        <v>1</v>
      </c>
      <c r="AA79" s="18">
        <f>COUNTIFS('보험청구'!$B:$B,$A79,'보험청구'!$J:$J,"미확인")</f>
        <v>0</v>
      </c>
      <c r="AB79" s="18">
        <f>SUMIF('보험청구'!$B:$B,$A79,'보험청구'!$I:$I)</f>
        <v>0</v>
      </c>
      <c r="AC79" s="18">
        <f>SUMIF('보험청구'!$B:$B,$A79,'보험청구'!$L:$L)</f>
        <v>0</v>
      </c>
      <c r="AD79" s="30">
        <v>46153.0</v>
      </c>
      <c r="AE79" s="10"/>
      <c r="AF79" s="10" t="str">
        <f t="shared" si="1"/>
        <v/>
      </c>
      <c r="AG79" s="10" t="str">
        <f t="shared" si="2"/>
        <v>정상</v>
      </c>
      <c r="AH79" s="26" t="s">
        <v>2030</v>
      </c>
      <c r="AI79" s="10"/>
      <c r="AJ79" s="10"/>
    </row>
    <row r="80" ht="15.75" customHeight="1">
      <c r="A80" s="10" t="s">
        <v>1011</v>
      </c>
      <c r="B80" s="13" t="s">
        <v>1973</v>
      </c>
      <c r="C80" s="10" t="s">
        <v>66</v>
      </c>
      <c r="D80" s="14">
        <v>1.9750106E7</v>
      </c>
      <c r="E80" s="10" t="s">
        <v>1974</v>
      </c>
      <c r="F80" s="10" t="s">
        <v>1976</v>
      </c>
      <c r="G80" s="13" t="s">
        <v>601</v>
      </c>
      <c r="H80" s="15" t="s">
        <v>1977</v>
      </c>
      <c r="I80" s="10" t="s">
        <v>106</v>
      </c>
      <c r="J80" s="10" t="s">
        <v>1978</v>
      </c>
      <c r="K80" s="10" t="s">
        <v>1979</v>
      </c>
      <c r="L80" s="10">
        <v>2.60430268E9</v>
      </c>
      <c r="M80" s="10" t="s">
        <v>1980</v>
      </c>
      <c r="N80" s="10" t="s">
        <v>1981</v>
      </c>
      <c r="O80" s="10"/>
      <c r="P80" s="10"/>
      <c r="Q80" s="10" t="s">
        <v>77</v>
      </c>
      <c r="R80" s="10"/>
      <c r="S80" s="10" t="s">
        <v>2010</v>
      </c>
      <c r="T80" s="10"/>
      <c r="U80" s="10" t="s">
        <v>322</v>
      </c>
      <c r="V80" s="10" t="s">
        <v>1354</v>
      </c>
      <c r="W80" s="10" t="s">
        <v>56</v>
      </c>
      <c r="X80" s="18">
        <f>COUNTIF('간병인배정'!$B:$B,$A80)</f>
        <v>1</v>
      </c>
      <c r="Y80" s="18">
        <f>SUMIF('간병비지급'!$B:$B,$A80,'간병비지급'!$I:$I)</f>
        <v>5440000</v>
      </c>
      <c r="Z80" s="18">
        <f>COUNTIF('보험청구'!$B:$B,$A80)</f>
        <v>3</v>
      </c>
      <c r="AA80" s="18">
        <f>COUNTIFS('보험청구'!$B:$B,$A80,'보험청구'!$J:$J,"미확인")</f>
        <v>0</v>
      </c>
      <c r="AB80" s="18">
        <f>SUMIF('보험청구'!$B:$B,$A80,'보험청구'!$I:$I)</f>
        <v>4608000</v>
      </c>
      <c r="AC80" s="18">
        <f>SUMIF('보험청구'!$B:$B,$A80,'보험청구'!$L:$L)</f>
        <v>0</v>
      </c>
      <c r="AD80" s="30">
        <v>46157.0</v>
      </c>
      <c r="AE80" s="30">
        <v>46185.0</v>
      </c>
      <c r="AF80" s="10">
        <f t="shared" si="1"/>
        <v>98</v>
      </c>
      <c r="AG80" s="10" t="str">
        <f t="shared" si="2"/>
        <v>정상</v>
      </c>
      <c r="AH80" s="25"/>
      <c r="AI80" s="10"/>
      <c r="AJ80" s="10"/>
    </row>
    <row r="81" ht="15.75" customHeight="1">
      <c r="A81" s="10" t="s">
        <v>1023</v>
      </c>
      <c r="B81" s="13" t="s">
        <v>1973</v>
      </c>
      <c r="C81" s="10" t="s">
        <v>66</v>
      </c>
      <c r="D81" s="14">
        <v>1.9750106E7</v>
      </c>
      <c r="E81" s="10" t="s">
        <v>1974</v>
      </c>
      <c r="F81" s="10" t="s">
        <v>1976</v>
      </c>
      <c r="G81" s="13" t="s">
        <v>601</v>
      </c>
      <c r="H81" s="15" t="s">
        <v>1977</v>
      </c>
      <c r="I81" s="10" t="s">
        <v>106</v>
      </c>
      <c r="J81" s="10" t="s">
        <v>1978</v>
      </c>
      <c r="K81" s="10" t="s">
        <v>1979</v>
      </c>
      <c r="L81" s="10">
        <v>2.60430268E9</v>
      </c>
      <c r="M81" s="10" t="s">
        <v>1980</v>
      </c>
      <c r="N81" s="10" t="s">
        <v>1981</v>
      </c>
      <c r="O81" s="10"/>
      <c r="P81" s="10"/>
      <c r="Q81" s="10" t="s">
        <v>77</v>
      </c>
      <c r="R81" s="10"/>
      <c r="S81" s="10" t="s">
        <v>2010</v>
      </c>
      <c r="T81" s="10"/>
      <c r="U81" s="10" t="s">
        <v>322</v>
      </c>
      <c r="V81" s="10"/>
      <c r="W81" s="10" t="s">
        <v>56</v>
      </c>
      <c r="X81" s="18">
        <f>COUNTIF('간병인배정'!$B:$B,$A81)</f>
        <v>1</v>
      </c>
      <c r="Y81" s="18">
        <f>SUMIF('간병비지급'!$B:$B,$A81,'간병비지급'!$I:$I)</f>
        <v>750000</v>
      </c>
      <c r="Z81" s="18">
        <f>COUNTIF('보험청구'!$B:$B,$A81)</f>
        <v>1</v>
      </c>
      <c r="AA81" s="18">
        <f>COUNTIFS('보험청구'!$B:$B,$A81,'보험청구'!$J:$J,"미확인")</f>
        <v>0</v>
      </c>
      <c r="AB81" s="18">
        <f>SUMIF('보험청구'!$B:$B,$A81,'보험청구'!$I:$I)</f>
        <v>720000</v>
      </c>
      <c r="AC81" s="18">
        <f>SUMIF('보험청구'!$B:$B,$A81,'보험청구'!$L:$L)</f>
        <v>0</v>
      </c>
      <c r="AD81" s="30">
        <v>46187.0</v>
      </c>
      <c r="AE81" s="30">
        <v>46198.0</v>
      </c>
      <c r="AF81" s="10">
        <f t="shared" si="1"/>
        <v>85</v>
      </c>
      <c r="AG81" s="10" t="str">
        <f t="shared" si="2"/>
        <v>정상</v>
      </c>
      <c r="AH81" s="25"/>
      <c r="AI81" s="10"/>
      <c r="AJ81" s="10"/>
    </row>
    <row r="82" ht="15.75" customHeight="1">
      <c r="A82" s="10" t="s">
        <v>1036</v>
      </c>
      <c r="B82" s="13" t="s">
        <v>1973</v>
      </c>
      <c r="C82" s="10" t="s">
        <v>66</v>
      </c>
      <c r="D82" s="14">
        <v>1.9750106E7</v>
      </c>
      <c r="E82" s="10" t="s">
        <v>1974</v>
      </c>
      <c r="F82" s="10" t="s">
        <v>1976</v>
      </c>
      <c r="G82" s="13" t="s">
        <v>1589</v>
      </c>
      <c r="H82" s="15" t="s">
        <v>2084</v>
      </c>
      <c r="I82" s="10" t="s">
        <v>106</v>
      </c>
      <c r="J82" s="10" t="s">
        <v>1978</v>
      </c>
      <c r="K82" s="10" t="s">
        <v>1979</v>
      </c>
      <c r="L82" s="10">
        <v>2.60430268E9</v>
      </c>
      <c r="M82" s="10" t="s">
        <v>1980</v>
      </c>
      <c r="N82" s="10" t="s">
        <v>1981</v>
      </c>
      <c r="O82" s="10"/>
      <c r="P82" s="10"/>
      <c r="Q82" s="10" t="s">
        <v>77</v>
      </c>
      <c r="R82" s="10"/>
      <c r="S82" s="10" t="s">
        <v>2010</v>
      </c>
      <c r="T82" s="10"/>
      <c r="U82" s="10" t="s">
        <v>322</v>
      </c>
      <c r="V82" s="10"/>
      <c r="W82" s="10" t="s">
        <v>65</v>
      </c>
      <c r="X82" s="18">
        <f>COUNTIF('간병인배정'!$B:$B,$A82)</f>
        <v>1</v>
      </c>
      <c r="Y82" s="18">
        <f>SUMIF('간병비지급'!$B:$B,$A82,'간병비지급'!$I:$I)</f>
        <v>9750000</v>
      </c>
      <c r="Z82" s="18">
        <f>COUNTIF('보험청구'!$B:$B,$A82)</f>
        <v>9</v>
      </c>
      <c r="AA82" s="18">
        <f>COUNTIFS('보험청구'!$B:$B,$A82,'보험청구'!$J:$J,"미확인")</f>
        <v>0</v>
      </c>
      <c r="AB82" s="18">
        <f>SUMIF('보험청구'!$B:$B,$A82,'보험청구'!$I:$I)</f>
        <v>6336000</v>
      </c>
      <c r="AC82" s="18">
        <f>SUMIF('보험청구'!$B:$B,$A82,'보험청구'!$L:$L)</f>
        <v>3564000</v>
      </c>
      <c r="AD82" s="30">
        <v>46198.0</v>
      </c>
      <c r="AE82" s="39">
        <v>46275.0</v>
      </c>
      <c r="AF82" s="10">
        <f t="shared" si="1"/>
        <v>8</v>
      </c>
      <c r="AG82" s="10" t="str">
        <f t="shared" si="2"/>
        <v>정상</v>
      </c>
      <c r="AH82" s="26"/>
      <c r="AI82" s="10"/>
      <c r="AJ82" s="10"/>
    </row>
    <row r="83" ht="15.75" customHeight="1">
      <c r="A83" s="10" t="s">
        <v>1042</v>
      </c>
      <c r="B83" s="13" t="s">
        <v>64</v>
      </c>
      <c r="C83" s="10" t="s">
        <v>66</v>
      </c>
      <c r="D83" s="14">
        <v>1.966123E7</v>
      </c>
      <c r="E83" s="10" t="s">
        <v>68</v>
      </c>
      <c r="F83" s="10" t="s">
        <v>69</v>
      </c>
      <c r="G83" s="13" t="s">
        <v>70</v>
      </c>
      <c r="H83" s="15" t="s">
        <v>71</v>
      </c>
      <c r="I83" s="10" t="s">
        <v>73</v>
      </c>
      <c r="J83" s="10" t="s">
        <v>74</v>
      </c>
      <c r="K83" s="10" t="s">
        <v>75</v>
      </c>
      <c r="L83" s="10">
        <v>2.604303152E9</v>
      </c>
      <c r="M83" s="10" t="s">
        <v>1352</v>
      </c>
      <c r="N83" s="10" t="s">
        <v>1353</v>
      </c>
      <c r="O83" s="10"/>
      <c r="P83" s="10"/>
      <c r="Q83" s="10" t="s">
        <v>77</v>
      </c>
      <c r="R83" s="10"/>
      <c r="S83" s="10" t="s">
        <v>1955</v>
      </c>
      <c r="T83" s="10"/>
      <c r="U83" s="10" t="s">
        <v>80</v>
      </c>
      <c r="V83" s="10" t="s">
        <v>81</v>
      </c>
      <c r="W83" s="10" t="s">
        <v>178</v>
      </c>
      <c r="X83" s="18">
        <f>COUNTIF('간병인배정'!$B:$B,$A83)</f>
        <v>1</v>
      </c>
      <c r="Y83" s="18">
        <f>SUMIF('간병비지급'!$B:$B,$A83,'간병비지급'!$I:$I)</f>
        <v>0</v>
      </c>
      <c r="Z83" s="18">
        <f>COUNTIF('보험청구'!$B:$B,$A83)</f>
        <v>0</v>
      </c>
      <c r="AA83" s="18">
        <f>COUNTIFS('보험청구'!$B:$B,$A83,'보험청구'!$J:$J,"미확인")</f>
        <v>0</v>
      </c>
      <c r="AB83" s="18">
        <f>SUMIF('보험청구'!$B:$B,$A83,'보험청구'!$I:$I)</f>
        <v>0</v>
      </c>
      <c r="AC83" s="18">
        <f>SUMIF('보험청구'!$B:$B,$A83,'보험청구'!$L:$L)</f>
        <v>0</v>
      </c>
      <c r="AD83" s="10"/>
      <c r="AE83" s="10"/>
      <c r="AF83" s="10" t="str">
        <f t="shared" si="1"/>
        <v/>
      </c>
      <c r="AG83" s="10" t="str">
        <f t="shared" si="2"/>
        <v>제외</v>
      </c>
      <c r="AH83" s="25" t="s">
        <v>2128</v>
      </c>
      <c r="AI83" s="10"/>
      <c r="AJ83" s="10"/>
    </row>
    <row r="84" ht="15.75" customHeight="1">
      <c r="A84" s="10" t="s">
        <v>1045</v>
      </c>
      <c r="B84" s="13" t="s">
        <v>2129</v>
      </c>
      <c r="C84" s="10" t="s">
        <v>66</v>
      </c>
      <c r="D84" s="14"/>
      <c r="E84" s="10"/>
      <c r="F84" s="10" t="s">
        <v>2133</v>
      </c>
      <c r="G84" s="13" t="s">
        <v>2135</v>
      </c>
      <c r="H84" s="15" t="s">
        <v>2137</v>
      </c>
      <c r="I84" s="10" t="s">
        <v>73</v>
      </c>
      <c r="J84" s="10" t="s">
        <v>2140</v>
      </c>
      <c r="K84" s="10" t="s">
        <v>2141</v>
      </c>
      <c r="L84" s="10">
        <v>2.60440285E9</v>
      </c>
      <c r="M84" s="10" t="s">
        <v>2142</v>
      </c>
      <c r="N84" s="10" t="s">
        <v>2143</v>
      </c>
      <c r="O84" s="10"/>
      <c r="P84" s="10"/>
      <c r="Q84" s="10" t="s">
        <v>77</v>
      </c>
      <c r="R84" s="10"/>
      <c r="S84" s="10" t="s">
        <v>2144</v>
      </c>
      <c r="T84" s="10"/>
      <c r="U84" s="10" t="s">
        <v>80</v>
      </c>
      <c r="V84" s="10" t="s">
        <v>2145</v>
      </c>
      <c r="W84" s="10" t="s">
        <v>56</v>
      </c>
      <c r="X84" s="18">
        <f>COUNTIF('간병인배정'!$B:$B,$A84)</f>
        <v>1</v>
      </c>
      <c r="Y84" s="18">
        <f>SUMIF('간병비지급'!$B:$B,$A84,'간병비지급'!$I:$I)</f>
        <v>0</v>
      </c>
      <c r="Z84" s="18">
        <f>COUNTIF('보험청구'!$B:$B,$A84)</f>
        <v>1</v>
      </c>
      <c r="AA84" s="18">
        <f>COUNTIFS('보험청구'!$B:$B,$A84,'보험청구'!$J:$J,"미확인")</f>
        <v>0</v>
      </c>
      <c r="AB84" s="18">
        <f>SUMIF('보험청구'!$B:$B,$A84,'보험청구'!$I:$I)</f>
        <v>1290000</v>
      </c>
      <c r="AC84" s="18">
        <f>SUMIF('보험청구'!$B:$B,$A84,'보험청구'!$L:$L)</f>
        <v>0</v>
      </c>
      <c r="AD84" s="30">
        <v>46126.0</v>
      </c>
      <c r="AE84" s="30">
        <v>46175.0</v>
      </c>
      <c r="AF84" s="10">
        <f t="shared" si="1"/>
        <v>108</v>
      </c>
      <c r="AG84" s="10" t="str">
        <f t="shared" si="2"/>
        <v>정상</v>
      </c>
      <c r="AH84" s="25"/>
      <c r="AI84" s="10"/>
      <c r="AJ84" s="10"/>
    </row>
    <row r="85" ht="15.75" customHeight="1">
      <c r="A85" s="10" t="s">
        <v>1066</v>
      </c>
      <c r="B85" s="13" t="s">
        <v>2165</v>
      </c>
      <c r="C85" s="10" t="s">
        <v>66</v>
      </c>
      <c r="D85" s="14"/>
      <c r="E85" s="10"/>
      <c r="F85" s="10" t="s">
        <v>126</v>
      </c>
      <c r="G85" s="13" t="s">
        <v>2166</v>
      </c>
      <c r="H85" s="15" t="s">
        <v>2167</v>
      </c>
      <c r="I85" s="10" t="s">
        <v>106</v>
      </c>
      <c r="J85" s="10" t="s">
        <v>2168</v>
      </c>
      <c r="K85" s="10" t="s">
        <v>2169</v>
      </c>
      <c r="L85" s="10">
        <v>2.604403048E9</v>
      </c>
      <c r="M85" s="10" t="s">
        <v>2170</v>
      </c>
      <c r="N85" s="10" t="s">
        <v>2171</v>
      </c>
      <c r="O85" s="10"/>
      <c r="P85" s="10"/>
      <c r="Q85" s="10" t="s">
        <v>77</v>
      </c>
      <c r="R85" s="10"/>
      <c r="S85" s="10" t="s">
        <v>2144</v>
      </c>
      <c r="T85" s="10" t="s">
        <v>192</v>
      </c>
      <c r="U85" s="10" t="s">
        <v>322</v>
      </c>
      <c r="V85" s="10" t="s">
        <v>2172</v>
      </c>
      <c r="W85" s="10" t="s">
        <v>56</v>
      </c>
      <c r="X85" s="18">
        <f>COUNTIF('간병인배정'!$B:$B,$A85)</f>
        <v>1</v>
      </c>
      <c r="Y85" s="18">
        <f>SUMIF('간병비지급'!$B:$B,$A85,'간병비지급'!$I:$I)</f>
        <v>2520000</v>
      </c>
      <c r="Z85" s="18">
        <f>COUNTIF('보험청구'!$B:$B,$A85)</f>
        <v>2</v>
      </c>
      <c r="AA85" s="18">
        <f>COUNTIFS('보험청구'!$B:$B,$A85,'보험청구'!$J:$J,"미확인")</f>
        <v>0</v>
      </c>
      <c r="AB85" s="18">
        <f>SUMIF('보험청구'!$B:$B,$A85,'보험청구'!$I:$I)</f>
        <v>1728000</v>
      </c>
      <c r="AC85" s="18">
        <f>SUMIF('보험청구'!$B:$B,$A85,'보험청구'!$L:$L)</f>
        <v>0</v>
      </c>
      <c r="AD85" s="30">
        <v>46134.0</v>
      </c>
      <c r="AE85" s="30">
        <v>46146.0</v>
      </c>
      <c r="AF85" s="10">
        <f t="shared" si="1"/>
        <v>137</v>
      </c>
      <c r="AG85" s="10" t="str">
        <f t="shared" si="2"/>
        <v>정상</v>
      </c>
      <c r="AH85" s="25"/>
      <c r="AI85" s="10"/>
      <c r="AJ85" s="10"/>
    </row>
    <row r="86" ht="15.75" customHeight="1">
      <c r="A86" s="10" t="s">
        <v>1079</v>
      </c>
      <c r="B86" s="13" t="s">
        <v>2195</v>
      </c>
      <c r="C86" s="10" t="s">
        <v>66</v>
      </c>
      <c r="D86" s="14">
        <v>1.9581016E7</v>
      </c>
      <c r="E86" s="10" t="s">
        <v>2198</v>
      </c>
      <c r="F86" s="10" t="s">
        <v>126</v>
      </c>
      <c r="G86" s="13" t="s">
        <v>2199</v>
      </c>
      <c r="H86" s="15" t="s">
        <v>2200</v>
      </c>
      <c r="I86" s="10" t="s">
        <v>106</v>
      </c>
      <c r="J86" s="10" t="s">
        <v>2201</v>
      </c>
      <c r="K86" s="10" t="s">
        <v>2202</v>
      </c>
      <c r="L86" s="10">
        <v>2.604401986E9</v>
      </c>
      <c r="M86" s="10" t="s">
        <v>2203</v>
      </c>
      <c r="N86" s="10" t="s">
        <v>2204</v>
      </c>
      <c r="O86" s="10"/>
      <c r="P86" s="10"/>
      <c r="Q86" s="10" t="s">
        <v>77</v>
      </c>
      <c r="R86" s="10"/>
      <c r="S86" s="10" t="s">
        <v>2144</v>
      </c>
      <c r="T86" s="10" t="s">
        <v>1361</v>
      </c>
      <c r="U86" s="10" t="s">
        <v>322</v>
      </c>
      <c r="V86" s="10" t="s">
        <v>1354</v>
      </c>
      <c r="W86" s="10" t="s">
        <v>56</v>
      </c>
      <c r="X86" s="18">
        <f>COUNTIF('간병인배정'!$B:$B,$A86)</f>
        <v>1</v>
      </c>
      <c r="Y86" s="18">
        <f>SUMIF('간병비지급'!$B:$B,$A86,'간병비지급'!$I:$I)</f>
        <v>13380000</v>
      </c>
      <c r="Z86" s="18">
        <f>COUNTIF('보험청구'!$B:$B,$A86)</f>
        <v>6</v>
      </c>
      <c r="AA86" s="18">
        <f>COUNTIFS('보험청구'!$B:$B,$A86,'보험청구'!$J:$J,"미확인")</f>
        <v>0</v>
      </c>
      <c r="AB86" s="18">
        <f>SUMIF('보험청구'!$B:$B,$A86,'보험청구'!$I:$I)</f>
        <v>12960000</v>
      </c>
      <c r="AC86" s="18">
        <f>SUMIF('보험청구'!$B:$B,$A86,'보험청구'!$L:$L)</f>
        <v>441000</v>
      </c>
      <c r="AD86" s="30">
        <v>46138.0</v>
      </c>
      <c r="AE86" s="30">
        <v>46234.0</v>
      </c>
      <c r="AF86" s="10">
        <f t="shared" si="1"/>
        <v>49</v>
      </c>
      <c r="AG86" s="10" t="str">
        <f t="shared" si="2"/>
        <v>정상</v>
      </c>
      <c r="AH86" s="25"/>
      <c r="AI86" s="10"/>
      <c r="AJ86" s="10"/>
    </row>
    <row r="87" ht="15.75" customHeight="1">
      <c r="A87" s="10" t="s">
        <v>1090</v>
      </c>
      <c r="B87" s="13" t="s">
        <v>2195</v>
      </c>
      <c r="C87" s="10" t="s">
        <v>66</v>
      </c>
      <c r="D87" s="14">
        <v>1.9581016E7</v>
      </c>
      <c r="E87" s="10" t="s">
        <v>2198</v>
      </c>
      <c r="F87" s="10" t="s">
        <v>126</v>
      </c>
      <c r="G87" s="13" t="s">
        <v>2199</v>
      </c>
      <c r="H87" s="15" t="s">
        <v>2200</v>
      </c>
      <c r="I87" s="10" t="s">
        <v>106</v>
      </c>
      <c r="J87" s="10" t="s">
        <v>2201</v>
      </c>
      <c r="K87" s="10" t="s">
        <v>2202</v>
      </c>
      <c r="L87" s="10">
        <v>2.604401986E9</v>
      </c>
      <c r="M87" s="10" t="s">
        <v>2203</v>
      </c>
      <c r="N87" s="10" t="s">
        <v>2204</v>
      </c>
      <c r="O87" s="10"/>
      <c r="P87" s="10"/>
      <c r="Q87" s="10" t="s">
        <v>77</v>
      </c>
      <c r="R87" s="10"/>
      <c r="S87" s="10" t="s">
        <v>2144</v>
      </c>
      <c r="T87" s="10" t="s">
        <v>1361</v>
      </c>
      <c r="U87" s="10" t="s">
        <v>322</v>
      </c>
      <c r="V87" s="10" t="s">
        <v>1354</v>
      </c>
      <c r="W87" s="10" t="s">
        <v>65</v>
      </c>
      <c r="X87" s="18">
        <f>COUNTIF('간병인배정'!$B:$B,$A87)</f>
        <v>1</v>
      </c>
      <c r="Y87" s="18">
        <f>SUMIF('간병비지급'!$B:$B,$A87,'간병비지급'!$I:$I)</f>
        <v>6885000</v>
      </c>
      <c r="Z87" s="18">
        <f>COUNTIF('보험청구'!$B:$B,$A87)</f>
        <v>5</v>
      </c>
      <c r="AA87" s="18">
        <f>COUNTIFS('보험청구'!$B:$B,$A87,'보험청구'!$J:$J,"미확인")</f>
        <v>0</v>
      </c>
      <c r="AB87" s="18">
        <f>SUMIF('보험청구'!$B:$B,$A87,'보험청구'!$I:$I)</f>
        <v>2835000</v>
      </c>
      <c r="AC87" s="18">
        <f>SUMIF('보험청구'!$B:$B,$A87,'보험청구'!$L:$L)</f>
        <v>3064000</v>
      </c>
      <c r="AD87" s="30">
        <v>46234.0</v>
      </c>
      <c r="AE87" s="39">
        <v>46275.0</v>
      </c>
      <c r="AF87" s="10">
        <f t="shared" si="1"/>
        <v>8</v>
      </c>
      <c r="AG87" s="10" t="str">
        <f t="shared" si="2"/>
        <v>정상</v>
      </c>
      <c r="AH87" s="26" t="s">
        <v>2257</v>
      </c>
      <c r="AI87" s="10"/>
      <c r="AJ87" s="10"/>
    </row>
    <row r="88" ht="15.75" customHeight="1">
      <c r="A88" s="10" t="s">
        <v>1100</v>
      </c>
      <c r="B88" s="13" t="s">
        <v>2258</v>
      </c>
      <c r="C88" s="10" t="s">
        <v>212</v>
      </c>
      <c r="D88" s="14">
        <v>1.9680224E7</v>
      </c>
      <c r="E88" s="10" t="s">
        <v>2259</v>
      </c>
      <c r="F88" s="10" t="s">
        <v>126</v>
      </c>
      <c r="G88" s="13" t="s">
        <v>1804</v>
      </c>
      <c r="H88" s="15" t="s">
        <v>2260</v>
      </c>
      <c r="I88" s="10" t="s">
        <v>106</v>
      </c>
      <c r="J88" s="10" t="s">
        <v>2261</v>
      </c>
      <c r="K88" s="10" t="s">
        <v>2262</v>
      </c>
      <c r="L88" s="10">
        <v>2.604478964E9</v>
      </c>
      <c r="M88" s="10" t="s">
        <v>2264</v>
      </c>
      <c r="N88" s="10" t="s">
        <v>2266</v>
      </c>
      <c r="O88" s="10"/>
      <c r="P88" s="10"/>
      <c r="Q88" s="10" t="s">
        <v>77</v>
      </c>
      <c r="R88" s="10"/>
      <c r="S88" s="10" t="s">
        <v>183</v>
      </c>
      <c r="T88" s="10" t="s">
        <v>2270</v>
      </c>
      <c r="U88" s="10" t="s">
        <v>322</v>
      </c>
      <c r="V88" s="10" t="s">
        <v>2272</v>
      </c>
      <c r="W88" s="10" t="s">
        <v>56</v>
      </c>
      <c r="X88" s="18">
        <f>COUNTIF('간병인배정'!$B:$B,$A88)</f>
        <v>1</v>
      </c>
      <c r="Y88" s="18">
        <f>SUMIF('간병비지급'!$B:$B,$A88,'간병비지급'!$I:$I)</f>
        <v>560000</v>
      </c>
      <c r="Z88" s="18">
        <f>COUNTIF('보험청구'!$B:$B,$A88)</f>
        <v>1</v>
      </c>
      <c r="AA88" s="18">
        <f>COUNTIFS('보험청구'!$B:$B,$A88,'보험청구'!$J:$J,"미확인")</f>
        <v>0</v>
      </c>
      <c r="AB88" s="18">
        <f>SUMIF('보험청구'!$B:$B,$A88,'보험청구'!$I:$I)</f>
        <v>675000</v>
      </c>
      <c r="AC88" s="18">
        <f>SUMIF('보험청구'!$B:$B,$A88,'보험청구'!$L:$L)</f>
        <v>0</v>
      </c>
      <c r="AD88" s="30">
        <v>46125.0</v>
      </c>
      <c r="AE88" s="30">
        <v>46130.0</v>
      </c>
      <c r="AF88" s="10">
        <f t="shared" si="1"/>
        <v>153</v>
      </c>
      <c r="AG88" s="10" t="str">
        <f t="shared" si="2"/>
        <v>정상</v>
      </c>
      <c r="AH88" s="25" t="s">
        <v>2292</v>
      </c>
      <c r="AI88" s="10"/>
      <c r="AJ88" s="10"/>
    </row>
    <row r="89" ht="15.75" customHeight="1">
      <c r="A89" s="10" t="s">
        <v>1119</v>
      </c>
      <c r="B89" s="13" t="s">
        <v>2293</v>
      </c>
      <c r="C89" s="10" t="s">
        <v>66</v>
      </c>
      <c r="D89" s="14"/>
      <c r="E89" s="10"/>
      <c r="F89" s="10" t="s">
        <v>391</v>
      </c>
      <c r="G89" s="13" t="s">
        <v>2294</v>
      </c>
      <c r="H89" s="15" t="s">
        <v>2295</v>
      </c>
      <c r="I89" s="10" t="s">
        <v>106</v>
      </c>
      <c r="J89" s="10" t="s">
        <v>2297</v>
      </c>
      <c r="K89" s="10" t="s">
        <v>2298</v>
      </c>
      <c r="L89" s="10" t="s">
        <v>2299</v>
      </c>
      <c r="M89" s="10" t="s">
        <v>2300</v>
      </c>
      <c r="N89" s="10" t="s">
        <v>2301</v>
      </c>
      <c r="O89" s="10"/>
      <c r="P89" s="10"/>
      <c r="Q89" s="10" t="s">
        <v>77</v>
      </c>
      <c r="R89" s="10"/>
      <c r="S89" s="10" t="s">
        <v>2270</v>
      </c>
      <c r="T89" s="10" t="s">
        <v>2270</v>
      </c>
      <c r="U89" s="10" t="s">
        <v>322</v>
      </c>
      <c r="V89" s="10" t="s">
        <v>2272</v>
      </c>
      <c r="W89" s="10" t="s">
        <v>56</v>
      </c>
      <c r="X89" s="18">
        <f>COUNTIF('간병인배정'!$B:$B,$A89)</f>
        <v>1</v>
      </c>
      <c r="Y89" s="18">
        <f>SUMIF('간병비지급'!$B:$B,$A89,'간병비지급'!$I:$I)</f>
        <v>1120000</v>
      </c>
      <c r="Z89" s="18">
        <f>COUNTIF('보험청구'!$B:$B,$A89)</f>
        <v>1</v>
      </c>
      <c r="AA89" s="18">
        <f>COUNTIFS('보험청구'!$B:$B,$A89,'보험청구'!$J:$J,"미확인")</f>
        <v>0</v>
      </c>
      <c r="AB89" s="18">
        <f>SUMIF('보험청구'!$B:$B,$A89,'보험청구'!$I:$I)</f>
        <v>1152000</v>
      </c>
      <c r="AC89" s="18">
        <f>SUMIF('보험청구'!$B:$B,$A89,'보험청구'!$L:$L)</f>
        <v>0</v>
      </c>
      <c r="AD89" s="30">
        <v>46126.0</v>
      </c>
      <c r="AE89" s="30">
        <v>46134.0</v>
      </c>
      <c r="AF89" s="10">
        <f t="shared" si="1"/>
        <v>149</v>
      </c>
      <c r="AG89" s="10" t="str">
        <f t="shared" si="2"/>
        <v>정상</v>
      </c>
      <c r="AH89" s="25"/>
      <c r="AI89" s="10"/>
      <c r="AJ89" s="10"/>
    </row>
    <row r="90" ht="15.75" customHeight="1">
      <c r="A90" s="10" t="s">
        <v>1137</v>
      </c>
      <c r="B90" s="13" t="s">
        <v>2322</v>
      </c>
      <c r="C90" s="10" t="s">
        <v>66</v>
      </c>
      <c r="D90" s="14">
        <v>1.9520316E7</v>
      </c>
      <c r="E90" s="10" t="s">
        <v>2323</v>
      </c>
      <c r="F90" s="10" t="s">
        <v>987</v>
      </c>
      <c r="G90" s="13" t="s">
        <v>988</v>
      </c>
      <c r="H90" s="15" t="s">
        <v>2324</v>
      </c>
      <c r="I90" s="10" t="s">
        <v>106</v>
      </c>
      <c r="J90" s="10" t="s">
        <v>2325</v>
      </c>
      <c r="K90" s="10" t="s">
        <v>2326</v>
      </c>
      <c r="L90" s="10">
        <v>2.6046714E9</v>
      </c>
      <c r="M90" s="10" t="s">
        <v>2328</v>
      </c>
      <c r="N90" s="10" t="s">
        <v>2330</v>
      </c>
      <c r="O90" s="10"/>
      <c r="P90" s="10"/>
      <c r="Q90" s="10" t="s">
        <v>77</v>
      </c>
      <c r="R90" s="10"/>
      <c r="S90" s="10" t="s">
        <v>660</v>
      </c>
      <c r="T90" s="10" t="s">
        <v>1174</v>
      </c>
      <c r="U90" s="10" t="s">
        <v>322</v>
      </c>
      <c r="V90" s="10" t="s">
        <v>2272</v>
      </c>
      <c r="W90" s="10" t="s">
        <v>56</v>
      </c>
      <c r="X90" s="18">
        <f>COUNTIF('간병인배정'!$B:$B,$A90)</f>
        <v>1</v>
      </c>
      <c r="Y90" s="18">
        <f>SUMIF('간병비지급'!$B:$B,$A90,'간병비지급'!$I:$I)</f>
        <v>870000</v>
      </c>
      <c r="Z90" s="18">
        <f>COUNTIF('보험청구'!$B:$B,$A90)</f>
        <v>1</v>
      </c>
      <c r="AA90" s="18">
        <f>COUNTIFS('보험청구'!$B:$B,$A90,'보험청구'!$J:$J,"미확인")</f>
        <v>0</v>
      </c>
      <c r="AB90" s="18">
        <f>SUMIF('보험청구'!$B:$B,$A90,'보험청구'!$I:$I)</f>
        <v>903000</v>
      </c>
      <c r="AC90" s="18">
        <f>SUMIF('보험청구'!$B:$B,$A90,'보험청구'!$L:$L)</f>
        <v>0</v>
      </c>
      <c r="AD90" s="30">
        <v>46129.0</v>
      </c>
      <c r="AE90" s="30">
        <v>46135.0</v>
      </c>
      <c r="AF90" s="10">
        <f t="shared" si="1"/>
        <v>148</v>
      </c>
      <c r="AG90" s="10" t="str">
        <f t="shared" si="2"/>
        <v>정상</v>
      </c>
      <c r="AH90" s="25"/>
      <c r="AI90" s="10"/>
      <c r="AJ90" s="10"/>
    </row>
    <row r="91" ht="15.75" customHeight="1">
      <c r="A91" s="10" t="s">
        <v>1150</v>
      </c>
      <c r="B91" s="13" t="s">
        <v>2350</v>
      </c>
      <c r="C91" s="10" t="s">
        <v>66</v>
      </c>
      <c r="D91" s="14">
        <v>1.964111E7</v>
      </c>
      <c r="E91" s="10" t="s">
        <v>2353</v>
      </c>
      <c r="F91" s="10" t="s">
        <v>126</v>
      </c>
      <c r="G91" s="13" t="s">
        <v>392</v>
      </c>
      <c r="H91" s="15" t="s">
        <v>2355</v>
      </c>
      <c r="I91" s="10" t="s">
        <v>106</v>
      </c>
      <c r="J91" s="10" t="s">
        <v>2359</v>
      </c>
      <c r="K91" s="10" t="s">
        <v>2360</v>
      </c>
      <c r="L91" s="10">
        <v>2.604671558E9</v>
      </c>
      <c r="M91" s="10" t="s">
        <v>2361</v>
      </c>
      <c r="N91" s="10" t="s">
        <v>2362</v>
      </c>
      <c r="O91" s="10"/>
      <c r="P91" s="10"/>
      <c r="Q91" s="10" t="s">
        <v>77</v>
      </c>
      <c r="R91" s="10"/>
      <c r="S91" s="10" t="s">
        <v>660</v>
      </c>
      <c r="T91" s="10" t="s">
        <v>1776</v>
      </c>
      <c r="U91" s="10" t="s">
        <v>322</v>
      </c>
      <c r="V91" s="10" t="s">
        <v>2272</v>
      </c>
      <c r="W91" s="10" t="s">
        <v>56</v>
      </c>
      <c r="X91" s="18">
        <f>COUNTIF('간병인배정'!$B:$B,$A91)</f>
        <v>1</v>
      </c>
      <c r="Y91" s="18">
        <f>SUMIF('간병비지급'!$B:$B,$A91,'간병비지급'!$I:$I)</f>
        <v>675000</v>
      </c>
      <c r="Z91" s="18">
        <f>COUNTIF('보험청구'!$B:$B,$A91)</f>
        <v>1</v>
      </c>
      <c r="AA91" s="18">
        <f>COUNTIFS('보험청구'!$B:$B,$A91,'보험청구'!$J:$J,"미확인")</f>
        <v>0</v>
      </c>
      <c r="AB91" s="18">
        <f>SUMIF('보험청구'!$B:$B,$A91,'보험청구'!$I:$I)</f>
        <v>700000</v>
      </c>
      <c r="AC91" s="18">
        <f>SUMIF('보험청구'!$B:$B,$A91,'보험청구'!$L:$L)</f>
        <v>0</v>
      </c>
      <c r="AD91" s="30">
        <v>46146.0</v>
      </c>
      <c r="AE91" s="30">
        <v>46151.0</v>
      </c>
      <c r="AF91" s="10">
        <f t="shared" si="1"/>
        <v>132</v>
      </c>
      <c r="AG91" s="10" t="str">
        <f t="shared" si="2"/>
        <v>정상</v>
      </c>
      <c r="AH91" s="25"/>
      <c r="AI91" s="10"/>
      <c r="AJ91" s="10"/>
    </row>
    <row r="92" ht="15.75" customHeight="1">
      <c r="A92" s="10" t="s">
        <v>1158</v>
      </c>
      <c r="B92" s="13" t="s">
        <v>2379</v>
      </c>
      <c r="C92" s="10" t="s">
        <v>212</v>
      </c>
      <c r="D92" s="14">
        <v>1.9590703E7</v>
      </c>
      <c r="E92" s="10" t="s">
        <v>2380</v>
      </c>
      <c r="F92" s="10" t="s">
        <v>467</v>
      </c>
      <c r="G92" s="13" t="s">
        <v>2381</v>
      </c>
      <c r="H92" s="15" t="s">
        <v>2382</v>
      </c>
      <c r="I92" s="10" t="s">
        <v>106</v>
      </c>
      <c r="J92" s="10" t="s">
        <v>2383</v>
      </c>
      <c r="K92" s="10" t="s">
        <v>2384</v>
      </c>
      <c r="L92" s="10">
        <v>2.604714799E9</v>
      </c>
      <c r="M92" s="10" t="s">
        <v>2300</v>
      </c>
      <c r="N92" s="10" t="s">
        <v>2301</v>
      </c>
      <c r="O92" s="10"/>
      <c r="P92" s="10"/>
      <c r="Q92" s="10"/>
      <c r="R92" s="10"/>
      <c r="S92" s="10" t="s">
        <v>1361</v>
      </c>
      <c r="T92" s="10" t="s">
        <v>1174</v>
      </c>
      <c r="U92" s="10" t="s">
        <v>322</v>
      </c>
      <c r="V92" s="10"/>
      <c r="W92" s="10" t="s">
        <v>56</v>
      </c>
      <c r="X92" s="18">
        <f>COUNTIF('간병인배정'!$B:$B,$A92)</f>
        <v>1</v>
      </c>
      <c r="Y92" s="18">
        <f>SUMIF('간병비지급'!$B:$B,$A92,'간병비지급'!$I:$I)</f>
        <v>1110000</v>
      </c>
      <c r="Z92" s="18">
        <f>COUNTIF('보험청구'!$B:$B,$A92)</f>
        <v>1</v>
      </c>
      <c r="AA92" s="18">
        <f>COUNTIFS('보험청구'!$B:$B,$A92,'보험청구'!$J:$J,"미확인")</f>
        <v>0</v>
      </c>
      <c r="AB92" s="18">
        <f>SUMIF('보험청구'!$B:$B,$A92,'보험청구'!$I:$I)</f>
        <v>1260000</v>
      </c>
      <c r="AC92" s="18">
        <f>SUMIF('보험청구'!$B:$B,$A92,'보험청구'!$L:$L)</f>
        <v>0</v>
      </c>
      <c r="AD92" s="30">
        <v>46131.0</v>
      </c>
      <c r="AE92" s="30">
        <v>46139.0</v>
      </c>
      <c r="AF92" s="10">
        <f t="shared" si="1"/>
        <v>144</v>
      </c>
      <c r="AG92" s="10" t="str">
        <f t="shared" si="2"/>
        <v>정상</v>
      </c>
      <c r="AH92" s="25" t="s">
        <v>2401</v>
      </c>
      <c r="AI92" s="10"/>
      <c r="AJ92" s="10"/>
    </row>
    <row r="93" ht="15.75" customHeight="1">
      <c r="A93" s="10" t="s">
        <v>1168</v>
      </c>
      <c r="B93" s="13" t="s">
        <v>2402</v>
      </c>
      <c r="C93" s="10" t="s">
        <v>66</v>
      </c>
      <c r="D93" s="14">
        <v>1.9730809E7</v>
      </c>
      <c r="E93" s="10" t="s">
        <v>1172</v>
      </c>
      <c r="F93" s="10" t="s">
        <v>391</v>
      </c>
      <c r="G93" s="13" t="s">
        <v>2294</v>
      </c>
      <c r="H93" s="15" t="s">
        <v>2403</v>
      </c>
      <c r="I93" s="10" t="s">
        <v>73</v>
      </c>
      <c r="J93" s="10" t="s">
        <v>2404</v>
      </c>
      <c r="K93" s="10" t="s">
        <v>343</v>
      </c>
      <c r="L93" s="10">
        <v>2.60471497E9</v>
      </c>
      <c r="M93" s="10" t="s">
        <v>2406</v>
      </c>
      <c r="N93" s="10" t="s">
        <v>1734</v>
      </c>
      <c r="O93" s="10"/>
      <c r="P93" s="10"/>
      <c r="Q93" s="10" t="s">
        <v>132</v>
      </c>
      <c r="R93" s="10"/>
      <c r="S93" s="10" t="s">
        <v>1361</v>
      </c>
      <c r="T93" s="10" t="s">
        <v>1174</v>
      </c>
      <c r="U93" s="10" t="s">
        <v>80</v>
      </c>
      <c r="V93" s="10" t="s">
        <v>2414</v>
      </c>
      <c r="W93" s="10" t="s">
        <v>56</v>
      </c>
      <c r="X93" s="18">
        <f>COUNTIF('간병인배정'!$B:$B,$A93)</f>
        <v>1</v>
      </c>
      <c r="Y93" s="18">
        <f>SUMIF('간병비지급'!$B:$B,$A93,'간병비지급'!$I:$I)</f>
        <v>480000</v>
      </c>
      <c r="Z93" s="18">
        <f>COUNTIF('보험청구'!$B:$B,$A93)</f>
        <v>1</v>
      </c>
      <c r="AA93" s="18">
        <f>COUNTIFS('보험청구'!$B:$B,$A93,'보험청구'!$J:$J,"미확인")</f>
        <v>0</v>
      </c>
      <c r="AB93" s="18">
        <f>SUMIF('보험청구'!$B:$B,$A93,'보험청구'!$I:$I)</f>
        <v>516000</v>
      </c>
      <c r="AC93" s="18">
        <f>SUMIF('보험청구'!$B:$B,$A93,'보험청구'!$L:$L)</f>
        <v>0</v>
      </c>
      <c r="AD93" s="30">
        <v>46129.0</v>
      </c>
      <c r="AE93" s="30">
        <v>46136.0</v>
      </c>
      <c r="AF93" s="10">
        <f t="shared" si="1"/>
        <v>147</v>
      </c>
      <c r="AG93" s="10" t="str">
        <f t="shared" si="2"/>
        <v>정상</v>
      </c>
      <c r="AH93" s="25" t="s">
        <v>2435</v>
      </c>
      <c r="AI93" s="10"/>
      <c r="AJ93" s="10"/>
    </row>
    <row r="94" ht="15.75" customHeight="1">
      <c r="A94" s="10" t="s">
        <v>1186</v>
      </c>
      <c r="B94" s="13" t="s">
        <v>2439</v>
      </c>
      <c r="C94" s="10" t="s">
        <v>212</v>
      </c>
      <c r="D94" s="14">
        <v>1.9641227E7</v>
      </c>
      <c r="E94" s="10" t="s">
        <v>2440</v>
      </c>
      <c r="F94" s="10" t="s">
        <v>1976</v>
      </c>
      <c r="G94" s="13" t="s">
        <v>2441</v>
      </c>
      <c r="H94" s="15" t="s">
        <v>2442</v>
      </c>
      <c r="I94" s="10" t="s">
        <v>106</v>
      </c>
      <c r="J94" s="10" t="s">
        <v>2443</v>
      </c>
      <c r="K94" s="10" t="s">
        <v>2444</v>
      </c>
      <c r="L94" s="10">
        <v>2.604779589E9</v>
      </c>
      <c r="M94" s="10" t="s">
        <v>1511</v>
      </c>
      <c r="N94" s="10" t="s">
        <v>1512</v>
      </c>
      <c r="O94" s="10" t="s">
        <v>2446</v>
      </c>
      <c r="P94" s="10"/>
      <c r="Q94" s="10"/>
      <c r="R94" s="10"/>
      <c r="S94" s="10" t="s">
        <v>1174</v>
      </c>
      <c r="T94" s="10" t="s">
        <v>1211</v>
      </c>
      <c r="U94" s="10" t="s">
        <v>322</v>
      </c>
      <c r="V94" s="10" t="s">
        <v>2272</v>
      </c>
      <c r="W94" s="10" t="s">
        <v>56</v>
      </c>
      <c r="X94" s="18">
        <f>COUNTIF('간병인배정'!$B:$B,$A94)</f>
        <v>1</v>
      </c>
      <c r="Y94" s="18">
        <f>SUMIF('간병비지급'!$B:$B,$A94,'간병비지급'!$I:$I)</f>
        <v>675000</v>
      </c>
      <c r="Z94" s="18">
        <f>COUNTIF('보험청구'!$B:$B,$A94)</f>
        <v>1</v>
      </c>
      <c r="AA94" s="18">
        <f>COUNTIFS('보험청구'!$B:$B,$A94,'보험청구'!$J:$J,"미확인")</f>
        <v>0</v>
      </c>
      <c r="AB94" s="18">
        <f>SUMIF('보험청구'!$B:$B,$A94,'보험청구'!$I:$I)</f>
        <v>720000</v>
      </c>
      <c r="AC94" s="18">
        <f>SUMIF('보험청구'!$B:$B,$A94,'보험청구'!$L:$L)</f>
        <v>0</v>
      </c>
      <c r="AD94" s="30">
        <v>46132.0</v>
      </c>
      <c r="AE94" s="30">
        <v>46136.0</v>
      </c>
      <c r="AF94" s="10">
        <f t="shared" si="1"/>
        <v>147</v>
      </c>
      <c r="AG94" s="10" t="str">
        <f t="shared" si="2"/>
        <v>정상</v>
      </c>
      <c r="AH94" s="25"/>
      <c r="AI94" s="10"/>
      <c r="AJ94" s="10"/>
    </row>
    <row r="95" ht="15.75" customHeight="1">
      <c r="A95" s="10" t="s">
        <v>1202</v>
      </c>
      <c r="B95" s="13" t="s">
        <v>2462</v>
      </c>
      <c r="C95" s="10" t="s">
        <v>212</v>
      </c>
      <c r="D95" s="14">
        <v>1.9600914E7</v>
      </c>
      <c r="E95" s="10" t="s">
        <v>2465</v>
      </c>
      <c r="F95" s="10" t="s">
        <v>126</v>
      </c>
      <c r="G95" s="13" t="s">
        <v>2467</v>
      </c>
      <c r="H95" s="15" t="s">
        <v>2468</v>
      </c>
      <c r="I95" s="10" t="s">
        <v>106</v>
      </c>
      <c r="J95" s="10" t="s">
        <v>2469</v>
      </c>
      <c r="K95" s="10" t="s">
        <v>2471</v>
      </c>
      <c r="L95" s="10">
        <v>2.604832649E9</v>
      </c>
      <c r="M95" s="10" t="s">
        <v>2472</v>
      </c>
      <c r="N95" s="10" t="s">
        <v>2473</v>
      </c>
      <c r="O95" s="10"/>
      <c r="P95" s="10"/>
      <c r="Q95" s="10"/>
      <c r="R95" s="10"/>
      <c r="S95" s="10" t="s">
        <v>1211</v>
      </c>
      <c r="T95" s="10" t="s">
        <v>1211</v>
      </c>
      <c r="U95" s="10" t="s">
        <v>322</v>
      </c>
      <c r="V95" s="10"/>
      <c r="W95" s="10" t="s">
        <v>56</v>
      </c>
      <c r="X95" s="18">
        <f>COUNTIF('간병인배정'!$B:$B,$A95)</f>
        <v>1</v>
      </c>
      <c r="Y95" s="18">
        <f>SUMIF('간병비지급'!$B:$B,$A95,'간병비지급'!$I:$I)</f>
        <v>405000</v>
      </c>
      <c r="Z95" s="18">
        <f>COUNTIF('보험청구'!$B:$B,$A95)</f>
        <v>1</v>
      </c>
      <c r="AA95" s="18">
        <f>COUNTIFS('보험청구'!$B:$B,$A95,'보험청구'!$J:$J,"미확인")</f>
        <v>0</v>
      </c>
      <c r="AB95" s="18">
        <f>SUMIF('보험청구'!$B:$B,$A95,'보험청구'!$I:$I)</f>
        <v>387000</v>
      </c>
      <c r="AC95" s="18">
        <f>SUMIF('보험청구'!$B:$B,$A95,'보험청구'!$L:$L)</f>
        <v>0</v>
      </c>
      <c r="AD95" s="30">
        <v>46132.0</v>
      </c>
      <c r="AE95" s="30">
        <v>46135.0</v>
      </c>
      <c r="AF95" s="10">
        <f t="shared" si="1"/>
        <v>148</v>
      </c>
      <c r="AG95" s="10" t="str">
        <f t="shared" si="2"/>
        <v>정상</v>
      </c>
      <c r="AH95" s="25"/>
      <c r="AI95" s="10"/>
      <c r="AJ95" s="10"/>
    </row>
    <row r="96" ht="15.75" customHeight="1">
      <c r="A96" s="10" t="s">
        <v>1210</v>
      </c>
      <c r="B96" s="13" t="s">
        <v>2494</v>
      </c>
      <c r="C96" s="10" t="s">
        <v>66</v>
      </c>
      <c r="D96" s="14">
        <v>1.9560301E7</v>
      </c>
      <c r="E96" s="10" t="s">
        <v>2495</v>
      </c>
      <c r="F96" s="10" t="s">
        <v>391</v>
      </c>
      <c r="G96" s="13" t="s">
        <v>516</v>
      </c>
      <c r="H96" s="15" t="s">
        <v>2496</v>
      </c>
      <c r="I96" s="10" t="s">
        <v>106</v>
      </c>
      <c r="J96" s="10" t="s">
        <v>2497</v>
      </c>
      <c r="K96" s="10" t="s">
        <v>2498</v>
      </c>
      <c r="L96" s="10">
        <v>2.604851116E9</v>
      </c>
      <c r="M96" s="10" t="s">
        <v>2499</v>
      </c>
      <c r="N96" s="10" t="s">
        <v>2500</v>
      </c>
      <c r="O96" s="10"/>
      <c r="P96" s="10"/>
      <c r="Q96" s="10"/>
      <c r="R96" s="10"/>
      <c r="S96" s="10" t="s">
        <v>1211</v>
      </c>
      <c r="T96" s="10" t="s">
        <v>2501</v>
      </c>
      <c r="U96" s="10" t="s">
        <v>322</v>
      </c>
      <c r="V96" s="10" t="s">
        <v>2272</v>
      </c>
      <c r="W96" s="10" t="s">
        <v>56</v>
      </c>
      <c r="X96" s="18">
        <f>COUNTIF('간병인배정'!$B:$B,$A96)</f>
        <v>1</v>
      </c>
      <c r="Y96" s="18">
        <f>SUMIF('간병비지급'!$B:$B,$A96,'간병비지급'!$I:$I)</f>
        <v>945000</v>
      </c>
      <c r="Z96" s="18">
        <f>COUNTIF('보험청구'!$B:$B,$A96)</f>
        <v>1</v>
      </c>
      <c r="AA96" s="18">
        <f>COUNTIFS('보험청구'!$B:$B,$A96,'보험청구'!$J:$J,"미확인")</f>
        <v>0</v>
      </c>
      <c r="AB96" s="18">
        <f>SUMIF('보험청구'!$B:$B,$A96,'보험청구'!$I:$I)</f>
        <v>1008000</v>
      </c>
      <c r="AC96" s="18">
        <f>SUMIF('보험청구'!$B:$B,$A96,'보험청구'!$L:$L)</f>
        <v>0</v>
      </c>
      <c r="AD96" s="30">
        <v>46133.0</v>
      </c>
      <c r="AE96" s="30">
        <v>46140.0</v>
      </c>
      <c r="AF96" s="10">
        <f t="shared" si="1"/>
        <v>143</v>
      </c>
      <c r="AG96" s="10" t="str">
        <f t="shared" si="2"/>
        <v>정상</v>
      </c>
      <c r="AH96" s="25"/>
      <c r="AI96" s="10"/>
      <c r="AJ96" s="10"/>
    </row>
    <row r="97" ht="15.75" customHeight="1">
      <c r="A97" s="10" t="s">
        <v>1231</v>
      </c>
      <c r="B97" s="13" t="s">
        <v>1272</v>
      </c>
      <c r="C97" s="10" t="s">
        <v>66</v>
      </c>
      <c r="D97" s="14">
        <v>1.9490429E7</v>
      </c>
      <c r="E97" s="10" t="s">
        <v>1273</v>
      </c>
      <c r="F97" s="10" t="s">
        <v>1274</v>
      </c>
      <c r="G97" s="13" t="s">
        <v>601</v>
      </c>
      <c r="H97" s="15" t="s">
        <v>2520</v>
      </c>
      <c r="I97" s="10" t="s">
        <v>106</v>
      </c>
      <c r="J97" s="10" t="s">
        <v>2522</v>
      </c>
      <c r="K97" s="10" t="s">
        <v>2523</v>
      </c>
      <c r="L97" s="10">
        <v>2.604969062E9</v>
      </c>
      <c r="M97" s="10"/>
      <c r="N97" s="10" t="s">
        <v>1279</v>
      </c>
      <c r="O97" s="10"/>
      <c r="P97" s="10"/>
      <c r="Q97" s="10"/>
      <c r="R97" s="10"/>
      <c r="S97" s="10" t="s">
        <v>192</v>
      </c>
      <c r="T97" s="10" t="s">
        <v>2524</v>
      </c>
      <c r="U97" s="10" t="s">
        <v>322</v>
      </c>
      <c r="V97" s="10" t="s">
        <v>2525</v>
      </c>
      <c r="W97" s="10" t="s">
        <v>56</v>
      </c>
      <c r="X97" s="18">
        <f>COUNTIF('간병인배정'!$B:$B,$A97)</f>
        <v>1</v>
      </c>
      <c r="Y97" s="18">
        <f>SUMIF('간병비지급'!$B:$B,$A97,'간병비지급'!$I:$I)</f>
        <v>2210000</v>
      </c>
      <c r="Z97" s="18">
        <f>COUNTIF('보험청구'!$B:$B,$A97)</f>
        <v>2</v>
      </c>
      <c r="AA97" s="18">
        <f>COUNTIFS('보험청구'!$B:$B,$A97,'보험청구'!$J:$J,"미확인")</f>
        <v>0</v>
      </c>
      <c r="AB97" s="18">
        <f>SUMIF('보험청구'!$B:$B,$A97,'보험청구'!$I:$I)</f>
        <v>2448000</v>
      </c>
      <c r="AC97" s="18">
        <f>SUMIF('보험청구'!$B:$B,$A97,'보험청구'!$L:$L)</f>
        <v>0</v>
      </c>
      <c r="AD97" s="30">
        <v>46137.0</v>
      </c>
      <c r="AE97" s="30">
        <v>46153.0</v>
      </c>
      <c r="AF97" s="10">
        <f t="shared" si="1"/>
        <v>130</v>
      </c>
      <c r="AG97" s="10" t="str">
        <f t="shared" si="2"/>
        <v>정상</v>
      </c>
      <c r="AH97" s="25"/>
      <c r="AI97" s="10"/>
      <c r="AJ97" s="10"/>
    </row>
    <row r="98" ht="15.75" customHeight="1">
      <c r="A98" s="10" t="s">
        <v>1244</v>
      </c>
      <c r="B98" s="13" t="s">
        <v>2542</v>
      </c>
      <c r="C98" s="10" t="s">
        <v>212</v>
      </c>
      <c r="D98" s="14">
        <v>1.9510329E7</v>
      </c>
      <c r="E98" s="10" t="s">
        <v>2545</v>
      </c>
      <c r="F98" s="10" t="s">
        <v>391</v>
      </c>
      <c r="G98" s="13" t="s">
        <v>2546</v>
      </c>
      <c r="H98" s="15" t="s">
        <v>2547</v>
      </c>
      <c r="I98" s="10" t="s">
        <v>106</v>
      </c>
      <c r="J98" s="10" t="s">
        <v>2548</v>
      </c>
      <c r="K98" s="10" t="s">
        <v>2549</v>
      </c>
      <c r="L98" s="10">
        <v>2.604925911E9</v>
      </c>
      <c r="M98" s="20" t="s">
        <v>2550</v>
      </c>
      <c r="N98" s="10" t="s">
        <v>2551</v>
      </c>
      <c r="O98" s="10"/>
      <c r="P98" s="10"/>
      <c r="Q98" s="10"/>
      <c r="R98" s="10"/>
      <c r="S98" s="10" t="s">
        <v>192</v>
      </c>
      <c r="T98" s="10" t="s">
        <v>192</v>
      </c>
      <c r="U98" s="10" t="s">
        <v>322</v>
      </c>
      <c r="V98" s="10"/>
      <c r="W98" s="20" t="s">
        <v>56</v>
      </c>
      <c r="X98" s="18">
        <f>COUNTIF('간병인배정'!$B:$B,$A98)</f>
        <v>1</v>
      </c>
      <c r="Y98" s="18">
        <f>SUMIF('간병비지급'!$B:$B,$A98,'간병비지급'!$I:$I)</f>
        <v>17298000</v>
      </c>
      <c r="Z98" s="18">
        <f>COUNTIF('보험청구'!$B:$B,$A98)</f>
        <v>13</v>
      </c>
      <c r="AA98" s="18">
        <f>COUNTIFS('보험청구'!$B:$B,$A98,'보험청구'!$J:$J,"미확인")</f>
        <v>0</v>
      </c>
      <c r="AB98" s="18">
        <f>SUMIF('보험청구'!$B:$B,$A98,'보험청구'!$I:$I)</f>
        <v>17856000</v>
      </c>
      <c r="AC98" s="8">
        <v>1440000.0</v>
      </c>
      <c r="AD98" s="30">
        <v>46135.0</v>
      </c>
      <c r="AE98" s="39">
        <v>46254.0</v>
      </c>
      <c r="AF98" s="20">
        <v>119.0</v>
      </c>
      <c r="AG98" s="10" t="str">
        <f t="shared" si="2"/>
        <v>정상</v>
      </c>
      <c r="AH98" s="26" t="s">
        <v>2572</v>
      </c>
      <c r="AI98" s="10"/>
      <c r="AJ98" s="10"/>
    </row>
    <row r="99" ht="15.75" customHeight="1">
      <c r="A99" s="10" t="s">
        <v>1260</v>
      </c>
      <c r="B99" s="13" t="s">
        <v>2573</v>
      </c>
      <c r="C99" s="10" t="s">
        <v>212</v>
      </c>
      <c r="D99" s="14">
        <v>1.9531012E7</v>
      </c>
      <c r="E99" s="10" t="s">
        <v>2574</v>
      </c>
      <c r="F99" s="10" t="s">
        <v>467</v>
      </c>
      <c r="G99" s="13" t="s">
        <v>468</v>
      </c>
      <c r="H99" s="15" t="s">
        <v>2575</v>
      </c>
      <c r="I99" s="10" t="s">
        <v>106</v>
      </c>
      <c r="J99" s="10" t="s">
        <v>2576</v>
      </c>
      <c r="K99" s="10" t="s">
        <v>2577</v>
      </c>
      <c r="L99" s="10">
        <v>2.604955772E9</v>
      </c>
      <c r="M99" s="10" t="s">
        <v>2578</v>
      </c>
      <c r="N99" s="10" t="s">
        <v>2579</v>
      </c>
      <c r="O99" s="10"/>
      <c r="P99" s="10"/>
      <c r="Q99" s="10"/>
      <c r="R99" s="10"/>
      <c r="S99" s="10" t="s">
        <v>2580</v>
      </c>
      <c r="T99" s="10"/>
      <c r="U99" s="10" t="s">
        <v>322</v>
      </c>
      <c r="V99" s="10"/>
      <c r="W99" s="10" t="s">
        <v>56</v>
      </c>
      <c r="X99" s="18">
        <f>COUNTIF('간병인배정'!$B:$B,$A99)</f>
        <v>1</v>
      </c>
      <c r="Y99" s="18">
        <f>SUMIF('간병비지급'!$B:$B,$A99,'간병비지급'!$I:$I)</f>
        <v>1400000</v>
      </c>
      <c r="Z99" s="18">
        <f>COUNTIF('보험청구'!$B:$B,$A99)</f>
        <v>1</v>
      </c>
      <c r="AA99" s="18">
        <f>COUNTIFS('보험청구'!$B:$B,$A99,'보험청구'!$J:$J,"미확인")</f>
        <v>0</v>
      </c>
      <c r="AB99" s="18">
        <f>SUMIF('보험청구'!$B:$B,$A99,'보험청구'!$I:$I)</f>
        <v>700000</v>
      </c>
      <c r="AC99" s="18">
        <f>SUMIF('보험청구'!$B:$B,$A99,'보험청구'!$L:$L)</f>
        <v>0</v>
      </c>
      <c r="AD99" s="30">
        <v>46136.0</v>
      </c>
      <c r="AE99" s="30">
        <v>46141.0</v>
      </c>
      <c r="AF99" s="10">
        <f t="shared" ref="AF99:AF107" si="3">IF($AE99="","",$AJ$1-$AE99)</f>
        <v>142</v>
      </c>
      <c r="AG99" s="10" t="str">
        <f t="shared" si="2"/>
        <v>정상</v>
      </c>
      <c r="AH99" s="25"/>
      <c r="AI99" s="10"/>
      <c r="AJ99" s="10"/>
    </row>
    <row r="100" ht="15.75" customHeight="1">
      <c r="A100" s="10" t="s">
        <v>1270</v>
      </c>
      <c r="B100" s="13" t="s">
        <v>2573</v>
      </c>
      <c r="C100" s="10" t="s">
        <v>212</v>
      </c>
      <c r="D100" s="14">
        <v>1.9531012E7</v>
      </c>
      <c r="E100" s="10" t="s">
        <v>2574</v>
      </c>
      <c r="F100" s="10" t="s">
        <v>467</v>
      </c>
      <c r="G100" s="13" t="s">
        <v>468</v>
      </c>
      <c r="H100" s="15" t="s">
        <v>2575</v>
      </c>
      <c r="I100" s="10" t="s">
        <v>106</v>
      </c>
      <c r="J100" s="10" t="s">
        <v>2576</v>
      </c>
      <c r="K100" s="10" t="s">
        <v>2577</v>
      </c>
      <c r="L100" s="10">
        <v>2.604955772E9</v>
      </c>
      <c r="M100" s="10" t="s">
        <v>2578</v>
      </c>
      <c r="N100" s="10" t="s">
        <v>2579</v>
      </c>
      <c r="O100" s="10"/>
      <c r="P100" s="10"/>
      <c r="Q100" s="10"/>
      <c r="R100" s="10"/>
      <c r="S100" s="10" t="s">
        <v>2580</v>
      </c>
      <c r="T100" s="10"/>
      <c r="U100" s="10" t="s">
        <v>322</v>
      </c>
      <c r="V100" s="10"/>
      <c r="W100" s="10" t="s">
        <v>56</v>
      </c>
      <c r="X100" s="18">
        <f>COUNTIF('간병인배정'!$B:$B,$A100)</f>
        <v>1</v>
      </c>
      <c r="Y100" s="18">
        <f>SUMIF('간병비지급'!$B:$B,$A100,'간병비지급'!$I:$I)</f>
        <v>980000</v>
      </c>
      <c r="Z100" s="18">
        <f>COUNTIF('보험청구'!$B:$B,$A100)</f>
        <v>1</v>
      </c>
      <c r="AA100" s="18">
        <f>COUNTIFS('보험청구'!$B:$B,$A100,'보험청구'!$J:$J,"미확인")</f>
        <v>0</v>
      </c>
      <c r="AB100" s="18">
        <f>SUMIF('보험청구'!$B:$B,$A100,'보험청구'!$I:$I)</f>
        <v>1540000</v>
      </c>
      <c r="AC100" s="18">
        <f>SUMIF('보험청구'!$B:$B,$A100,'보험청구'!$L:$L)</f>
        <v>0</v>
      </c>
      <c r="AD100" s="30">
        <v>46146.0</v>
      </c>
      <c r="AE100" s="30">
        <v>46152.0</v>
      </c>
      <c r="AF100" s="10">
        <f t="shared" si="3"/>
        <v>131</v>
      </c>
      <c r="AG100" s="10" t="str">
        <f t="shared" si="2"/>
        <v>정상</v>
      </c>
      <c r="AH100" s="25"/>
      <c r="AI100" s="10"/>
      <c r="AJ100" s="10"/>
    </row>
    <row r="101" ht="15.75" customHeight="1">
      <c r="A101" s="10" t="s">
        <v>1286</v>
      </c>
      <c r="B101" s="13" t="s">
        <v>2573</v>
      </c>
      <c r="C101" s="10" t="s">
        <v>212</v>
      </c>
      <c r="D101" s="14">
        <v>1.9531012E7</v>
      </c>
      <c r="E101" s="10" t="s">
        <v>2574</v>
      </c>
      <c r="F101" s="10" t="s">
        <v>467</v>
      </c>
      <c r="G101" s="13" t="s">
        <v>468</v>
      </c>
      <c r="H101" s="15" t="s">
        <v>2575</v>
      </c>
      <c r="I101" s="10" t="s">
        <v>106</v>
      </c>
      <c r="J101" s="10" t="s">
        <v>2576</v>
      </c>
      <c r="K101" s="10" t="s">
        <v>2577</v>
      </c>
      <c r="L101" s="10">
        <v>2.604955772E9</v>
      </c>
      <c r="M101" s="10" t="s">
        <v>2578</v>
      </c>
      <c r="N101" s="10" t="s">
        <v>2579</v>
      </c>
      <c r="O101" s="10"/>
      <c r="P101" s="10"/>
      <c r="Q101" s="10"/>
      <c r="R101" s="10"/>
      <c r="S101" s="10" t="s">
        <v>2580</v>
      </c>
      <c r="T101" s="10"/>
      <c r="U101" s="10" t="s">
        <v>322</v>
      </c>
      <c r="V101" s="10"/>
      <c r="W101" s="10" t="s">
        <v>56</v>
      </c>
      <c r="X101" s="18">
        <f>COUNTIF('간병인배정'!$B:$B,$A101)</f>
        <v>1</v>
      </c>
      <c r="Y101" s="18">
        <f>SUMIF('간병비지급'!$B:$B,$A101,'간병비지급'!$I:$I)</f>
        <v>900000</v>
      </c>
      <c r="Z101" s="18">
        <f>COUNTIF('보험청구'!$B:$B,$A101)</f>
        <v>1</v>
      </c>
      <c r="AA101" s="18">
        <f>COUNTIFS('보험청구'!$B:$B,$A101,'보험청구'!$J:$J,"미확인")</f>
        <v>0</v>
      </c>
      <c r="AB101" s="18">
        <f>SUMIF('보험청구'!$B:$B,$A101,'보험청구'!$I:$I)</f>
        <v>1260000</v>
      </c>
      <c r="AC101" s="18">
        <f>SUMIF('보험청구'!$B:$B,$A101,'보험청구'!$L:$L)</f>
        <v>0</v>
      </c>
      <c r="AD101" s="30">
        <v>46154.0</v>
      </c>
      <c r="AE101" s="30">
        <v>46160.0</v>
      </c>
      <c r="AF101" s="10">
        <f t="shared" si="3"/>
        <v>123</v>
      </c>
      <c r="AG101" s="10" t="str">
        <f t="shared" si="2"/>
        <v>정상</v>
      </c>
      <c r="AH101" s="25"/>
      <c r="AI101" s="10"/>
      <c r="AJ101" s="10"/>
    </row>
    <row r="102" ht="15.75" customHeight="1">
      <c r="A102" s="10" t="s">
        <v>1299</v>
      </c>
      <c r="B102" s="13" t="s">
        <v>2638</v>
      </c>
      <c r="C102" s="10" t="s">
        <v>212</v>
      </c>
      <c r="D102" s="14">
        <v>1.9551205E7</v>
      </c>
      <c r="E102" s="10" t="s">
        <v>2641</v>
      </c>
      <c r="F102" s="10" t="s">
        <v>1274</v>
      </c>
      <c r="G102" s="13" t="s">
        <v>2643</v>
      </c>
      <c r="H102" s="15" t="s">
        <v>2382</v>
      </c>
      <c r="I102" s="10" t="s">
        <v>106</v>
      </c>
      <c r="J102" s="10" t="s">
        <v>2645</v>
      </c>
      <c r="K102" s="10" t="s">
        <v>2646</v>
      </c>
      <c r="L102" s="10">
        <v>2.604956148E9</v>
      </c>
      <c r="M102" s="10" t="s">
        <v>2647</v>
      </c>
      <c r="N102" s="10" t="s">
        <v>2648</v>
      </c>
      <c r="O102" s="10" t="s">
        <v>2649</v>
      </c>
      <c r="P102" s="10"/>
      <c r="Q102" s="10"/>
      <c r="R102" s="10"/>
      <c r="S102" s="10" t="s">
        <v>2580</v>
      </c>
      <c r="T102" s="10" t="s">
        <v>1122</v>
      </c>
      <c r="U102" s="10" t="s">
        <v>322</v>
      </c>
      <c r="V102" s="10" t="s">
        <v>1790</v>
      </c>
      <c r="W102" s="10" t="s">
        <v>56</v>
      </c>
      <c r="X102" s="18">
        <f>COUNTIF('간병인배정'!$B:$B,$A102)</f>
        <v>1</v>
      </c>
      <c r="Y102" s="18">
        <f>SUMIF('간병비지급'!$B:$B,$A102,'간병비지급'!$I:$I)</f>
        <v>650000</v>
      </c>
      <c r="Z102" s="18">
        <f>COUNTIF('보험청구'!$B:$B,$A102)</f>
        <v>1</v>
      </c>
      <c r="AA102" s="18">
        <f>COUNTIFS('보험청구'!$B:$B,$A102,'보험청구'!$J:$J,"미확인")</f>
        <v>0</v>
      </c>
      <c r="AB102" s="18">
        <f>SUMIF('보험청구'!$B:$B,$A102,'보험청구'!$I:$I)</f>
        <v>780000</v>
      </c>
      <c r="AC102" s="18">
        <f>SUMIF('보험청구'!$B:$B,$A102,'보험청구'!$L:$L)</f>
        <v>0</v>
      </c>
      <c r="AD102" s="30">
        <v>46141.0</v>
      </c>
      <c r="AE102" s="30">
        <v>46146.0</v>
      </c>
      <c r="AF102" s="10">
        <f t="shared" si="3"/>
        <v>137</v>
      </c>
      <c r="AG102" s="10" t="str">
        <f t="shared" si="2"/>
        <v>정상</v>
      </c>
      <c r="AH102" s="25"/>
      <c r="AI102" s="10"/>
      <c r="AJ102" s="10"/>
    </row>
    <row r="103" ht="15.75" customHeight="1">
      <c r="A103" s="10" t="s">
        <v>1313</v>
      </c>
      <c r="B103" s="13" t="s">
        <v>2638</v>
      </c>
      <c r="C103" s="10" t="s">
        <v>212</v>
      </c>
      <c r="D103" s="14">
        <v>1.9551205E7</v>
      </c>
      <c r="E103" s="10" t="s">
        <v>2641</v>
      </c>
      <c r="F103" s="10" t="s">
        <v>1274</v>
      </c>
      <c r="G103" s="13" t="s">
        <v>2643</v>
      </c>
      <c r="H103" s="15" t="s">
        <v>2665</v>
      </c>
      <c r="I103" s="10" t="s">
        <v>106</v>
      </c>
      <c r="J103" s="10" t="s">
        <v>2645</v>
      </c>
      <c r="K103" s="10" t="s">
        <v>2646</v>
      </c>
      <c r="L103" s="10">
        <v>2.604956148E9</v>
      </c>
      <c r="M103" s="10" t="s">
        <v>2647</v>
      </c>
      <c r="N103" s="10" t="s">
        <v>2648</v>
      </c>
      <c r="O103" s="10"/>
      <c r="P103" s="10"/>
      <c r="Q103" s="10"/>
      <c r="R103" s="10"/>
      <c r="S103" s="10" t="s">
        <v>2580</v>
      </c>
      <c r="T103" s="10" t="s">
        <v>1122</v>
      </c>
      <c r="U103" s="10" t="s">
        <v>322</v>
      </c>
      <c r="V103" s="10" t="s">
        <v>1790</v>
      </c>
      <c r="W103" s="10" t="s">
        <v>56</v>
      </c>
      <c r="X103" s="18">
        <f>COUNTIF('간병인배정'!$B:$B,$A103)</f>
        <v>1</v>
      </c>
      <c r="Y103" s="18">
        <f>SUMIF('간병비지급'!$B:$B,$A103,'간병비지급'!$I:$I)</f>
        <v>780000</v>
      </c>
      <c r="Z103" s="18">
        <f>COUNTIF('보험청구'!$B:$B,$A103)</f>
        <v>1</v>
      </c>
      <c r="AA103" s="18">
        <f>COUNTIFS('보험청구'!$B:$B,$A103,'보험청구'!$J:$J,"미확인")</f>
        <v>0</v>
      </c>
      <c r="AB103" s="18">
        <f>SUMIF('보험청구'!$B:$B,$A103,'보험청구'!$I:$I)</f>
        <v>650000</v>
      </c>
      <c r="AC103" s="18">
        <f>SUMIF('보험청구'!$B:$B,$A103,'보험청구'!$L:$L)</f>
        <v>0</v>
      </c>
      <c r="AD103" s="30">
        <v>46146.0</v>
      </c>
      <c r="AE103" s="30">
        <v>46151.0</v>
      </c>
      <c r="AF103" s="10">
        <f t="shared" si="3"/>
        <v>132</v>
      </c>
      <c r="AG103" s="10" t="str">
        <f t="shared" si="2"/>
        <v>정상</v>
      </c>
      <c r="AH103" s="25"/>
      <c r="AI103" s="10"/>
      <c r="AJ103" s="10"/>
    </row>
    <row r="104" ht="15.75" customHeight="1">
      <c r="A104" s="10" t="s">
        <v>1318</v>
      </c>
      <c r="B104" s="13" t="s">
        <v>2675</v>
      </c>
      <c r="C104" s="10" t="s">
        <v>212</v>
      </c>
      <c r="D104" s="14">
        <v>1.9430102E7</v>
      </c>
      <c r="E104" s="10" t="s">
        <v>2677</v>
      </c>
      <c r="F104" s="10" t="s">
        <v>1274</v>
      </c>
      <c r="G104" s="13" t="s">
        <v>2678</v>
      </c>
      <c r="H104" s="15" t="s">
        <v>2679</v>
      </c>
      <c r="I104" s="10" t="s">
        <v>106</v>
      </c>
      <c r="J104" s="10" t="s">
        <v>2680</v>
      </c>
      <c r="K104" s="10" t="s">
        <v>2681</v>
      </c>
      <c r="L104" s="10" t="s">
        <v>2682</v>
      </c>
      <c r="M104" s="10" t="s">
        <v>2683</v>
      </c>
      <c r="N104" s="10" t="s">
        <v>2685</v>
      </c>
      <c r="O104" s="10"/>
      <c r="P104" s="10"/>
      <c r="Q104" s="10"/>
      <c r="R104" s="10"/>
      <c r="S104" s="10" t="s">
        <v>2580</v>
      </c>
      <c r="T104" s="10" t="s">
        <v>1175</v>
      </c>
      <c r="U104" s="10" t="s">
        <v>322</v>
      </c>
      <c r="V104" s="10"/>
      <c r="W104" s="10" t="s">
        <v>56</v>
      </c>
      <c r="X104" s="18">
        <f>COUNTIF('간병인배정'!$B:$B,$A104)</f>
        <v>1</v>
      </c>
      <c r="Y104" s="18">
        <f>SUMIF('간병비지급'!$B:$B,$A104,'간병비지급'!$I:$I)</f>
        <v>2565000</v>
      </c>
      <c r="Z104" s="18">
        <f>COUNTIF('보험청구'!$B:$B,$A104)</f>
        <v>2</v>
      </c>
      <c r="AA104" s="18">
        <f>COUNTIFS('보험청구'!$B:$B,$A104,'보험청구'!$J:$J,"미확인")</f>
        <v>0</v>
      </c>
      <c r="AB104" s="18">
        <f>SUMIF('보험청구'!$B:$B,$A104,'보험청구'!$I:$I)</f>
        <v>2380000</v>
      </c>
      <c r="AC104" s="18">
        <f>SUMIF('보험청구'!$B:$B,$A104,'보험청구'!$L:$L)</f>
        <v>0</v>
      </c>
      <c r="AD104" s="30">
        <v>46136.0</v>
      </c>
      <c r="AE104" s="30">
        <v>46152.0</v>
      </c>
      <c r="AF104" s="10">
        <f t="shared" si="3"/>
        <v>131</v>
      </c>
      <c r="AG104" s="10" t="str">
        <f t="shared" si="2"/>
        <v>정상</v>
      </c>
      <c r="AH104" s="25"/>
      <c r="AI104" s="10"/>
      <c r="AJ104" s="10"/>
    </row>
    <row r="105" ht="15.75" customHeight="1">
      <c r="A105" s="10" t="s">
        <v>1338</v>
      </c>
      <c r="B105" s="13" t="s">
        <v>2675</v>
      </c>
      <c r="C105" s="10" t="s">
        <v>212</v>
      </c>
      <c r="D105" s="14">
        <v>1.9430102E7</v>
      </c>
      <c r="E105" s="10" t="s">
        <v>2677</v>
      </c>
      <c r="F105" s="10" t="s">
        <v>1274</v>
      </c>
      <c r="G105" s="13" t="s">
        <v>2678</v>
      </c>
      <c r="H105" s="15" t="s">
        <v>2679</v>
      </c>
      <c r="I105" s="10" t="s">
        <v>106</v>
      </c>
      <c r="J105" s="10" t="s">
        <v>2680</v>
      </c>
      <c r="K105" s="10" t="s">
        <v>2681</v>
      </c>
      <c r="L105" s="10" t="s">
        <v>2682</v>
      </c>
      <c r="M105" s="10" t="s">
        <v>2700</v>
      </c>
      <c r="N105" s="10" t="s">
        <v>2701</v>
      </c>
      <c r="O105" s="10"/>
      <c r="P105" s="10"/>
      <c r="Q105" s="10"/>
      <c r="R105" s="10"/>
      <c r="S105" s="10" t="s">
        <v>2580</v>
      </c>
      <c r="T105" s="10" t="s">
        <v>1175</v>
      </c>
      <c r="U105" s="10" t="s">
        <v>322</v>
      </c>
      <c r="V105" s="10"/>
      <c r="W105" s="10" t="s">
        <v>56</v>
      </c>
      <c r="X105" s="18">
        <f>COUNTIF('간병인배정'!$B:$B,$A105)</f>
        <v>1</v>
      </c>
      <c r="Y105" s="18">
        <f>SUMIF('간병비지급'!$B:$B,$A105,'간병비지급'!$I:$I)</f>
        <v>1380000</v>
      </c>
      <c r="Z105" s="18">
        <f>COUNTIF('보험청구'!$B:$B,$A105)</f>
        <v>2</v>
      </c>
      <c r="AA105" s="18">
        <f>COUNTIFS('보험청구'!$B:$B,$A105,'보험청구'!$J:$J,"미확인")</f>
        <v>0</v>
      </c>
      <c r="AB105" s="18">
        <f>SUMIF('보험청구'!$B:$B,$A105,'보험청구'!$I:$I)</f>
        <v>1820000</v>
      </c>
      <c r="AC105" s="18">
        <f>SUMIF('보험청구'!$B:$B,$A105,'보험청구'!$L:$L)</f>
        <v>0</v>
      </c>
      <c r="AD105" s="30">
        <v>46155.0</v>
      </c>
      <c r="AE105" s="30">
        <v>46165.0</v>
      </c>
      <c r="AF105" s="10">
        <f t="shared" si="3"/>
        <v>118</v>
      </c>
      <c r="AG105" s="10" t="str">
        <f t="shared" si="2"/>
        <v>정상</v>
      </c>
      <c r="AH105" s="25"/>
      <c r="AI105" s="10"/>
      <c r="AJ105" s="10"/>
    </row>
    <row r="106" ht="15.75" customHeight="1">
      <c r="A106" s="10" t="s">
        <v>1344</v>
      </c>
      <c r="B106" s="13" t="s">
        <v>2717</v>
      </c>
      <c r="C106" s="10" t="s">
        <v>66</v>
      </c>
      <c r="D106" s="14">
        <v>1.9660802E7</v>
      </c>
      <c r="E106" s="10" t="s">
        <v>2718</v>
      </c>
      <c r="F106" s="10" t="s">
        <v>245</v>
      </c>
      <c r="G106" s="13" t="s">
        <v>1534</v>
      </c>
      <c r="H106" s="15" t="s">
        <v>2719</v>
      </c>
      <c r="I106" s="10" t="s">
        <v>106</v>
      </c>
      <c r="J106" s="10" t="s">
        <v>2720</v>
      </c>
      <c r="K106" s="10" t="s">
        <v>2721</v>
      </c>
      <c r="L106" s="10" t="s">
        <v>2722</v>
      </c>
      <c r="M106" s="10"/>
      <c r="N106" s="10" t="s">
        <v>2723</v>
      </c>
      <c r="O106" s="10"/>
      <c r="P106" s="10"/>
      <c r="Q106" s="10"/>
      <c r="R106" s="10"/>
      <c r="S106" s="10" t="s">
        <v>1175</v>
      </c>
      <c r="T106" s="10" t="s">
        <v>1911</v>
      </c>
      <c r="U106" s="10" t="s">
        <v>322</v>
      </c>
      <c r="V106" s="10" t="s">
        <v>2725</v>
      </c>
      <c r="W106" s="10" t="s">
        <v>56</v>
      </c>
      <c r="X106" s="18">
        <f>COUNTIF('간병인배정'!$B:$B,$A106)</f>
        <v>1</v>
      </c>
      <c r="Y106" s="18">
        <f>SUMIF('간병비지급'!$B:$B,$A106,'간병비지급'!$I:$I)</f>
        <v>1794000</v>
      </c>
      <c r="Z106" s="18">
        <f>COUNTIF('보험청구'!$B:$B,$A106)</f>
        <v>1</v>
      </c>
      <c r="AA106" s="18">
        <f>COUNTIFS('보험청구'!$B:$B,$A106,'보험청구'!$J:$J,"미확인")</f>
        <v>0</v>
      </c>
      <c r="AB106" s="18">
        <f>SUMIF('보험청구'!$B:$B,$A106,'보험청구'!$I:$I)</f>
        <v>1872000</v>
      </c>
      <c r="AC106" s="18">
        <f>SUMIF('보험청구'!$B:$B,$A106,'보험청구'!$L:$L)</f>
        <v>0</v>
      </c>
      <c r="AD106" s="30">
        <v>46139.0</v>
      </c>
      <c r="AE106" s="30">
        <v>46152.0</v>
      </c>
      <c r="AF106" s="10">
        <f t="shared" si="3"/>
        <v>131</v>
      </c>
      <c r="AG106" s="10" t="str">
        <f t="shared" si="2"/>
        <v>정상</v>
      </c>
      <c r="AH106" s="25"/>
      <c r="AI106" s="10"/>
      <c r="AJ106" s="10"/>
    </row>
    <row r="107" ht="15.75" customHeight="1">
      <c r="A107" s="10" t="s">
        <v>1359</v>
      </c>
      <c r="B107" s="13" t="s">
        <v>2737</v>
      </c>
      <c r="C107" s="10" t="s">
        <v>66</v>
      </c>
      <c r="D107" s="14">
        <v>1.9520829E7</v>
      </c>
      <c r="E107" s="20" t="s">
        <v>2739</v>
      </c>
      <c r="F107" s="10" t="s">
        <v>1274</v>
      </c>
      <c r="G107" s="13" t="s">
        <v>1589</v>
      </c>
      <c r="H107" s="15" t="s">
        <v>2741</v>
      </c>
      <c r="I107" s="10" t="s">
        <v>106</v>
      </c>
      <c r="J107" s="10" t="s">
        <v>2742</v>
      </c>
      <c r="K107" s="10" t="s">
        <v>2744</v>
      </c>
      <c r="L107" s="10" t="s">
        <v>2745</v>
      </c>
      <c r="M107" s="10"/>
      <c r="N107" s="10" t="s">
        <v>2747</v>
      </c>
      <c r="O107" s="10"/>
      <c r="P107" s="10"/>
      <c r="Q107" s="10"/>
      <c r="R107" s="10"/>
      <c r="S107" s="10" t="s">
        <v>1911</v>
      </c>
      <c r="T107" s="10" t="s">
        <v>1122</v>
      </c>
      <c r="U107" s="10" t="s">
        <v>322</v>
      </c>
      <c r="V107" s="10" t="s">
        <v>2749</v>
      </c>
      <c r="W107" s="10" t="s">
        <v>56</v>
      </c>
      <c r="X107" s="18">
        <f>COUNTIF('간병인배정'!$B:$B,$A107)</f>
        <v>1</v>
      </c>
      <c r="Y107" s="18">
        <f>SUMIF('간병비지급'!$B:$B,$A107,'간병비지급'!$I:$I)</f>
        <v>9315000</v>
      </c>
      <c r="Z107" s="18">
        <f>COUNTIF('보험청구'!$B:$B,$A107)</f>
        <v>7</v>
      </c>
      <c r="AA107" s="18">
        <f>COUNTIFS('보험청구'!$B:$B,$A107,'보험청구'!$J:$J,"미확인")</f>
        <v>0</v>
      </c>
      <c r="AB107" s="18">
        <f>SUMIF('보험청구'!$B:$B,$A107,'보험청구'!$I:$I)</f>
        <v>9288000</v>
      </c>
      <c r="AC107" s="18">
        <f>SUMIF('보험청구'!$B:$B,$A107,'보험청구'!$L:$L)</f>
        <v>0</v>
      </c>
      <c r="AD107" s="30">
        <v>46141.0</v>
      </c>
      <c r="AE107" s="30">
        <v>46210.0</v>
      </c>
      <c r="AF107" s="10">
        <f t="shared" si="3"/>
        <v>73</v>
      </c>
      <c r="AG107" s="10" t="str">
        <f t="shared" si="2"/>
        <v>정상</v>
      </c>
      <c r="AH107" s="25"/>
      <c r="AI107" s="10"/>
      <c r="AJ107" s="10"/>
    </row>
    <row r="108" ht="15.75" customHeight="1">
      <c r="A108" s="10" t="s">
        <v>1370</v>
      </c>
      <c r="B108" s="13" t="s">
        <v>2737</v>
      </c>
      <c r="C108" s="10" t="s">
        <v>66</v>
      </c>
      <c r="D108" s="14">
        <v>1.9520829E7</v>
      </c>
      <c r="E108" s="20" t="s">
        <v>2764</v>
      </c>
      <c r="F108" s="10" t="s">
        <v>1274</v>
      </c>
      <c r="G108" s="13" t="s">
        <v>1589</v>
      </c>
      <c r="H108" s="15" t="s">
        <v>2741</v>
      </c>
      <c r="I108" s="10" t="s">
        <v>106</v>
      </c>
      <c r="J108" s="10" t="s">
        <v>2742</v>
      </c>
      <c r="K108" s="10" t="s">
        <v>2744</v>
      </c>
      <c r="L108" s="10" t="s">
        <v>2745</v>
      </c>
      <c r="M108" s="20" t="s">
        <v>2766</v>
      </c>
      <c r="N108" s="10" t="s">
        <v>2747</v>
      </c>
      <c r="O108" s="10"/>
      <c r="P108" s="10"/>
      <c r="Q108" s="10"/>
      <c r="R108" s="10"/>
      <c r="S108" s="10" t="s">
        <v>1911</v>
      </c>
      <c r="T108" s="10" t="s">
        <v>1122</v>
      </c>
      <c r="U108" s="10" t="s">
        <v>322</v>
      </c>
      <c r="V108" s="10" t="s">
        <v>2749</v>
      </c>
      <c r="W108" s="20" t="s">
        <v>56</v>
      </c>
      <c r="X108" s="18">
        <f>COUNTIF('간병인배정'!$B:$B,$A108)</f>
        <v>1</v>
      </c>
      <c r="Y108" s="18">
        <f>SUMIF('간병비지급'!$B:$B,$A108,'간병비지급'!$I:$I)</f>
        <v>6480000</v>
      </c>
      <c r="Z108" s="18">
        <f>COUNTIF('보험청구'!$B:$B,$A108)</f>
        <v>5</v>
      </c>
      <c r="AA108" s="18">
        <f>COUNTIFS('보험청구'!$B:$B,$A108,'보험청구'!$J:$J,"미확인")</f>
        <v>0</v>
      </c>
      <c r="AB108" s="18">
        <f>SUMIF('보험청구'!$B:$B,$A108,'보험청구'!$I:$I)</f>
        <v>3999000</v>
      </c>
      <c r="AC108" s="18">
        <f>SUMIF('보험청구'!$B:$B,$A108,'보험청구'!$L:$L)</f>
        <v>1806000</v>
      </c>
      <c r="AD108" s="30">
        <v>46210.0</v>
      </c>
      <c r="AE108" s="39">
        <v>46258.0</v>
      </c>
      <c r="AF108" s="20">
        <v>50.0</v>
      </c>
      <c r="AG108" s="10" t="str">
        <f t="shared" si="2"/>
        <v>정상</v>
      </c>
      <c r="AH108" s="25"/>
      <c r="AI108" s="10"/>
      <c r="AJ108" s="10"/>
    </row>
    <row r="109" ht="15.75" customHeight="1">
      <c r="A109" s="10" t="s">
        <v>1380</v>
      </c>
      <c r="B109" s="13" t="s">
        <v>2781</v>
      </c>
      <c r="C109" s="10" t="s">
        <v>212</v>
      </c>
      <c r="D109" s="14">
        <v>1.9710125E7</v>
      </c>
      <c r="E109" s="10" t="s">
        <v>2782</v>
      </c>
      <c r="F109" s="10" t="s">
        <v>126</v>
      </c>
      <c r="G109" s="13" t="s">
        <v>392</v>
      </c>
      <c r="H109" s="15" t="s">
        <v>2783</v>
      </c>
      <c r="I109" s="10" t="s">
        <v>106</v>
      </c>
      <c r="J109" s="10" t="s">
        <v>2784</v>
      </c>
      <c r="K109" s="10" t="s">
        <v>2785</v>
      </c>
      <c r="L109" s="10" t="s">
        <v>2786</v>
      </c>
      <c r="M109" s="10" t="s">
        <v>2787</v>
      </c>
      <c r="N109" s="10" t="s">
        <v>2788</v>
      </c>
      <c r="O109" s="10" t="s">
        <v>2789</v>
      </c>
      <c r="P109" s="10"/>
      <c r="Q109" s="10"/>
      <c r="R109" s="10"/>
      <c r="S109" s="10" t="s">
        <v>1911</v>
      </c>
      <c r="T109" s="10" t="s">
        <v>1580</v>
      </c>
      <c r="U109" s="10" t="s">
        <v>322</v>
      </c>
      <c r="V109" s="10" t="s">
        <v>81</v>
      </c>
      <c r="W109" s="10" t="s">
        <v>56</v>
      </c>
      <c r="X109" s="18">
        <f>COUNTIF('간병인배정'!$B:$B,$A109)</f>
        <v>1</v>
      </c>
      <c r="Y109" s="18">
        <f>SUMIF('간병비지급'!$B:$B,$A109,'간병비지급'!$I:$I)</f>
        <v>290000</v>
      </c>
      <c r="Z109" s="18">
        <f>COUNTIF('보험청구'!$B:$B,$A109)</f>
        <v>1</v>
      </c>
      <c r="AA109" s="18">
        <f>COUNTIFS('보험청구'!$B:$B,$A109,'보험청구'!$J:$J,"미확인")</f>
        <v>0</v>
      </c>
      <c r="AB109" s="18">
        <f>SUMIF('보험청구'!$B:$B,$A109,'보험청구'!$I:$I)</f>
        <v>270000</v>
      </c>
      <c r="AC109" s="18">
        <f>SUMIF('보험청구'!$B:$B,$A109,'보험청구'!$L:$L)</f>
        <v>0</v>
      </c>
      <c r="AD109" s="30">
        <v>46156.0</v>
      </c>
      <c r="AE109" s="30">
        <v>46157.0</v>
      </c>
      <c r="AF109" s="10">
        <f t="shared" ref="AF109:AF197" si="4">IF($AE109="","",$AJ$1-$AE109)</f>
        <v>126</v>
      </c>
      <c r="AG109" s="10" t="str">
        <f t="shared" si="2"/>
        <v>정상</v>
      </c>
      <c r="AH109" s="25"/>
      <c r="AI109" s="10"/>
      <c r="AJ109" s="10"/>
    </row>
    <row r="110" ht="15.75" customHeight="1">
      <c r="A110" s="10" t="s">
        <v>1392</v>
      </c>
      <c r="B110" s="13" t="s">
        <v>2803</v>
      </c>
      <c r="C110" s="10" t="s">
        <v>66</v>
      </c>
      <c r="D110" s="14">
        <v>1.9650808E7</v>
      </c>
      <c r="E110" s="10" t="s">
        <v>2804</v>
      </c>
      <c r="F110" s="10" t="s">
        <v>168</v>
      </c>
      <c r="G110" s="13" t="s">
        <v>2805</v>
      </c>
      <c r="H110" s="15" t="s">
        <v>2806</v>
      </c>
      <c r="I110" s="10" t="s">
        <v>106</v>
      </c>
      <c r="J110" s="10" t="s">
        <v>2807</v>
      </c>
      <c r="K110" s="10"/>
      <c r="L110" s="10">
        <v>2.402328951E9</v>
      </c>
      <c r="M110" s="10"/>
      <c r="N110" s="10" t="s">
        <v>1566</v>
      </c>
      <c r="O110" s="10"/>
      <c r="P110" s="10"/>
      <c r="Q110" s="10"/>
      <c r="R110" s="10"/>
      <c r="S110" s="10" t="s">
        <v>1911</v>
      </c>
      <c r="T110" s="10" t="s">
        <v>141</v>
      </c>
      <c r="U110" s="10" t="s">
        <v>322</v>
      </c>
      <c r="V110" s="10" t="s">
        <v>2809</v>
      </c>
      <c r="W110" s="10" t="s">
        <v>56</v>
      </c>
      <c r="X110" s="18">
        <f>COUNTIF('간병인배정'!$B:$B,$A110)</f>
        <v>1</v>
      </c>
      <c r="Y110" s="18">
        <f>SUMIF('간병비지급'!$B:$B,$A110,'간병비지급'!$I:$I)</f>
        <v>1040000</v>
      </c>
      <c r="Z110" s="18">
        <f>COUNTIF('보험청구'!$B:$B,$A110)</f>
        <v>1</v>
      </c>
      <c r="AA110" s="18">
        <f>COUNTIFS('보험청구'!$B:$B,$A110,'보험청구'!$J:$J,"미확인")</f>
        <v>0</v>
      </c>
      <c r="AB110" s="18">
        <f>SUMIF('보험청구'!$B:$B,$A110,'보험청구'!$I:$I)</f>
        <v>1032000</v>
      </c>
      <c r="AC110" s="18">
        <f>SUMIF('보험청구'!$B:$B,$A110,'보험청구'!$L:$L)</f>
        <v>0</v>
      </c>
      <c r="AD110" s="30">
        <v>46141.0</v>
      </c>
      <c r="AE110" s="30">
        <v>46148.0</v>
      </c>
      <c r="AF110" s="10">
        <f t="shared" si="4"/>
        <v>135</v>
      </c>
      <c r="AG110" s="10" t="str">
        <f t="shared" si="2"/>
        <v>정상</v>
      </c>
      <c r="AH110" s="25" t="s">
        <v>2823</v>
      </c>
      <c r="AI110" s="10"/>
      <c r="AJ110" s="10"/>
    </row>
    <row r="111" ht="15.75" customHeight="1">
      <c r="A111" s="10" t="s">
        <v>1403</v>
      </c>
      <c r="B111" s="13" t="s">
        <v>2824</v>
      </c>
      <c r="C111" s="10" t="s">
        <v>66</v>
      </c>
      <c r="D111" s="14">
        <v>1.9670518E7</v>
      </c>
      <c r="E111" s="10" t="s">
        <v>2825</v>
      </c>
      <c r="F111" s="10" t="s">
        <v>1976</v>
      </c>
      <c r="G111" s="13" t="s">
        <v>601</v>
      </c>
      <c r="H111" s="15" t="s">
        <v>2826</v>
      </c>
      <c r="I111" s="10" t="s">
        <v>106</v>
      </c>
      <c r="J111" s="10" t="s">
        <v>2827</v>
      </c>
      <c r="K111" s="10" t="s">
        <v>2828</v>
      </c>
      <c r="L111" s="10" t="s">
        <v>2829</v>
      </c>
      <c r="M111" s="10" t="s">
        <v>2830</v>
      </c>
      <c r="N111" s="10" t="s">
        <v>2831</v>
      </c>
      <c r="O111" s="10"/>
      <c r="P111" s="10"/>
      <c r="Q111" s="10"/>
      <c r="R111" s="10"/>
      <c r="S111" s="10" t="s">
        <v>1122</v>
      </c>
      <c r="T111" s="10" t="s">
        <v>141</v>
      </c>
      <c r="U111" s="10" t="s">
        <v>322</v>
      </c>
      <c r="V111" s="10" t="s">
        <v>828</v>
      </c>
      <c r="W111" s="10" t="s">
        <v>56</v>
      </c>
      <c r="X111" s="18">
        <f>COUNTIF('간병인배정'!$B:$B,$A111)</f>
        <v>1</v>
      </c>
      <c r="Y111" s="18">
        <f>SUMIF('간병비지급'!$B:$B,$A111,'간병비지급'!$I:$I)</f>
        <v>3220000</v>
      </c>
      <c r="Z111" s="18">
        <f>COUNTIF('보험청구'!$B:$B,$A111)</f>
        <v>1</v>
      </c>
      <c r="AA111" s="18">
        <f>COUNTIFS('보험청구'!$B:$B,$A111,'보험청구'!$J:$J,"미확인")</f>
        <v>0</v>
      </c>
      <c r="AB111" s="18">
        <f>SUMIF('보험청구'!$B:$B,$A111,'보험청구'!$I:$I)</f>
        <v>3312000</v>
      </c>
      <c r="AC111" s="18">
        <f>SUMIF('보험청구'!$B:$B,$A111,'보험청구'!$L:$L)</f>
        <v>0</v>
      </c>
      <c r="AD111" s="30">
        <v>46142.0</v>
      </c>
      <c r="AE111" s="30">
        <v>46164.0</v>
      </c>
      <c r="AF111" s="10">
        <f t="shared" si="4"/>
        <v>119</v>
      </c>
      <c r="AG111" s="10" t="str">
        <f t="shared" si="2"/>
        <v>정상</v>
      </c>
      <c r="AH111" s="25" t="s">
        <v>2861</v>
      </c>
      <c r="AI111" s="10"/>
      <c r="AJ111" s="10"/>
    </row>
    <row r="112" ht="15.75" customHeight="1">
      <c r="A112" s="10" t="s">
        <v>1415</v>
      </c>
      <c r="B112" s="13" t="s">
        <v>2824</v>
      </c>
      <c r="C112" s="10" t="s">
        <v>66</v>
      </c>
      <c r="D112" s="14">
        <v>1.9670518E7</v>
      </c>
      <c r="E112" s="10" t="s">
        <v>2825</v>
      </c>
      <c r="F112" s="10" t="s">
        <v>1976</v>
      </c>
      <c r="G112" s="13" t="s">
        <v>2441</v>
      </c>
      <c r="H112" s="15" t="s">
        <v>2866</v>
      </c>
      <c r="I112" s="10" t="s">
        <v>106</v>
      </c>
      <c r="J112" s="10" t="s">
        <v>2827</v>
      </c>
      <c r="K112" s="10" t="s">
        <v>2828</v>
      </c>
      <c r="L112" s="10" t="s">
        <v>2829</v>
      </c>
      <c r="M112" s="10" t="s">
        <v>2830</v>
      </c>
      <c r="N112" s="10" t="s">
        <v>2831</v>
      </c>
      <c r="O112" s="10"/>
      <c r="P112" s="10"/>
      <c r="Q112" s="10"/>
      <c r="R112" s="10"/>
      <c r="S112" s="10" t="s">
        <v>1122</v>
      </c>
      <c r="T112" s="10" t="s">
        <v>141</v>
      </c>
      <c r="U112" s="10" t="s">
        <v>322</v>
      </c>
      <c r="V112" s="10" t="s">
        <v>828</v>
      </c>
      <c r="W112" s="10" t="s">
        <v>56</v>
      </c>
      <c r="X112" s="18">
        <f>COUNTIF('간병인배정'!$B:$B,$A112)</f>
        <v>1</v>
      </c>
      <c r="Y112" s="18">
        <f>SUMIF('간병비지급'!$B:$B,$A112,'간병비지급'!$I:$I)</f>
        <v>9520000</v>
      </c>
      <c r="Z112" s="18">
        <f>COUNTIF('보험청구'!$B:$B,$A112)</f>
        <v>6</v>
      </c>
      <c r="AA112" s="18">
        <f>COUNTIFS('보험청구'!$B:$B,$A112,'보험청구'!$J:$J,"미확인")</f>
        <v>0</v>
      </c>
      <c r="AB112" s="18">
        <f>SUMIF('보험청구'!$B:$B,$A112,'보험청구'!$I:$I)</f>
        <v>9792000</v>
      </c>
      <c r="AC112" s="18">
        <f>SUMIF('보험청구'!$B:$B,$A112,'보험청구'!$L:$L)</f>
        <v>0</v>
      </c>
      <c r="AD112" s="30">
        <v>46164.0</v>
      </c>
      <c r="AE112" s="30">
        <v>46232.0</v>
      </c>
      <c r="AF112" s="10">
        <f t="shared" si="4"/>
        <v>51</v>
      </c>
      <c r="AG112" s="10" t="str">
        <f t="shared" si="2"/>
        <v>정상</v>
      </c>
      <c r="AH112" s="25"/>
      <c r="AI112" s="10"/>
      <c r="AJ112" s="10"/>
    </row>
    <row r="113" ht="15.75" customHeight="1">
      <c r="A113" s="10" t="s">
        <v>1425</v>
      </c>
      <c r="B113" s="13" t="s">
        <v>2824</v>
      </c>
      <c r="C113" s="10" t="s">
        <v>66</v>
      </c>
      <c r="D113" s="14">
        <v>1.9670518E7</v>
      </c>
      <c r="E113" s="10" t="s">
        <v>2825</v>
      </c>
      <c r="F113" s="10" t="s">
        <v>1976</v>
      </c>
      <c r="G113" s="13" t="s">
        <v>2441</v>
      </c>
      <c r="H113" s="15" t="s">
        <v>2866</v>
      </c>
      <c r="I113" s="10" t="s">
        <v>106</v>
      </c>
      <c r="J113" s="10" t="s">
        <v>2827</v>
      </c>
      <c r="K113" s="10" t="s">
        <v>2828</v>
      </c>
      <c r="L113" s="10" t="s">
        <v>2829</v>
      </c>
      <c r="M113" s="10" t="s">
        <v>2830</v>
      </c>
      <c r="N113" s="10" t="s">
        <v>2831</v>
      </c>
      <c r="O113" s="10"/>
      <c r="P113" s="10"/>
      <c r="Q113" s="10"/>
      <c r="R113" s="10"/>
      <c r="S113" s="10" t="s">
        <v>1122</v>
      </c>
      <c r="T113" s="10" t="s">
        <v>141</v>
      </c>
      <c r="U113" s="10" t="s">
        <v>322</v>
      </c>
      <c r="V113" s="10" t="s">
        <v>828</v>
      </c>
      <c r="W113" s="10" t="s">
        <v>56</v>
      </c>
      <c r="X113" s="18">
        <f>COUNTIF('간병인배정'!$B:$B,$A113)</f>
        <v>1</v>
      </c>
      <c r="Y113" s="18">
        <f>SUMIF('간병비지급'!$B:$B,$A113,'간병비지급'!$I:$I)</f>
        <v>420000</v>
      </c>
      <c r="Z113" s="18">
        <f>COUNTIF('보험청구'!$B:$B,$A113)</f>
        <v>1</v>
      </c>
      <c r="AA113" s="18">
        <f>COUNTIFS('보험청구'!$B:$B,$A113,'보험청구'!$J:$J,"미확인")</f>
        <v>0</v>
      </c>
      <c r="AB113" s="18">
        <f>SUMIF('보험청구'!$B:$B,$A113,'보험청구'!$I:$I)</f>
        <v>432000</v>
      </c>
      <c r="AC113" s="18">
        <f>SUMIF('보험청구'!$B:$B,$A113,'보험청구'!$L:$L)</f>
        <v>0</v>
      </c>
      <c r="AD113" s="30">
        <v>46232.0</v>
      </c>
      <c r="AE113" s="30">
        <v>46235.0</v>
      </c>
      <c r="AF113" s="10">
        <f t="shared" si="4"/>
        <v>48</v>
      </c>
      <c r="AG113" s="10" t="str">
        <f t="shared" si="2"/>
        <v>정상</v>
      </c>
      <c r="AH113" s="25"/>
      <c r="AI113" s="10"/>
      <c r="AJ113" s="10"/>
    </row>
    <row r="114" ht="15.75" customHeight="1">
      <c r="A114" s="10" t="s">
        <v>1434</v>
      </c>
      <c r="B114" s="13" t="s">
        <v>2824</v>
      </c>
      <c r="C114" s="10" t="s">
        <v>66</v>
      </c>
      <c r="D114" s="14">
        <v>1.9670518E7</v>
      </c>
      <c r="E114" s="10" t="s">
        <v>2825</v>
      </c>
      <c r="F114" s="10" t="s">
        <v>574</v>
      </c>
      <c r="G114" s="13" t="s">
        <v>927</v>
      </c>
      <c r="H114" s="15" t="s">
        <v>2929</v>
      </c>
      <c r="I114" s="10" t="s">
        <v>106</v>
      </c>
      <c r="J114" s="10" t="s">
        <v>2827</v>
      </c>
      <c r="K114" s="10" t="s">
        <v>2828</v>
      </c>
      <c r="L114" s="10" t="s">
        <v>2829</v>
      </c>
      <c r="M114" s="10" t="s">
        <v>2830</v>
      </c>
      <c r="N114" s="10" t="s">
        <v>2831</v>
      </c>
      <c r="O114" s="10"/>
      <c r="P114" s="10"/>
      <c r="Q114" s="10"/>
      <c r="R114" s="10"/>
      <c r="S114" s="10" t="s">
        <v>1122</v>
      </c>
      <c r="T114" s="10" t="s">
        <v>141</v>
      </c>
      <c r="U114" s="10" t="s">
        <v>322</v>
      </c>
      <c r="V114" s="10" t="s">
        <v>828</v>
      </c>
      <c r="W114" s="10" t="s">
        <v>65</v>
      </c>
      <c r="X114" s="18">
        <f>COUNTIF('간병인배정'!$B:$B,$A114)</f>
        <v>1</v>
      </c>
      <c r="Y114" s="18">
        <f>SUMIF('간병비지급'!$B:$B,$A114,'간병비지급'!$I:$I)</f>
        <v>7280000</v>
      </c>
      <c r="Z114" s="18">
        <f>COUNTIF('보험청구'!$B:$B,$A114)</f>
        <v>4</v>
      </c>
      <c r="AA114" s="18">
        <f>COUNTIFS('보험청구'!$B:$B,$A114,'보험청구'!$J:$J,"미확인")</f>
        <v>0</v>
      </c>
      <c r="AB114" s="18">
        <f>SUMIF('보험청구'!$B:$B,$A114,'보험청구'!$I:$I)</f>
        <v>2736000</v>
      </c>
      <c r="AC114" s="18">
        <f>SUMIF('보험청구'!$B:$B,$A114,'보험청구'!$L:$L)</f>
        <v>3004000</v>
      </c>
      <c r="AD114" s="30">
        <v>46235.0</v>
      </c>
      <c r="AE114" s="39">
        <v>46275.0</v>
      </c>
      <c r="AF114" s="10">
        <f t="shared" si="4"/>
        <v>8</v>
      </c>
      <c r="AG114" s="10" t="str">
        <f t="shared" si="2"/>
        <v>정상</v>
      </c>
      <c r="AH114" s="25"/>
      <c r="AI114" s="10"/>
      <c r="AJ114" s="10"/>
    </row>
    <row r="115" ht="15.75" customHeight="1">
      <c r="A115" s="10" t="s">
        <v>1445</v>
      </c>
      <c r="B115" s="13" t="s">
        <v>2954</v>
      </c>
      <c r="C115" s="10" t="s">
        <v>212</v>
      </c>
      <c r="D115" s="14">
        <v>1.9650201E7</v>
      </c>
      <c r="E115" s="10" t="s">
        <v>2958</v>
      </c>
      <c r="F115" s="10" t="s">
        <v>1948</v>
      </c>
      <c r="G115" s="13" t="s">
        <v>2961</v>
      </c>
      <c r="H115" s="15" t="s">
        <v>2962</v>
      </c>
      <c r="I115" s="10" t="s">
        <v>106</v>
      </c>
      <c r="J115" s="10" t="s">
        <v>2965</v>
      </c>
      <c r="K115" s="10" t="s">
        <v>2966</v>
      </c>
      <c r="L115" s="10">
        <v>2.605075115E9</v>
      </c>
      <c r="M115" s="10" t="s">
        <v>2968</v>
      </c>
      <c r="N115" s="10" t="s">
        <v>2969</v>
      </c>
      <c r="O115" s="10"/>
      <c r="P115" s="10"/>
      <c r="Q115" s="10"/>
      <c r="R115" s="10"/>
      <c r="S115" s="10" t="s">
        <v>1776</v>
      </c>
      <c r="T115" s="10" t="s">
        <v>1776</v>
      </c>
      <c r="U115" s="10" t="s">
        <v>322</v>
      </c>
      <c r="V115" s="10" t="s">
        <v>2977</v>
      </c>
      <c r="W115" s="10" t="s">
        <v>56</v>
      </c>
      <c r="X115" s="18">
        <f>COUNTIF('간병인배정'!$B:$B,$A115)</f>
        <v>1</v>
      </c>
      <c r="Y115" s="18">
        <f>SUMIF('간병비지급'!$B:$B,$A115,'간병비지급'!$I:$I)</f>
        <v>1800000</v>
      </c>
      <c r="Z115" s="18">
        <f>COUNTIF('보험청구'!$B:$B,$A115)</f>
        <v>2</v>
      </c>
      <c r="AA115" s="18">
        <f>COUNTIFS('보험청구'!$B:$B,$A115,'보험청구'!$J:$J,"미확인")</f>
        <v>0</v>
      </c>
      <c r="AB115" s="18">
        <f>SUMIF('보험청구'!$B:$B,$A115,'보험청구'!$I:$I)</f>
        <v>1540000</v>
      </c>
      <c r="AC115" s="18">
        <f>SUMIF('보험청구'!$B:$B,$A115,'보험청구'!$L:$L)</f>
        <v>0</v>
      </c>
      <c r="AD115" s="30">
        <v>46146.0</v>
      </c>
      <c r="AE115" s="30">
        <v>46157.0</v>
      </c>
      <c r="AF115" s="10">
        <f t="shared" si="4"/>
        <v>126</v>
      </c>
      <c r="AG115" s="10" t="str">
        <f t="shared" si="2"/>
        <v>정상</v>
      </c>
      <c r="AH115" s="25" t="s">
        <v>3034</v>
      </c>
      <c r="AI115" s="10"/>
      <c r="AJ115" s="10"/>
    </row>
    <row r="116" ht="15.75" customHeight="1">
      <c r="A116" s="10" t="s">
        <v>1455</v>
      </c>
      <c r="B116" s="13" t="s">
        <v>3036</v>
      </c>
      <c r="C116" s="10" t="s">
        <v>66</v>
      </c>
      <c r="D116" s="14">
        <v>1.9411212E7</v>
      </c>
      <c r="E116" s="10" t="s">
        <v>3041</v>
      </c>
      <c r="F116" s="10" t="s">
        <v>126</v>
      </c>
      <c r="G116" s="13" t="s">
        <v>423</v>
      </c>
      <c r="H116" s="15" t="s">
        <v>3044</v>
      </c>
      <c r="I116" s="10" t="s">
        <v>106</v>
      </c>
      <c r="J116" s="10" t="s">
        <v>3047</v>
      </c>
      <c r="K116" s="10" t="s">
        <v>3050</v>
      </c>
      <c r="L116" s="10">
        <v>2.605197935E9</v>
      </c>
      <c r="M116" s="10" t="s">
        <v>3051</v>
      </c>
      <c r="N116" s="10" t="s">
        <v>3052</v>
      </c>
      <c r="O116" s="10"/>
      <c r="P116" s="10"/>
      <c r="Q116" s="10"/>
      <c r="R116" s="10"/>
      <c r="S116" s="10" t="s">
        <v>3054</v>
      </c>
      <c r="T116" s="10" t="s">
        <v>2010</v>
      </c>
      <c r="U116" s="10" t="s">
        <v>322</v>
      </c>
      <c r="V116" s="10" t="s">
        <v>3058</v>
      </c>
      <c r="W116" s="10" t="s">
        <v>56</v>
      </c>
      <c r="X116" s="18">
        <f>COUNTIF('간병인배정'!$B:$B,$A116)</f>
        <v>1</v>
      </c>
      <c r="Y116" s="18">
        <f>SUMIF('간병비지급'!$B:$B,$A116,'간병비지급'!$I:$I)</f>
        <v>10040000</v>
      </c>
      <c r="Z116" s="18">
        <f>COUNTIF('보험청구'!$B:$B,$A116)</f>
        <v>7</v>
      </c>
      <c r="AA116" s="18">
        <f>COUNTIFS('보험청구'!$B:$B,$A116,'보험청구'!$J:$J,"미확인")</f>
        <v>0</v>
      </c>
      <c r="AB116" s="18">
        <f>SUMIF('보험청구'!$B:$B,$A116,'보험청구'!$I:$I)</f>
        <v>0</v>
      </c>
      <c r="AC116" s="18">
        <f>SUMIF('보험청구'!$B:$B,$A116,'보험청구'!$L:$L)</f>
        <v>8640000</v>
      </c>
      <c r="AD116" s="30">
        <v>46164.0</v>
      </c>
      <c r="AE116" s="30">
        <v>46227.0</v>
      </c>
      <c r="AF116" s="10">
        <f t="shared" si="4"/>
        <v>56</v>
      </c>
      <c r="AG116" s="10" t="str">
        <f t="shared" si="2"/>
        <v>정상</v>
      </c>
      <c r="AH116" s="25"/>
      <c r="AI116" s="10"/>
      <c r="AJ116" s="10"/>
    </row>
    <row r="117" ht="15.75" customHeight="1">
      <c r="A117" s="10" t="s">
        <v>1469</v>
      </c>
      <c r="B117" s="13" t="s">
        <v>2909</v>
      </c>
      <c r="C117" s="10" t="s">
        <v>212</v>
      </c>
      <c r="D117" s="14">
        <v>1.9521117E7</v>
      </c>
      <c r="E117" s="10" t="s">
        <v>1779</v>
      </c>
      <c r="F117" s="10" t="s">
        <v>467</v>
      </c>
      <c r="G117" s="13" t="s">
        <v>468</v>
      </c>
      <c r="H117" s="15" t="s">
        <v>3096</v>
      </c>
      <c r="I117" s="10" t="s">
        <v>106</v>
      </c>
      <c r="J117" s="10" t="s">
        <v>1781</v>
      </c>
      <c r="K117" s="10" t="s">
        <v>1783</v>
      </c>
      <c r="L117" s="10">
        <v>2.605198023E9</v>
      </c>
      <c r="M117" s="10" t="s">
        <v>3100</v>
      </c>
      <c r="N117" s="10" t="s">
        <v>3101</v>
      </c>
      <c r="O117" s="10"/>
      <c r="P117" s="10"/>
      <c r="Q117" s="10"/>
      <c r="R117" s="10"/>
      <c r="S117" s="10" t="s">
        <v>3054</v>
      </c>
      <c r="T117" s="10" t="s">
        <v>3054</v>
      </c>
      <c r="U117" s="10" t="s">
        <v>322</v>
      </c>
      <c r="V117" s="10" t="s">
        <v>2272</v>
      </c>
      <c r="W117" s="10" t="s">
        <v>56</v>
      </c>
      <c r="X117" s="18">
        <f>COUNTIF('간병인배정'!$B:$B,$A117)</f>
        <v>1</v>
      </c>
      <c r="Y117" s="18">
        <f>SUMIF('간병비지급'!$B:$B,$A117,'간병비지급'!$I:$I)</f>
        <v>2940000</v>
      </c>
      <c r="Z117" s="18">
        <f>COUNTIF('보험청구'!$B:$B,$A117)</f>
        <v>3</v>
      </c>
      <c r="AA117" s="18">
        <f>COUNTIFS('보험청구'!$B:$B,$A117,'보험청구'!$J:$J,"미확인")</f>
        <v>0</v>
      </c>
      <c r="AB117" s="18">
        <f>SUMIF('보험청구'!$B:$B,$A117,'보험청구'!$I:$I)</f>
        <v>3024000</v>
      </c>
      <c r="AC117" s="18">
        <f>SUMIF('보험청구'!$B:$B,$A117,'보험청구'!$L:$L)</f>
        <v>0</v>
      </c>
      <c r="AD117" s="30">
        <v>46148.0</v>
      </c>
      <c r="AE117" s="30">
        <v>46169.0</v>
      </c>
      <c r="AF117" s="10">
        <f t="shared" si="4"/>
        <v>114</v>
      </c>
      <c r="AG117" s="10" t="str">
        <f t="shared" si="2"/>
        <v>정상</v>
      </c>
      <c r="AH117" s="25"/>
      <c r="AI117" s="10"/>
      <c r="AJ117" s="10"/>
    </row>
    <row r="118" ht="15.75" customHeight="1">
      <c r="A118" s="10" t="s">
        <v>1476</v>
      </c>
      <c r="B118" s="13" t="s">
        <v>2909</v>
      </c>
      <c r="C118" s="10" t="s">
        <v>212</v>
      </c>
      <c r="D118" s="14">
        <v>1.9521117E7</v>
      </c>
      <c r="E118" s="10" t="s">
        <v>1779</v>
      </c>
      <c r="F118" s="10" t="s">
        <v>467</v>
      </c>
      <c r="G118" s="13" t="s">
        <v>468</v>
      </c>
      <c r="H118" s="15" t="s">
        <v>3096</v>
      </c>
      <c r="I118" s="10" t="s">
        <v>106</v>
      </c>
      <c r="J118" s="10" t="s">
        <v>1781</v>
      </c>
      <c r="K118" s="10" t="s">
        <v>1783</v>
      </c>
      <c r="L118" s="10">
        <v>2.605198023E9</v>
      </c>
      <c r="M118" s="10" t="s">
        <v>3100</v>
      </c>
      <c r="N118" s="10" t="s">
        <v>3101</v>
      </c>
      <c r="O118" s="10"/>
      <c r="P118" s="10"/>
      <c r="Q118" s="10"/>
      <c r="R118" s="10"/>
      <c r="S118" s="10" t="s">
        <v>3054</v>
      </c>
      <c r="T118" s="10" t="s">
        <v>694</v>
      </c>
      <c r="U118" s="10" t="s">
        <v>322</v>
      </c>
      <c r="V118" s="10"/>
      <c r="W118" s="10" t="s">
        <v>56</v>
      </c>
      <c r="X118" s="18">
        <f>COUNTIF('간병인배정'!$B:$B,$A118)</f>
        <v>1</v>
      </c>
      <c r="Y118" s="18">
        <f>SUMIF('간병비지급'!$B:$B,$A118,'간병비지급'!$I:$I)</f>
        <v>1700000</v>
      </c>
      <c r="Z118" s="18">
        <f>COUNTIF('보험청구'!$B:$B,$A118)</f>
        <v>2</v>
      </c>
      <c r="AA118" s="18">
        <f>COUNTIFS('보험청구'!$B:$B,$A118,'보험청구'!$J:$J,"미확인")</f>
        <v>0</v>
      </c>
      <c r="AB118" s="18">
        <f>SUMIF('보험청구'!$B:$B,$A118,'보험청구'!$I:$I)</f>
        <v>1872000</v>
      </c>
      <c r="AC118" s="18">
        <f>SUMIF('보험청구'!$B:$B,$A118,'보험청구'!$L:$L)</f>
        <v>0</v>
      </c>
      <c r="AD118" s="30">
        <v>46184.0</v>
      </c>
      <c r="AE118" s="30">
        <v>46196.0</v>
      </c>
      <c r="AF118" s="10">
        <f t="shared" si="4"/>
        <v>87</v>
      </c>
      <c r="AG118" s="10" t="str">
        <f t="shared" si="2"/>
        <v>정상</v>
      </c>
      <c r="AH118" s="25"/>
      <c r="AI118" s="10"/>
      <c r="AJ118" s="10"/>
    </row>
    <row r="119" ht="15.75" customHeight="1">
      <c r="A119" s="10" t="s">
        <v>1494</v>
      </c>
      <c r="B119" s="13" t="s">
        <v>2909</v>
      </c>
      <c r="C119" s="10" t="s">
        <v>212</v>
      </c>
      <c r="D119" s="14">
        <v>1.9521117E7</v>
      </c>
      <c r="E119" s="10" t="s">
        <v>1779</v>
      </c>
      <c r="F119" s="10" t="s">
        <v>467</v>
      </c>
      <c r="G119" s="13" t="s">
        <v>468</v>
      </c>
      <c r="H119" s="15" t="s">
        <v>3096</v>
      </c>
      <c r="I119" s="10" t="s">
        <v>106</v>
      </c>
      <c r="J119" s="10" t="s">
        <v>1781</v>
      </c>
      <c r="K119" s="10" t="s">
        <v>1783</v>
      </c>
      <c r="L119" s="10">
        <v>2.605198023E9</v>
      </c>
      <c r="M119" s="10" t="s">
        <v>3100</v>
      </c>
      <c r="N119" s="10" t="s">
        <v>3101</v>
      </c>
      <c r="O119" s="10"/>
      <c r="P119" s="10"/>
      <c r="Q119" s="10"/>
      <c r="R119" s="10"/>
      <c r="S119" s="10" t="s">
        <v>2873</v>
      </c>
      <c r="T119" s="10" t="s">
        <v>569</v>
      </c>
      <c r="U119" s="10" t="s">
        <v>322</v>
      </c>
      <c r="V119" s="10"/>
      <c r="W119" s="10" t="s">
        <v>56</v>
      </c>
      <c r="X119" s="18">
        <f>COUNTIF('간병인배정'!$B:$B,$A119)</f>
        <v>1</v>
      </c>
      <c r="Y119" s="18">
        <f>SUMIF('간병비지급'!$B:$B,$A119,'간병비지급'!$I:$I)</f>
        <v>1960000</v>
      </c>
      <c r="Z119" s="18">
        <f>COUNTIF('보험청구'!$B:$B,$A119)</f>
        <v>1</v>
      </c>
      <c r="AA119" s="18">
        <f>COUNTIFS('보험청구'!$B:$B,$A119,'보험청구'!$J:$J,"미확인")</f>
        <v>0</v>
      </c>
      <c r="AB119" s="18">
        <f>SUMIF('보험청구'!$B:$B,$A119,'보험청구'!$I:$I)</f>
        <v>2160000</v>
      </c>
      <c r="AC119" s="18">
        <f>SUMIF('보험청구'!$B:$B,$A119,'보험청구'!$L:$L)</f>
        <v>0</v>
      </c>
      <c r="AD119" s="30">
        <v>46203.0</v>
      </c>
      <c r="AE119" s="30">
        <v>46217.0</v>
      </c>
      <c r="AF119" s="10">
        <f t="shared" si="4"/>
        <v>66</v>
      </c>
      <c r="AG119" s="10" t="str">
        <f t="shared" si="2"/>
        <v>정상</v>
      </c>
      <c r="AH119" s="25"/>
      <c r="AI119" s="10"/>
      <c r="AJ119" s="10"/>
    </row>
    <row r="120" ht="15.75" customHeight="1">
      <c r="A120" s="10" t="s">
        <v>1517</v>
      </c>
      <c r="B120" s="13" t="s">
        <v>3237</v>
      </c>
      <c r="C120" s="10" t="s">
        <v>66</v>
      </c>
      <c r="D120" s="14">
        <v>1.9450705E7</v>
      </c>
      <c r="E120" s="10" t="s">
        <v>3238</v>
      </c>
      <c r="F120" s="10" t="s">
        <v>168</v>
      </c>
      <c r="G120" s="13" t="s">
        <v>313</v>
      </c>
      <c r="H120" s="15" t="s">
        <v>3239</v>
      </c>
      <c r="I120" s="10" t="s">
        <v>106</v>
      </c>
      <c r="J120" s="10" t="s">
        <v>3240</v>
      </c>
      <c r="K120" s="10" t="s">
        <v>3241</v>
      </c>
      <c r="L120" s="10">
        <v>2.605324229E9</v>
      </c>
      <c r="M120" s="10" t="s">
        <v>3242</v>
      </c>
      <c r="N120" s="10" t="s">
        <v>3243</v>
      </c>
      <c r="O120" s="10" t="s">
        <v>3244</v>
      </c>
      <c r="P120" s="10"/>
      <c r="Q120" s="10"/>
      <c r="R120" s="10"/>
      <c r="S120" s="10" t="s">
        <v>2010</v>
      </c>
      <c r="T120" s="10" t="s">
        <v>2010</v>
      </c>
      <c r="U120" s="10" t="s">
        <v>322</v>
      </c>
      <c r="V120" s="10" t="s">
        <v>1568</v>
      </c>
      <c r="W120" s="10" t="s">
        <v>56</v>
      </c>
      <c r="X120" s="18">
        <f>COUNTIF('간병인배정'!$B:$B,$A120)</f>
        <v>1</v>
      </c>
      <c r="Y120" s="18">
        <f>SUMIF('간병비지급'!$B:$B,$A120,'간병비지급'!$I:$I)</f>
        <v>3510000</v>
      </c>
      <c r="Z120" s="18">
        <f>COUNTIF('보험청구'!$B:$B,$A120)</f>
        <v>3</v>
      </c>
      <c r="AA120" s="18">
        <f>COUNTIFS('보험청구'!$B:$B,$A120,'보험청구'!$J:$J,"미확인")</f>
        <v>0</v>
      </c>
      <c r="AB120" s="18">
        <f>SUMIF('보험청구'!$B:$B,$A120,'보험청구'!$I:$I)</f>
        <v>3888000</v>
      </c>
      <c r="AC120" s="18">
        <f>SUMIF('보험청구'!$B:$B,$A120,'보험청구'!$L:$L)</f>
        <v>0</v>
      </c>
      <c r="AD120" s="30">
        <v>46150.0</v>
      </c>
      <c r="AE120" s="30">
        <v>46177.0</v>
      </c>
      <c r="AF120" s="10">
        <f t="shared" si="4"/>
        <v>106</v>
      </c>
      <c r="AG120" s="10" t="str">
        <f t="shared" si="2"/>
        <v>정상</v>
      </c>
      <c r="AH120" s="25"/>
      <c r="AI120" s="10"/>
      <c r="AJ120" s="10"/>
    </row>
    <row r="121" ht="15.75" customHeight="1">
      <c r="A121" s="10" t="s">
        <v>1529</v>
      </c>
      <c r="B121" s="13" t="s">
        <v>3249</v>
      </c>
      <c r="C121" s="10" t="s">
        <v>212</v>
      </c>
      <c r="D121" s="14">
        <v>1.9720424E7</v>
      </c>
      <c r="E121" s="10" t="s">
        <v>3250</v>
      </c>
      <c r="F121" s="10" t="s">
        <v>743</v>
      </c>
      <c r="G121" s="13" t="s">
        <v>3251</v>
      </c>
      <c r="H121" s="15" t="s">
        <v>3252</v>
      </c>
      <c r="I121" s="10" t="s">
        <v>106</v>
      </c>
      <c r="J121" s="10" t="s">
        <v>3253</v>
      </c>
      <c r="K121" s="10" t="s">
        <v>3255</v>
      </c>
      <c r="L121" s="10">
        <v>2.605380189E9</v>
      </c>
      <c r="M121" s="10" t="s">
        <v>3256</v>
      </c>
      <c r="N121" s="10" t="s">
        <v>3257</v>
      </c>
      <c r="O121" s="10"/>
      <c r="P121" s="10"/>
      <c r="Q121" s="10"/>
      <c r="R121" s="10"/>
      <c r="S121" s="10" t="s">
        <v>233</v>
      </c>
      <c r="T121" s="10" t="s">
        <v>233</v>
      </c>
      <c r="U121" s="10" t="s">
        <v>322</v>
      </c>
      <c r="V121" s="10" t="s">
        <v>497</v>
      </c>
      <c r="W121" s="10" t="s">
        <v>56</v>
      </c>
      <c r="X121" s="18">
        <f>COUNTIF('간병인배정'!$B:$B,$A121)</f>
        <v>1</v>
      </c>
      <c r="Y121" s="18">
        <f>SUMIF('간병비지급'!$B:$B,$A121,'간병비지급'!$I:$I)</f>
        <v>5330000</v>
      </c>
      <c r="Z121" s="18">
        <f>COUNTIF('보험청구'!$B:$B,$A121)</f>
        <v>4</v>
      </c>
      <c r="AA121" s="18">
        <f>COUNTIFS('보험청구'!$B:$B,$A121,'보험청구'!$J:$J,"미확인")</f>
        <v>0</v>
      </c>
      <c r="AB121" s="18">
        <f>SUMIF('보험청구'!$B:$B,$A121,'보험청구'!$I:$I)</f>
        <v>5760000</v>
      </c>
      <c r="AC121" s="18">
        <f>SUMIF('보험청구'!$B:$B,$A121,'보험청구'!$L:$L)</f>
        <v>0</v>
      </c>
      <c r="AD121" s="30">
        <v>46153.0</v>
      </c>
      <c r="AE121" s="30">
        <v>46193.0</v>
      </c>
      <c r="AF121" s="10">
        <f t="shared" si="4"/>
        <v>90</v>
      </c>
      <c r="AG121" s="10" t="str">
        <f t="shared" si="2"/>
        <v>정상</v>
      </c>
      <c r="AH121" s="25"/>
      <c r="AI121" s="10"/>
      <c r="AJ121" s="10"/>
    </row>
    <row r="122" ht="15.75" customHeight="1">
      <c r="A122" s="10" t="s">
        <v>1551</v>
      </c>
      <c r="B122" s="13" t="s">
        <v>3249</v>
      </c>
      <c r="C122" s="10" t="s">
        <v>212</v>
      </c>
      <c r="D122" s="14">
        <v>1.9720424E7</v>
      </c>
      <c r="E122" s="10" t="s">
        <v>3250</v>
      </c>
      <c r="F122" s="10" t="s">
        <v>743</v>
      </c>
      <c r="G122" s="13" t="s">
        <v>3251</v>
      </c>
      <c r="H122" s="15" t="s">
        <v>3252</v>
      </c>
      <c r="I122" s="10" t="s">
        <v>106</v>
      </c>
      <c r="J122" s="10" t="s">
        <v>3253</v>
      </c>
      <c r="K122" s="10" t="s">
        <v>3255</v>
      </c>
      <c r="L122" s="10">
        <v>2.605380189E9</v>
      </c>
      <c r="M122" s="10" t="s">
        <v>3256</v>
      </c>
      <c r="N122" s="10" t="s">
        <v>3257</v>
      </c>
      <c r="O122" s="10"/>
      <c r="P122" s="10"/>
      <c r="Q122" s="10"/>
      <c r="R122" s="10"/>
      <c r="S122" s="10" t="s">
        <v>233</v>
      </c>
      <c r="T122" s="10" t="s">
        <v>233</v>
      </c>
      <c r="U122" s="10" t="s">
        <v>322</v>
      </c>
      <c r="V122" s="10" t="s">
        <v>497</v>
      </c>
      <c r="W122" s="10" t="s">
        <v>65</v>
      </c>
      <c r="X122" s="18">
        <f>COUNTIF('간병인배정'!$B:$B,$A122)</f>
        <v>1</v>
      </c>
      <c r="Y122" s="18">
        <f>SUMIF('간병비지급'!$B:$B,$A122,'간병비지급'!$I:$I)</f>
        <v>12600000</v>
      </c>
      <c r="Z122" s="18">
        <f>COUNTIF('보험청구'!$B:$B,$A122)</f>
        <v>9</v>
      </c>
      <c r="AA122" s="18">
        <f>COUNTIFS('보험청구'!$B:$B,$A122,'보험청구'!$J:$J,"미확인")</f>
        <v>0</v>
      </c>
      <c r="AB122" s="18">
        <f>SUMIF('보험청구'!$B:$B,$A122,'보험청구'!$I:$I)</f>
        <v>8784000</v>
      </c>
      <c r="AC122" s="18">
        <f>SUMIF('보험청구'!$B:$B,$A122,'보험청구'!$L:$L)</f>
        <v>4424000</v>
      </c>
      <c r="AD122" s="30">
        <v>46195.0</v>
      </c>
      <c r="AE122" s="39">
        <v>46275.0</v>
      </c>
      <c r="AF122" s="10">
        <f t="shared" si="4"/>
        <v>8</v>
      </c>
      <c r="AG122" s="10" t="str">
        <f t="shared" si="2"/>
        <v>정상</v>
      </c>
      <c r="AH122" s="25"/>
      <c r="AI122" s="10"/>
      <c r="AJ122" s="10"/>
    </row>
    <row r="123" ht="15.75" customHeight="1">
      <c r="A123" s="10" t="s">
        <v>1559</v>
      </c>
      <c r="B123" s="13" t="s">
        <v>3266</v>
      </c>
      <c r="C123" s="10" t="s">
        <v>212</v>
      </c>
      <c r="D123" s="14">
        <v>1.9650724E7</v>
      </c>
      <c r="E123" s="10" t="s">
        <v>3267</v>
      </c>
      <c r="F123" s="10" t="s">
        <v>1104</v>
      </c>
      <c r="G123" s="13" t="s">
        <v>1589</v>
      </c>
      <c r="H123" s="15" t="s">
        <v>3268</v>
      </c>
      <c r="I123" s="10" t="s">
        <v>106</v>
      </c>
      <c r="J123" s="10" t="s">
        <v>3269</v>
      </c>
      <c r="K123" s="10" t="s">
        <v>3270</v>
      </c>
      <c r="L123" s="10">
        <v>2.605380361E9</v>
      </c>
      <c r="M123" s="10" t="s">
        <v>3271</v>
      </c>
      <c r="N123" s="10" t="s">
        <v>3272</v>
      </c>
      <c r="O123" s="10"/>
      <c r="P123" s="10"/>
      <c r="Q123" s="10"/>
      <c r="R123" s="10"/>
      <c r="S123" s="10" t="s">
        <v>233</v>
      </c>
      <c r="T123" s="10" t="s">
        <v>233</v>
      </c>
      <c r="U123" s="10" t="s">
        <v>322</v>
      </c>
      <c r="V123" s="10" t="s">
        <v>2272</v>
      </c>
      <c r="W123" s="10" t="s">
        <v>56</v>
      </c>
      <c r="X123" s="18">
        <f>COUNTIF('간병인배정'!$B:$B,$A123)</f>
        <v>1</v>
      </c>
      <c r="Y123" s="18">
        <f>SUMIF('간병비지급'!$B:$B,$A123,'간병비지급'!$I:$I)</f>
        <v>280000</v>
      </c>
      <c r="Z123" s="18">
        <f>COUNTIF('보험청구'!$B:$B,$A123)</f>
        <v>1</v>
      </c>
      <c r="AA123" s="18">
        <f>COUNTIFS('보험청구'!$B:$B,$A123,'보험청구'!$J:$J,"미확인")</f>
        <v>0</v>
      </c>
      <c r="AB123" s="18">
        <f>SUMIF('보험청구'!$B:$B,$A123,'보험청구'!$I:$I)</f>
        <v>258000</v>
      </c>
      <c r="AC123" s="18">
        <f>SUMIF('보험청구'!$B:$B,$A123,'보험청구'!$L:$L)</f>
        <v>0</v>
      </c>
      <c r="AD123" s="30">
        <v>46153.0</v>
      </c>
      <c r="AE123" s="30">
        <v>46155.0</v>
      </c>
      <c r="AF123" s="10">
        <f t="shared" si="4"/>
        <v>128</v>
      </c>
      <c r="AG123" s="10" t="str">
        <f t="shared" si="2"/>
        <v>정상</v>
      </c>
      <c r="AH123" s="25" t="s">
        <v>3277</v>
      </c>
      <c r="AI123" s="10"/>
      <c r="AJ123" s="10"/>
    </row>
    <row r="124" ht="15.75" customHeight="1">
      <c r="A124" s="10" t="s">
        <v>1576</v>
      </c>
      <c r="B124" s="13" t="s">
        <v>3278</v>
      </c>
      <c r="C124" s="10" t="s">
        <v>66</v>
      </c>
      <c r="D124" s="14">
        <v>1.9701206E7</v>
      </c>
      <c r="E124" s="10" t="s">
        <v>3280</v>
      </c>
      <c r="F124" s="10" t="s">
        <v>391</v>
      </c>
      <c r="G124" s="13" t="s">
        <v>3281</v>
      </c>
      <c r="H124" s="15" t="s">
        <v>3282</v>
      </c>
      <c r="I124" s="10" t="s">
        <v>106</v>
      </c>
      <c r="J124" s="10" t="s">
        <v>3283</v>
      </c>
      <c r="K124" s="10" t="s">
        <v>316</v>
      </c>
      <c r="L124" s="10">
        <v>2.605380805E9</v>
      </c>
      <c r="M124" s="10" t="s">
        <v>166</v>
      </c>
      <c r="N124" s="10" t="s">
        <v>3284</v>
      </c>
      <c r="O124" s="10"/>
      <c r="P124" s="10"/>
      <c r="Q124" s="10"/>
      <c r="R124" s="10"/>
      <c r="S124" s="10" t="s">
        <v>233</v>
      </c>
      <c r="T124" s="10" t="s">
        <v>1580</v>
      </c>
      <c r="U124" s="10" t="s">
        <v>80</v>
      </c>
      <c r="V124" s="10" t="s">
        <v>3285</v>
      </c>
      <c r="W124" s="10" t="s">
        <v>56</v>
      </c>
      <c r="X124" s="18">
        <f>COUNTIF('간병인배정'!$B:$B,$A124)</f>
        <v>1</v>
      </c>
      <c r="Y124" s="18">
        <f>SUMIF('간병비지급'!$B:$B,$A124,'간병비지급'!$I:$I)</f>
        <v>0</v>
      </c>
      <c r="Z124" s="18">
        <f>COUNTIF('보험청구'!$B:$B,$A124)</f>
        <v>1</v>
      </c>
      <c r="AA124" s="18">
        <f>COUNTIFS('보험청구'!$B:$B,$A124,'보험청구'!$J:$J,"미확인")</f>
        <v>0</v>
      </c>
      <c r="AB124" s="18">
        <f>SUMIF('보험청구'!$B:$B,$A124,'보험청구'!$I:$I)</f>
        <v>516000</v>
      </c>
      <c r="AC124" s="18">
        <f>SUMIF('보험청구'!$B:$B,$A124,'보험청구'!$L:$L)</f>
        <v>0</v>
      </c>
      <c r="AD124" s="30">
        <v>46156.0</v>
      </c>
      <c r="AE124" s="30">
        <v>46163.0</v>
      </c>
      <c r="AF124" s="10">
        <f t="shared" si="4"/>
        <v>120</v>
      </c>
      <c r="AG124" s="10" t="str">
        <f t="shared" si="2"/>
        <v>정상</v>
      </c>
      <c r="AH124" s="25" t="s">
        <v>3288</v>
      </c>
      <c r="AI124" s="10"/>
      <c r="AJ124" s="10"/>
    </row>
    <row r="125" ht="15.75" customHeight="1">
      <c r="A125" s="10" t="s">
        <v>1583</v>
      </c>
      <c r="B125" s="13" t="s">
        <v>3289</v>
      </c>
      <c r="C125" s="10" t="s">
        <v>212</v>
      </c>
      <c r="D125" s="14">
        <v>1.9560408E7</v>
      </c>
      <c r="E125" s="10" t="s">
        <v>3290</v>
      </c>
      <c r="F125" s="10" t="s">
        <v>987</v>
      </c>
      <c r="G125" s="13" t="s">
        <v>1324</v>
      </c>
      <c r="H125" s="15" t="s">
        <v>3291</v>
      </c>
      <c r="I125" s="10" t="s">
        <v>106</v>
      </c>
      <c r="J125" s="10" t="s">
        <v>3292</v>
      </c>
      <c r="K125" s="10" t="s">
        <v>3293</v>
      </c>
      <c r="L125" s="10">
        <v>2.605473968E9</v>
      </c>
      <c r="M125" s="10" t="s">
        <v>3294</v>
      </c>
      <c r="N125" s="10" t="s">
        <v>3295</v>
      </c>
      <c r="O125" s="10"/>
      <c r="P125" s="10"/>
      <c r="Q125" s="10"/>
      <c r="R125" s="10"/>
      <c r="S125" s="10" t="s">
        <v>3296</v>
      </c>
      <c r="T125" s="10" t="s">
        <v>3296</v>
      </c>
      <c r="U125" s="10" t="s">
        <v>322</v>
      </c>
      <c r="V125" s="10" t="s">
        <v>3297</v>
      </c>
      <c r="W125" s="10" t="s">
        <v>56</v>
      </c>
      <c r="X125" s="18">
        <f>COUNTIF('간병인배정'!$B:$B,$A125)</f>
        <v>1</v>
      </c>
      <c r="Y125" s="18">
        <f>SUMIF('간병비지급'!$B:$B,$A125,'간병비지급'!$I:$I)</f>
        <v>2085000</v>
      </c>
      <c r="Z125" s="18">
        <f>COUNTIF('보험청구'!$B:$B,$A125)</f>
        <v>2</v>
      </c>
      <c r="AA125" s="18">
        <f>COUNTIFS('보험청구'!$B:$B,$A125,'보험청구'!$J:$J,"미확인")</f>
        <v>0</v>
      </c>
      <c r="AB125" s="18">
        <f>SUMIF('보험청구'!$B:$B,$A125,'보험청구'!$I:$I)</f>
        <v>2160000</v>
      </c>
      <c r="AC125" s="18">
        <f>SUMIF('보험청구'!$B:$B,$A125,'보험청구'!$L:$L)</f>
        <v>0</v>
      </c>
      <c r="AD125" s="30">
        <v>46155.0</v>
      </c>
      <c r="AE125" s="30">
        <v>46169.0</v>
      </c>
      <c r="AF125" s="10">
        <f t="shared" si="4"/>
        <v>114</v>
      </c>
      <c r="AG125" s="10" t="str">
        <f t="shared" si="2"/>
        <v>정상</v>
      </c>
      <c r="AH125" s="25"/>
      <c r="AI125" s="10"/>
      <c r="AJ125" s="10"/>
    </row>
    <row r="126" ht="15.75" customHeight="1">
      <c r="A126" s="10" t="s">
        <v>1601</v>
      </c>
      <c r="B126" s="13" t="s">
        <v>3301</v>
      </c>
      <c r="C126" s="10" t="s">
        <v>66</v>
      </c>
      <c r="D126" s="14">
        <v>1.9890703E7</v>
      </c>
      <c r="E126" s="10" t="s">
        <v>3302</v>
      </c>
      <c r="F126" s="10" t="s">
        <v>743</v>
      </c>
      <c r="G126" s="13" t="s">
        <v>3303</v>
      </c>
      <c r="H126" s="15" t="s">
        <v>3304</v>
      </c>
      <c r="I126" s="10" t="s">
        <v>106</v>
      </c>
      <c r="J126" s="10" t="s">
        <v>3305</v>
      </c>
      <c r="K126" s="10" t="s">
        <v>2360</v>
      </c>
      <c r="L126" s="10">
        <v>2.605505725E9</v>
      </c>
      <c r="M126" s="10"/>
      <c r="N126" s="10" t="s">
        <v>3306</v>
      </c>
      <c r="O126" s="10"/>
      <c r="P126" s="10"/>
      <c r="Q126" s="10"/>
      <c r="R126" s="10"/>
      <c r="S126" s="10" t="s">
        <v>3258</v>
      </c>
      <c r="T126" s="10"/>
      <c r="U126" s="10" t="s">
        <v>322</v>
      </c>
      <c r="V126" s="10"/>
      <c r="W126" s="10" t="s">
        <v>56</v>
      </c>
      <c r="X126" s="18">
        <f>COUNTIF('간병인배정'!$B:$B,$A126)</f>
        <v>1</v>
      </c>
      <c r="Y126" s="18">
        <f>SUMIF('간병비지급'!$B:$B,$A126,'간병비지급'!$I:$I)</f>
        <v>140000</v>
      </c>
      <c r="Z126" s="18">
        <f>COUNTIF('보험청구'!$B:$B,$A126)</f>
        <v>1</v>
      </c>
      <c r="AA126" s="18">
        <f>COUNTIFS('보험청구'!$B:$B,$A126,'보험청구'!$J:$J,"미확인")</f>
        <v>0</v>
      </c>
      <c r="AB126" s="18">
        <f>SUMIF('보험청구'!$B:$B,$A126,'보험청구'!$I:$I)</f>
        <v>140000</v>
      </c>
      <c r="AC126" s="18">
        <f>SUMIF('보험청구'!$B:$B,$A126,'보험청구'!$L:$L)</f>
        <v>0</v>
      </c>
      <c r="AD126" s="30">
        <v>46174.0</v>
      </c>
      <c r="AE126" s="30">
        <v>46175.0</v>
      </c>
      <c r="AF126" s="10">
        <f t="shared" si="4"/>
        <v>108</v>
      </c>
      <c r="AG126" s="10" t="str">
        <f t="shared" si="2"/>
        <v>정상</v>
      </c>
      <c r="AH126" s="25" t="s">
        <v>3311</v>
      </c>
      <c r="AI126" s="10"/>
      <c r="AJ126" s="10"/>
    </row>
    <row r="127" ht="15.75" customHeight="1">
      <c r="A127" s="10" t="s">
        <v>1612</v>
      </c>
      <c r="B127" s="13" t="s">
        <v>3301</v>
      </c>
      <c r="C127" s="10" t="s">
        <v>66</v>
      </c>
      <c r="D127" s="14">
        <v>1.9890703E7</v>
      </c>
      <c r="E127" s="10" t="s">
        <v>3302</v>
      </c>
      <c r="F127" s="10" t="s">
        <v>743</v>
      </c>
      <c r="G127" s="13" t="s">
        <v>3303</v>
      </c>
      <c r="H127" s="15" t="s">
        <v>3304</v>
      </c>
      <c r="I127" s="10" t="s">
        <v>106</v>
      </c>
      <c r="J127" s="10" t="s">
        <v>3305</v>
      </c>
      <c r="K127" s="10" t="s">
        <v>2360</v>
      </c>
      <c r="L127" s="10">
        <v>2.605505725E9</v>
      </c>
      <c r="M127" s="10"/>
      <c r="N127" s="10" t="s">
        <v>3306</v>
      </c>
      <c r="O127" s="10"/>
      <c r="P127" s="10"/>
      <c r="Q127" s="10"/>
      <c r="R127" s="10"/>
      <c r="S127" s="10" t="s">
        <v>3258</v>
      </c>
      <c r="T127" s="10"/>
      <c r="U127" s="10" t="s">
        <v>322</v>
      </c>
      <c r="V127" s="10"/>
      <c r="W127" s="10" t="s">
        <v>56</v>
      </c>
      <c r="X127" s="18">
        <f>COUNTIF('간병인배정'!$B:$B,$A127)</f>
        <v>1</v>
      </c>
      <c r="Y127" s="18">
        <f>SUMIF('간병비지급'!$B:$B,$A127,'간병비지급'!$I:$I)</f>
        <v>140000</v>
      </c>
      <c r="Z127" s="18">
        <f>COUNTIF('보험청구'!$B:$B,$A127)</f>
        <v>1</v>
      </c>
      <c r="AA127" s="18">
        <f>COUNTIFS('보험청구'!$B:$B,$A127,'보험청구'!$J:$J,"미확인")</f>
        <v>0</v>
      </c>
      <c r="AB127" s="18">
        <f>SUMIF('보험청구'!$B:$B,$A127,'보험청구'!$I:$I)</f>
        <v>140000</v>
      </c>
      <c r="AC127" s="18">
        <f>SUMIF('보험청구'!$B:$B,$A127,'보험청구'!$L:$L)</f>
        <v>0</v>
      </c>
      <c r="AD127" s="30">
        <v>46178.0</v>
      </c>
      <c r="AE127" s="30">
        <v>46178.0</v>
      </c>
      <c r="AF127" s="10">
        <f t="shared" si="4"/>
        <v>105</v>
      </c>
      <c r="AG127" s="10" t="str">
        <f t="shared" si="2"/>
        <v>정상</v>
      </c>
      <c r="AH127" s="25"/>
      <c r="AI127" s="10"/>
      <c r="AJ127" s="10"/>
    </row>
    <row r="128" ht="15.75" customHeight="1">
      <c r="A128" s="10" t="s">
        <v>1629</v>
      </c>
      <c r="B128" s="13" t="s">
        <v>3301</v>
      </c>
      <c r="C128" s="10" t="s">
        <v>66</v>
      </c>
      <c r="D128" s="14">
        <v>1.9890703E7</v>
      </c>
      <c r="E128" s="10" t="s">
        <v>3302</v>
      </c>
      <c r="F128" s="10" t="s">
        <v>743</v>
      </c>
      <c r="G128" s="13" t="s">
        <v>3303</v>
      </c>
      <c r="H128" s="15" t="s">
        <v>3318</v>
      </c>
      <c r="I128" s="10" t="s">
        <v>106</v>
      </c>
      <c r="J128" s="10" t="s">
        <v>3305</v>
      </c>
      <c r="K128" s="10" t="s">
        <v>2360</v>
      </c>
      <c r="L128" s="10">
        <v>2.605505725E9</v>
      </c>
      <c r="M128" s="10"/>
      <c r="N128" s="10" t="s">
        <v>3319</v>
      </c>
      <c r="O128" s="10"/>
      <c r="P128" s="10"/>
      <c r="Q128" s="10"/>
      <c r="R128" s="10"/>
      <c r="S128" s="10" t="s">
        <v>3258</v>
      </c>
      <c r="T128" s="10"/>
      <c r="U128" s="10" t="s">
        <v>322</v>
      </c>
      <c r="V128" s="10"/>
      <c r="W128" s="10" t="s">
        <v>56</v>
      </c>
      <c r="X128" s="18">
        <f>COUNTIF('간병인배정'!$B:$B,$A128)</f>
        <v>1</v>
      </c>
      <c r="Y128" s="18">
        <f>SUMIF('간병비지급'!$B:$B,$A128,'간병비지급'!$I:$I)</f>
        <v>390000</v>
      </c>
      <c r="Z128" s="18">
        <f>COUNTIF('보험청구'!$B:$B,$A128)</f>
        <v>1</v>
      </c>
      <c r="AA128" s="18">
        <f>COUNTIFS('보험청구'!$B:$B,$A128,'보험청구'!$J:$J,"미확인")</f>
        <v>0</v>
      </c>
      <c r="AB128" s="18">
        <f>SUMIF('보험청구'!$B:$B,$A128,'보험청구'!$I:$I)</f>
        <v>560000</v>
      </c>
      <c r="AC128" s="18">
        <f>SUMIF('보험청구'!$B:$B,$A128,'보험청구'!$L:$L)</f>
        <v>0</v>
      </c>
      <c r="AD128" s="30">
        <v>46180.0</v>
      </c>
      <c r="AE128" s="30">
        <v>46183.0</v>
      </c>
      <c r="AF128" s="10">
        <f t="shared" si="4"/>
        <v>100</v>
      </c>
      <c r="AG128" s="10" t="str">
        <f t="shared" si="2"/>
        <v>정상</v>
      </c>
      <c r="AH128" s="25"/>
      <c r="AI128" s="10"/>
      <c r="AJ128" s="10"/>
    </row>
    <row r="129" ht="15.75" customHeight="1">
      <c r="A129" s="10" t="s">
        <v>1639</v>
      </c>
      <c r="B129" s="13" t="s">
        <v>3301</v>
      </c>
      <c r="C129" s="10" t="s">
        <v>66</v>
      </c>
      <c r="D129" s="14">
        <v>1.9890703E7</v>
      </c>
      <c r="E129" s="10" t="s">
        <v>3302</v>
      </c>
      <c r="F129" s="10" t="s">
        <v>743</v>
      </c>
      <c r="G129" s="13" t="s">
        <v>3303</v>
      </c>
      <c r="H129" s="15" t="s">
        <v>3304</v>
      </c>
      <c r="I129" s="10" t="s">
        <v>106</v>
      </c>
      <c r="J129" s="10" t="s">
        <v>3305</v>
      </c>
      <c r="K129" s="10" t="s">
        <v>2360</v>
      </c>
      <c r="L129" s="10">
        <v>2.605505725E9</v>
      </c>
      <c r="M129" s="10"/>
      <c r="N129" s="10" t="s">
        <v>3319</v>
      </c>
      <c r="O129" s="10"/>
      <c r="P129" s="10"/>
      <c r="Q129" s="10"/>
      <c r="R129" s="10"/>
      <c r="S129" s="10" t="s">
        <v>3258</v>
      </c>
      <c r="T129" s="10"/>
      <c r="U129" s="10"/>
      <c r="V129" s="10"/>
      <c r="W129" s="10" t="s">
        <v>56</v>
      </c>
      <c r="X129" s="18">
        <f>COUNTIF('간병인배정'!$B:$B,$A129)</f>
        <v>1</v>
      </c>
      <c r="Y129" s="18">
        <f>SUMIF('간병비지급'!$B:$B,$A129,'간병비지급'!$I:$I)</f>
        <v>945000</v>
      </c>
      <c r="Z129" s="18">
        <f>COUNTIF('보험청구'!$B:$B,$A129)</f>
        <v>1</v>
      </c>
      <c r="AA129" s="18">
        <f>COUNTIFS('보험청구'!$B:$B,$A129,'보험청구'!$J:$J,"미확인")</f>
        <v>0</v>
      </c>
      <c r="AB129" s="18">
        <f>SUMIF('보험청구'!$B:$B,$A129,'보험청구'!$I:$I)</f>
        <v>980000</v>
      </c>
      <c r="AC129" s="18">
        <f>SUMIF('보험청구'!$B:$B,$A129,'보험청구'!$L:$L)</f>
        <v>0</v>
      </c>
      <c r="AD129" s="30">
        <v>46192.0</v>
      </c>
      <c r="AE129" s="30">
        <v>46199.0</v>
      </c>
      <c r="AF129" s="10">
        <f t="shared" si="4"/>
        <v>84</v>
      </c>
      <c r="AG129" s="10" t="str">
        <f t="shared" si="2"/>
        <v>정상</v>
      </c>
      <c r="AH129" s="25" t="s">
        <v>3327</v>
      </c>
      <c r="AI129" s="10"/>
      <c r="AJ129" s="10"/>
    </row>
    <row r="130" ht="15.75" customHeight="1">
      <c r="A130" s="10" t="s">
        <v>1649</v>
      </c>
      <c r="B130" s="13" t="s">
        <v>3301</v>
      </c>
      <c r="C130" s="10" t="s">
        <v>66</v>
      </c>
      <c r="D130" s="14">
        <v>1.9890703E7</v>
      </c>
      <c r="E130" s="10" t="s">
        <v>3302</v>
      </c>
      <c r="F130" s="10" t="s">
        <v>743</v>
      </c>
      <c r="G130" s="13" t="s">
        <v>3303</v>
      </c>
      <c r="H130" s="15" t="s">
        <v>3304</v>
      </c>
      <c r="I130" s="10" t="s">
        <v>106</v>
      </c>
      <c r="J130" s="10" t="s">
        <v>3305</v>
      </c>
      <c r="K130" s="10" t="s">
        <v>2360</v>
      </c>
      <c r="L130" s="10">
        <v>2.605505725E9</v>
      </c>
      <c r="M130" s="10"/>
      <c r="N130" s="10" t="s">
        <v>3319</v>
      </c>
      <c r="O130" s="10"/>
      <c r="P130" s="10"/>
      <c r="Q130" s="10"/>
      <c r="R130" s="10"/>
      <c r="S130" s="10"/>
      <c r="T130" s="10"/>
      <c r="U130" s="10"/>
      <c r="V130" s="10"/>
      <c r="W130" s="10" t="s">
        <v>56</v>
      </c>
      <c r="X130" s="18">
        <f>COUNTIF('간병인배정'!$B:$B,$A130)</f>
        <v>1</v>
      </c>
      <c r="Y130" s="18">
        <f>SUMIF('간병비지급'!$B:$B,$A130,'간병비지급'!$I:$I)</f>
        <v>135000</v>
      </c>
      <c r="Z130" s="18">
        <f>COUNTIF('보험청구'!$B:$B,$A130)</f>
        <v>1</v>
      </c>
      <c r="AA130" s="18">
        <f>COUNTIFS('보험청구'!$B:$B,$A130,'보험청구'!$J:$J,"미확인")</f>
        <v>0</v>
      </c>
      <c r="AB130" s="18">
        <f>SUMIF('보험청구'!$B:$B,$A130,'보험청구'!$I:$I)</f>
        <v>140000</v>
      </c>
      <c r="AC130" s="18">
        <f>SUMIF('보험청구'!$B:$B,$A130,'보험청구'!$L:$L)</f>
        <v>0</v>
      </c>
      <c r="AD130" s="30">
        <v>46199.0</v>
      </c>
      <c r="AE130" s="30">
        <v>46201.0</v>
      </c>
      <c r="AF130" s="10">
        <f t="shared" si="4"/>
        <v>82</v>
      </c>
      <c r="AG130" s="10" t="str">
        <f t="shared" si="2"/>
        <v>정상</v>
      </c>
      <c r="AH130" s="25"/>
      <c r="AI130" s="10"/>
      <c r="AJ130" s="10"/>
    </row>
    <row r="131" ht="15.75" customHeight="1">
      <c r="A131" s="10" t="s">
        <v>1658</v>
      </c>
      <c r="B131" s="13" t="s">
        <v>3222</v>
      </c>
      <c r="C131" s="10" t="s">
        <v>66</v>
      </c>
      <c r="D131" s="14">
        <v>1.9530723E7</v>
      </c>
      <c r="E131" s="10" t="s">
        <v>3333</v>
      </c>
      <c r="F131" s="10" t="s">
        <v>391</v>
      </c>
      <c r="G131" s="13" t="s">
        <v>3281</v>
      </c>
      <c r="H131" s="15" t="s">
        <v>3334</v>
      </c>
      <c r="I131" s="10" t="s">
        <v>106</v>
      </c>
      <c r="J131" s="10" t="s">
        <v>3335</v>
      </c>
      <c r="K131" s="10" t="s">
        <v>3336</v>
      </c>
      <c r="L131" s="10">
        <v>2.605519345E9</v>
      </c>
      <c r="M131" s="10" t="s">
        <v>3337</v>
      </c>
      <c r="N131" s="10" t="s">
        <v>3338</v>
      </c>
      <c r="O131" s="10" t="s">
        <v>3339</v>
      </c>
      <c r="P131" s="10"/>
      <c r="Q131" s="10"/>
      <c r="R131" s="10"/>
      <c r="S131" s="10" t="s">
        <v>1580</v>
      </c>
      <c r="T131" s="10" t="s">
        <v>3340</v>
      </c>
      <c r="U131" s="10" t="s">
        <v>322</v>
      </c>
      <c r="V131" s="10" t="s">
        <v>583</v>
      </c>
      <c r="W131" s="10" t="s">
        <v>56</v>
      </c>
      <c r="X131" s="18">
        <f>COUNTIF('간병인배정'!$B:$B,$A131)</f>
        <v>1</v>
      </c>
      <c r="Y131" s="18">
        <f>SUMIF('간병비지급'!$B:$B,$A131,'간병비지급'!$I:$I)</f>
        <v>312000</v>
      </c>
      <c r="Z131" s="18">
        <f>COUNTIF('보험청구'!$B:$B,$A131)</f>
        <v>1</v>
      </c>
      <c r="AA131" s="18">
        <f>COUNTIFS('보험청구'!$B:$B,$A131,'보험청구'!$J:$J,"미확인")</f>
        <v>0</v>
      </c>
      <c r="AB131" s="18">
        <f>SUMIF('보험청구'!$B:$B,$A131,'보험청구'!$I:$I)</f>
        <v>288000</v>
      </c>
      <c r="AC131" s="18">
        <f>SUMIF('보험청구'!$B:$B,$A131,'보험청구'!$L:$L)</f>
        <v>0</v>
      </c>
      <c r="AD131" s="30">
        <v>46156.0</v>
      </c>
      <c r="AE131" s="30">
        <v>46158.0</v>
      </c>
      <c r="AF131" s="10">
        <f t="shared" si="4"/>
        <v>125</v>
      </c>
      <c r="AG131" s="10" t="str">
        <f t="shared" si="2"/>
        <v>정상</v>
      </c>
      <c r="AH131" s="25"/>
      <c r="AI131" s="10"/>
      <c r="AJ131" s="10"/>
    </row>
    <row r="132" ht="15.75" customHeight="1">
      <c r="A132" s="10" t="s">
        <v>1670</v>
      </c>
      <c r="B132" s="13" t="s">
        <v>3222</v>
      </c>
      <c r="C132" s="10" t="s">
        <v>66</v>
      </c>
      <c r="D132" s="14">
        <v>1.9530723E7</v>
      </c>
      <c r="E132" s="10" t="s">
        <v>3333</v>
      </c>
      <c r="F132" s="10" t="s">
        <v>391</v>
      </c>
      <c r="G132" s="13" t="s">
        <v>3281</v>
      </c>
      <c r="H132" s="15" t="s">
        <v>3334</v>
      </c>
      <c r="I132" s="10" t="s">
        <v>106</v>
      </c>
      <c r="J132" s="10" t="s">
        <v>3335</v>
      </c>
      <c r="K132" s="10" t="s">
        <v>3336</v>
      </c>
      <c r="L132" s="10">
        <v>2.605519345E9</v>
      </c>
      <c r="M132" s="10" t="s">
        <v>3337</v>
      </c>
      <c r="N132" s="10" t="s">
        <v>3338</v>
      </c>
      <c r="O132" s="10" t="s">
        <v>3339</v>
      </c>
      <c r="P132" s="10"/>
      <c r="Q132" s="10"/>
      <c r="R132" s="10"/>
      <c r="S132" s="10"/>
      <c r="T132" s="10"/>
      <c r="U132" s="10" t="s">
        <v>322</v>
      </c>
      <c r="V132" s="10" t="s">
        <v>583</v>
      </c>
      <c r="W132" s="10" t="s">
        <v>56</v>
      </c>
      <c r="X132" s="18">
        <f>COUNTIF('간병인배정'!$B:$B,$A132)</f>
        <v>1</v>
      </c>
      <c r="Y132" s="18">
        <f>SUMIF('간병비지급'!$B:$B,$A132,'간병비지급'!$I:$I)</f>
        <v>1820000</v>
      </c>
      <c r="Z132" s="18">
        <f>COUNTIF('보험청구'!$B:$B,$A132)</f>
        <v>2</v>
      </c>
      <c r="AA132" s="18">
        <f>COUNTIFS('보험청구'!$B:$B,$A132,'보험청구'!$J:$J,"미확인")</f>
        <v>0</v>
      </c>
      <c r="AB132" s="18">
        <f>SUMIF('보험청구'!$B:$B,$A132,'보험청구'!$I:$I)</f>
        <v>1872000</v>
      </c>
      <c r="AC132" s="18">
        <f>SUMIF('보험청구'!$B:$B,$A132,'보험청구'!$L:$L)</f>
        <v>0</v>
      </c>
      <c r="AD132" s="30">
        <v>46179.0</v>
      </c>
      <c r="AE132" s="30">
        <v>46192.0</v>
      </c>
      <c r="AF132" s="10">
        <f t="shared" si="4"/>
        <v>91</v>
      </c>
      <c r="AG132" s="10" t="str">
        <f t="shared" si="2"/>
        <v>정상</v>
      </c>
      <c r="AH132" s="25"/>
      <c r="AI132" s="10"/>
      <c r="AJ132" s="10"/>
    </row>
    <row r="133" ht="15.75" customHeight="1">
      <c r="A133" s="10" t="s">
        <v>1678</v>
      </c>
      <c r="B133" s="13" t="s">
        <v>3222</v>
      </c>
      <c r="C133" s="10" t="s">
        <v>66</v>
      </c>
      <c r="D133" s="14">
        <v>1.9530723E7</v>
      </c>
      <c r="E133" s="10" t="s">
        <v>3333</v>
      </c>
      <c r="F133" s="10" t="s">
        <v>391</v>
      </c>
      <c r="G133" s="13" t="s">
        <v>3281</v>
      </c>
      <c r="H133" s="15" t="s">
        <v>3334</v>
      </c>
      <c r="I133" s="10" t="s">
        <v>106</v>
      </c>
      <c r="J133" s="10" t="s">
        <v>3335</v>
      </c>
      <c r="K133" s="10" t="s">
        <v>3336</v>
      </c>
      <c r="L133" s="10">
        <v>2.605519345E9</v>
      </c>
      <c r="M133" s="10" t="s">
        <v>3337</v>
      </c>
      <c r="N133" s="10" t="s">
        <v>3338</v>
      </c>
      <c r="O133" s="10" t="s">
        <v>3339</v>
      </c>
      <c r="P133" s="10"/>
      <c r="Q133" s="10"/>
      <c r="R133" s="10"/>
      <c r="S133" s="10"/>
      <c r="T133" s="10"/>
      <c r="U133" s="10" t="s">
        <v>322</v>
      </c>
      <c r="V133" s="10" t="s">
        <v>583</v>
      </c>
      <c r="W133" s="10" t="s">
        <v>56</v>
      </c>
      <c r="X133" s="18">
        <f>COUNTIF('간병인배정'!$B:$B,$A133)</f>
        <v>1</v>
      </c>
      <c r="Y133" s="18">
        <f>SUMIF('간병비지급'!$B:$B,$A133,'간병비지급'!$I:$I)</f>
        <v>1260000</v>
      </c>
      <c r="Z133" s="18">
        <f>COUNTIF('보험청구'!$B:$B,$A133)</f>
        <v>1</v>
      </c>
      <c r="AA133" s="18">
        <f>COUNTIFS('보험청구'!$B:$B,$A133,'보험청구'!$J:$J,"미확인")</f>
        <v>0</v>
      </c>
      <c r="AB133" s="18">
        <f>SUMIF('보험청구'!$B:$B,$A133,'보험청구'!$I:$I)</f>
        <v>1296000</v>
      </c>
      <c r="AC133" s="18">
        <f>SUMIF('보험청구'!$B:$B,$A133,'보험청구'!$L:$L)</f>
        <v>0</v>
      </c>
      <c r="AD133" s="30">
        <v>46198.0</v>
      </c>
      <c r="AE133" s="30">
        <v>46207.0</v>
      </c>
      <c r="AF133" s="10">
        <f t="shared" si="4"/>
        <v>76</v>
      </c>
      <c r="AG133" s="10" t="str">
        <f t="shared" si="2"/>
        <v>정상</v>
      </c>
      <c r="AH133" s="25"/>
      <c r="AI133" s="10"/>
      <c r="AJ133" s="10"/>
    </row>
    <row r="134" ht="15.75" customHeight="1">
      <c r="A134" s="10" t="s">
        <v>1684</v>
      </c>
      <c r="B134" s="13" t="s">
        <v>3222</v>
      </c>
      <c r="C134" s="10" t="s">
        <v>66</v>
      </c>
      <c r="D134" s="14">
        <v>1.9530723E7</v>
      </c>
      <c r="E134" s="10" t="s">
        <v>3333</v>
      </c>
      <c r="F134" s="10" t="s">
        <v>391</v>
      </c>
      <c r="G134" s="13" t="s">
        <v>3281</v>
      </c>
      <c r="H134" s="15" t="s">
        <v>3334</v>
      </c>
      <c r="I134" s="10" t="s">
        <v>106</v>
      </c>
      <c r="J134" s="10" t="s">
        <v>3335</v>
      </c>
      <c r="K134" s="10" t="s">
        <v>3336</v>
      </c>
      <c r="L134" s="10">
        <v>2.605519345E9</v>
      </c>
      <c r="M134" s="10" t="s">
        <v>3337</v>
      </c>
      <c r="N134" s="10" t="s">
        <v>3338</v>
      </c>
      <c r="O134" s="10" t="s">
        <v>3339</v>
      </c>
      <c r="P134" s="10"/>
      <c r="Q134" s="10"/>
      <c r="R134" s="10"/>
      <c r="S134" s="10"/>
      <c r="T134" s="10"/>
      <c r="U134" s="10" t="s">
        <v>322</v>
      </c>
      <c r="V134" s="10" t="s">
        <v>583</v>
      </c>
      <c r="W134" s="10" t="s">
        <v>56</v>
      </c>
      <c r="X134" s="18">
        <f>COUNTIF('간병인배정'!$B:$B,$A134)</f>
        <v>1</v>
      </c>
      <c r="Y134" s="18">
        <f>SUMIF('간병비지급'!$B:$B,$A134,'간병비지급'!$I:$I)</f>
        <v>980000</v>
      </c>
      <c r="Z134" s="18">
        <f>COUNTIF('보험청구'!$B:$B,$A134)</f>
        <v>1</v>
      </c>
      <c r="AA134" s="18">
        <f>COUNTIFS('보험청구'!$B:$B,$A134,'보험청구'!$J:$J,"미확인")</f>
        <v>0</v>
      </c>
      <c r="AB134" s="18">
        <f>SUMIF('보험청구'!$B:$B,$A134,'보험청구'!$I:$I)</f>
        <v>1008000</v>
      </c>
      <c r="AC134" s="18">
        <f>SUMIF('보험청구'!$B:$B,$A134,'보험청구'!$L:$L)</f>
        <v>0</v>
      </c>
      <c r="AD134" s="30">
        <v>46207.0</v>
      </c>
      <c r="AE134" s="30">
        <v>46214.0</v>
      </c>
      <c r="AF134" s="10">
        <f t="shared" si="4"/>
        <v>69</v>
      </c>
      <c r="AG134" s="10" t="str">
        <f t="shared" si="2"/>
        <v>정상</v>
      </c>
      <c r="AH134" s="25"/>
      <c r="AI134" s="10"/>
      <c r="AJ134" s="10"/>
    </row>
    <row r="135" ht="15.75" customHeight="1">
      <c r="A135" s="10" t="s">
        <v>1692</v>
      </c>
      <c r="B135" s="13" t="s">
        <v>3222</v>
      </c>
      <c r="C135" s="10" t="s">
        <v>66</v>
      </c>
      <c r="D135" s="14">
        <v>1.9530723E7</v>
      </c>
      <c r="E135" s="10" t="s">
        <v>3333</v>
      </c>
      <c r="F135" s="10" t="s">
        <v>391</v>
      </c>
      <c r="G135" s="13" t="s">
        <v>3281</v>
      </c>
      <c r="H135" s="15" t="s">
        <v>3334</v>
      </c>
      <c r="I135" s="10" t="s">
        <v>106</v>
      </c>
      <c r="J135" s="10" t="s">
        <v>3335</v>
      </c>
      <c r="K135" s="10" t="s">
        <v>3336</v>
      </c>
      <c r="L135" s="10">
        <v>2.605519345E9</v>
      </c>
      <c r="M135" s="20" t="s">
        <v>3361</v>
      </c>
      <c r="N135" s="20" t="s">
        <v>3362</v>
      </c>
      <c r="O135" s="10" t="s">
        <v>3339</v>
      </c>
      <c r="P135" s="10"/>
      <c r="Q135" s="10"/>
      <c r="R135" s="10"/>
      <c r="S135" s="10"/>
      <c r="T135" s="10"/>
      <c r="U135" s="10" t="s">
        <v>322</v>
      </c>
      <c r="V135" s="10" t="s">
        <v>583</v>
      </c>
      <c r="W135" s="10" t="s">
        <v>56</v>
      </c>
      <c r="X135" s="18">
        <f>COUNTIF('간병인배정'!$B:$B,$A135)</f>
        <v>1</v>
      </c>
      <c r="Y135" s="18">
        <f>SUMIF('간병비지급'!$B:$B,$A135,'간병비지급'!$I:$I)</f>
        <v>3500000</v>
      </c>
      <c r="Z135" s="18">
        <f>COUNTIF('보험청구'!$B:$B,$A135)</f>
        <v>3</v>
      </c>
      <c r="AA135" s="18">
        <f>COUNTIFS('보험청구'!$B:$B,$A135,'보험청구'!$J:$J,"미확인")</f>
        <v>0</v>
      </c>
      <c r="AB135" s="18">
        <f>SUMIF('보험청구'!$B:$B,$A135,'보험청구'!$I:$I)</f>
        <v>2880000</v>
      </c>
      <c r="AC135" s="18">
        <f>SUMIF('보험청구'!$B:$B,$A135,'보험청구'!$L:$L)</f>
        <v>720000</v>
      </c>
      <c r="AD135" s="30">
        <v>46214.0</v>
      </c>
      <c r="AE135" s="30">
        <v>46234.0</v>
      </c>
      <c r="AF135" s="10">
        <f t="shared" si="4"/>
        <v>49</v>
      </c>
      <c r="AG135" s="10" t="str">
        <f t="shared" si="2"/>
        <v>정상</v>
      </c>
      <c r="AH135" s="25"/>
      <c r="AI135" s="10"/>
      <c r="AJ135" s="10"/>
    </row>
    <row r="136" ht="15.75" customHeight="1">
      <c r="A136" s="10" t="s">
        <v>3095</v>
      </c>
      <c r="B136" s="13" t="s">
        <v>3365</v>
      </c>
      <c r="C136" s="10" t="s">
        <v>212</v>
      </c>
      <c r="D136" s="14">
        <v>1.9730516E7</v>
      </c>
      <c r="E136" s="10" t="s">
        <v>3366</v>
      </c>
      <c r="F136" s="10" t="s">
        <v>743</v>
      </c>
      <c r="G136" s="13" t="s">
        <v>744</v>
      </c>
      <c r="H136" s="15" t="s">
        <v>3367</v>
      </c>
      <c r="I136" s="10" t="s">
        <v>73</v>
      </c>
      <c r="J136" s="10" t="s">
        <v>3368</v>
      </c>
      <c r="K136" s="10" t="s">
        <v>316</v>
      </c>
      <c r="L136" s="10">
        <v>2.605633985E9</v>
      </c>
      <c r="M136" s="10" t="s">
        <v>3369</v>
      </c>
      <c r="N136" s="10" t="s">
        <v>3370</v>
      </c>
      <c r="O136" s="10"/>
      <c r="P136" s="10"/>
      <c r="Q136" s="10"/>
      <c r="R136" s="10"/>
      <c r="S136" s="10" t="s">
        <v>2889</v>
      </c>
      <c r="T136" s="10" t="s">
        <v>3372</v>
      </c>
      <c r="U136" s="10" t="s">
        <v>80</v>
      </c>
      <c r="V136" s="10" t="s">
        <v>2414</v>
      </c>
      <c r="W136" s="10" t="s">
        <v>56</v>
      </c>
      <c r="X136" s="18">
        <f>COUNTIF('간병인배정'!$B:$B,$A136)</f>
        <v>0</v>
      </c>
      <c r="Y136" s="18">
        <f>SUMIF('간병비지급'!$B:$B,$A136,'간병비지급'!$I:$I)</f>
        <v>0</v>
      </c>
      <c r="Z136" s="18">
        <f>COUNTIF('보험청구'!$B:$B,$A136)</f>
        <v>1</v>
      </c>
      <c r="AA136" s="18">
        <f>COUNTIFS('보험청구'!$B:$B,$A136,'보험청구'!$J:$J,"미확인")</f>
        <v>0</v>
      </c>
      <c r="AB136" s="18">
        <f>SUMIF('보험청구'!$B:$B,$A136,'보험청구'!$I:$I)</f>
        <v>516000</v>
      </c>
      <c r="AC136" s="18">
        <f>SUMIF('보험청구'!$B:$B,$A136,'보험청구'!$L:$L)</f>
        <v>0</v>
      </c>
      <c r="AD136" s="30">
        <v>46163.0</v>
      </c>
      <c r="AE136" s="30">
        <v>46170.0</v>
      </c>
      <c r="AF136" s="10">
        <f t="shared" si="4"/>
        <v>113</v>
      </c>
      <c r="AG136" s="10" t="str">
        <f t="shared" si="2"/>
        <v>정상</v>
      </c>
      <c r="AH136" s="25"/>
      <c r="AI136" s="10"/>
      <c r="AJ136" s="10"/>
    </row>
    <row r="137" ht="15.75" customHeight="1">
      <c r="A137" s="10" t="s">
        <v>1696</v>
      </c>
      <c r="B137" s="13" t="s">
        <v>3378</v>
      </c>
      <c r="C137" s="10" t="s">
        <v>66</v>
      </c>
      <c r="D137" s="14">
        <v>1.9541024E7</v>
      </c>
      <c r="E137" s="10" t="s">
        <v>3380</v>
      </c>
      <c r="F137" s="10" t="s">
        <v>126</v>
      </c>
      <c r="G137" s="13" t="s">
        <v>3381</v>
      </c>
      <c r="H137" s="15" t="s">
        <v>3382</v>
      </c>
      <c r="I137" s="10" t="s">
        <v>106</v>
      </c>
      <c r="J137" s="10" t="s">
        <v>3383</v>
      </c>
      <c r="K137" s="10" t="s">
        <v>3384</v>
      </c>
      <c r="L137" s="10">
        <v>2.605851531E9</v>
      </c>
      <c r="M137" s="10" t="s">
        <v>3386</v>
      </c>
      <c r="N137" s="10" t="s">
        <v>3388</v>
      </c>
      <c r="O137" s="10"/>
      <c r="P137" s="10"/>
      <c r="Q137" s="10"/>
      <c r="R137" s="10"/>
      <c r="S137" s="10" t="s">
        <v>1581</v>
      </c>
      <c r="T137" s="10" t="s">
        <v>1581</v>
      </c>
      <c r="U137" s="10" t="s">
        <v>322</v>
      </c>
      <c r="V137" s="10" t="s">
        <v>3058</v>
      </c>
      <c r="W137" s="10" t="s">
        <v>56</v>
      </c>
      <c r="X137" s="18">
        <f>COUNTIF('간병인배정'!$B:$B,$A137)</f>
        <v>1</v>
      </c>
      <c r="Y137" s="18">
        <f>SUMIF('간병비지급'!$B:$B,$A137,'간병비지급'!$I:$I)</f>
        <v>6346000</v>
      </c>
      <c r="Z137" s="18">
        <f>COUNTIF('보험청구'!$B:$B,$A137)</f>
        <v>5</v>
      </c>
      <c r="AA137" s="18">
        <f>COUNTIFS('보험청구'!$B:$B,$A137,'보험청구'!$J:$J,"미확인")</f>
        <v>0</v>
      </c>
      <c r="AB137" s="18">
        <f>SUMIF('보험청구'!$B:$B,$A137,'보험청구'!$I:$I)</f>
        <v>5828000</v>
      </c>
      <c r="AC137" s="18">
        <f>SUMIF('보험청구'!$B:$B,$A137,'보험청구'!$L:$L)</f>
        <v>0</v>
      </c>
      <c r="AD137" s="30">
        <v>46164.0</v>
      </c>
      <c r="AE137" s="30">
        <v>46211.0</v>
      </c>
      <c r="AF137" s="10">
        <f t="shared" si="4"/>
        <v>72</v>
      </c>
      <c r="AG137" s="10" t="str">
        <f t="shared" si="2"/>
        <v>정상</v>
      </c>
      <c r="AH137" s="25"/>
      <c r="AI137" s="10"/>
      <c r="AJ137" s="10"/>
    </row>
    <row r="138" ht="15.75" customHeight="1">
      <c r="A138" s="10" t="s">
        <v>1707</v>
      </c>
      <c r="B138" s="13" t="s">
        <v>3393</v>
      </c>
      <c r="C138" s="10" t="s">
        <v>212</v>
      </c>
      <c r="D138" s="14">
        <v>1.9701025E7</v>
      </c>
      <c r="E138" s="10" t="s">
        <v>3394</v>
      </c>
      <c r="F138" s="10" t="s">
        <v>391</v>
      </c>
      <c r="G138" s="13" t="s">
        <v>411</v>
      </c>
      <c r="H138" s="15" t="s">
        <v>3395</v>
      </c>
      <c r="I138" s="10" t="s">
        <v>73</v>
      </c>
      <c r="J138" s="10" t="s">
        <v>3396</v>
      </c>
      <c r="K138" s="10" t="s">
        <v>343</v>
      </c>
      <c r="L138" s="10">
        <v>2.605851052E9</v>
      </c>
      <c r="M138" s="10"/>
      <c r="N138" s="10" t="s">
        <v>2788</v>
      </c>
      <c r="O138" s="10"/>
      <c r="P138" s="10"/>
      <c r="Q138" s="10"/>
      <c r="R138" s="10"/>
      <c r="S138" s="10" t="s">
        <v>1602</v>
      </c>
      <c r="T138" s="10" t="s">
        <v>1602</v>
      </c>
      <c r="U138" s="10" t="s">
        <v>322</v>
      </c>
      <c r="V138" s="10" t="s">
        <v>3398</v>
      </c>
      <c r="W138" s="10" t="s">
        <v>56</v>
      </c>
      <c r="X138" s="18">
        <f>COUNTIF('간병인배정'!$B:$B,$A138)</f>
        <v>1</v>
      </c>
      <c r="Y138" s="18">
        <f>SUMIF('간병비지급'!$B:$B,$A138,'간병비지급'!$I:$I)</f>
        <v>560000</v>
      </c>
      <c r="Z138" s="18">
        <f>COUNTIF('보험청구'!$B:$B,$A138)</f>
        <v>1</v>
      </c>
      <c r="AA138" s="18">
        <f>COUNTIFS('보험청구'!$B:$B,$A138,'보험청구'!$J:$J,"미확인")</f>
        <v>0</v>
      </c>
      <c r="AB138" s="18">
        <f>SUMIF('보험청구'!$B:$B,$A138,'보험청구'!$I:$I)</f>
        <v>620000</v>
      </c>
      <c r="AC138" s="18">
        <f>SUMIF('보험청구'!$B:$B,$A138,'보험청구'!$L:$L)</f>
        <v>0</v>
      </c>
      <c r="AD138" s="30">
        <v>46164.0</v>
      </c>
      <c r="AE138" s="30">
        <v>46168.0</v>
      </c>
      <c r="AF138" s="10">
        <f t="shared" si="4"/>
        <v>115</v>
      </c>
      <c r="AG138" s="10" t="str">
        <f t="shared" si="2"/>
        <v>정상</v>
      </c>
      <c r="AH138" s="25" t="s">
        <v>3406</v>
      </c>
      <c r="AI138" s="10"/>
      <c r="AJ138" s="10"/>
    </row>
    <row r="139" ht="30.0" customHeight="1">
      <c r="A139" s="10" t="s">
        <v>1717</v>
      </c>
      <c r="B139" s="13" t="s">
        <v>3407</v>
      </c>
      <c r="C139" s="10" t="s">
        <v>212</v>
      </c>
      <c r="D139" s="14">
        <v>1.9571219E7</v>
      </c>
      <c r="E139" s="10" t="s">
        <v>3408</v>
      </c>
      <c r="F139" s="10" t="s">
        <v>574</v>
      </c>
      <c r="G139" s="13" t="s">
        <v>927</v>
      </c>
      <c r="H139" s="15" t="s">
        <v>2866</v>
      </c>
      <c r="I139" s="10" t="s">
        <v>106</v>
      </c>
      <c r="J139" s="10" t="s">
        <v>3409</v>
      </c>
      <c r="K139" s="10" t="s">
        <v>3411</v>
      </c>
      <c r="L139" s="10" t="s">
        <v>3412</v>
      </c>
      <c r="M139" s="10" t="s">
        <v>3413</v>
      </c>
      <c r="N139" s="10" t="s">
        <v>3414</v>
      </c>
      <c r="O139" s="10"/>
      <c r="P139" s="10"/>
      <c r="Q139" s="10"/>
      <c r="R139" s="10"/>
      <c r="S139" s="10" t="s">
        <v>3415</v>
      </c>
      <c r="T139" s="10" t="s">
        <v>3415</v>
      </c>
      <c r="U139" s="10" t="s">
        <v>322</v>
      </c>
      <c r="V139" s="10" t="s">
        <v>3416</v>
      </c>
      <c r="W139" s="10" t="s">
        <v>56</v>
      </c>
      <c r="X139" s="18">
        <f>COUNTIF('간병인배정'!$B:$B,$A139)</f>
        <v>1</v>
      </c>
      <c r="Y139" s="18">
        <f>SUMIF('간병비지급'!$B:$B,$A139,'간병비지급'!$I:$I)</f>
        <v>2240000</v>
      </c>
      <c r="Z139" s="18">
        <f>COUNTIF('보험청구'!$B:$B,$A139)</f>
        <v>1</v>
      </c>
      <c r="AA139" s="18">
        <f>COUNTIFS('보험청구'!$B:$B,$A139,'보험청구'!$J:$J,"미확인")</f>
        <v>0</v>
      </c>
      <c r="AB139" s="18">
        <f>SUMIF('보험청구'!$B:$B,$A139,'보험청구'!$I:$I)</f>
        <v>0</v>
      </c>
      <c r="AC139" s="18">
        <f>SUMIF('보험청구'!$B:$B,$A139,'보험청구'!$L:$L)</f>
        <v>2272000</v>
      </c>
      <c r="AD139" s="30">
        <v>46168.0</v>
      </c>
      <c r="AE139" s="30">
        <v>46183.0</v>
      </c>
      <c r="AF139" s="10">
        <f t="shared" si="4"/>
        <v>100</v>
      </c>
      <c r="AG139" s="10" t="str">
        <f t="shared" si="2"/>
        <v>정상</v>
      </c>
      <c r="AH139" s="25"/>
      <c r="AI139" s="10"/>
      <c r="AJ139" s="10"/>
    </row>
    <row r="140" ht="15.75" customHeight="1">
      <c r="A140" s="10" t="s">
        <v>1725</v>
      </c>
      <c r="B140" s="13" t="s">
        <v>3423</v>
      </c>
      <c r="C140" s="10" t="s">
        <v>66</v>
      </c>
      <c r="D140" s="14">
        <v>1.9770127E7</v>
      </c>
      <c r="E140" s="10" t="s">
        <v>3424</v>
      </c>
      <c r="F140" s="10" t="s">
        <v>1104</v>
      </c>
      <c r="G140" s="13" t="s">
        <v>1589</v>
      </c>
      <c r="H140" s="15" t="s">
        <v>3425</v>
      </c>
      <c r="I140" s="10" t="s">
        <v>106</v>
      </c>
      <c r="J140" s="10" t="s">
        <v>3426</v>
      </c>
      <c r="K140" s="10" t="s">
        <v>3427</v>
      </c>
      <c r="L140" s="10">
        <v>2.605911545E9</v>
      </c>
      <c r="M140" s="10" t="s">
        <v>3428</v>
      </c>
      <c r="N140" s="10" t="s">
        <v>3429</v>
      </c>
      <c r="O140" s="10"/>
      <c r="P140" s="10"/>
      <c r="Q140" s="10"/>
      <c r="R140" s="10"/>
      <c r="S140" s="10" t="s">
        <v>3430</v>
      </c>
      <c r="T140" s="10" t="s">
        <v>939</v>
      </c>
      <c r="U140" s="10" t="s">
        <v>322</v>
      </c>
      <c r="V140" s="20" t="s">
        <v>81</v>
      </c>
      <c r="W140" s="10" t="s">
        <v>56</v>
      </c>
      <c r="X140" s="18">
        <f>COUNTIF('간병인배정'!$B:$B,$A140)</f>
        <v>1</v>
      </c>
      <c r="Y140" s="18">
        <f>SUMIF('간병비지급'!$B:$B,$A140,'간병비지급'!$I:$I)</f>
        <v>270000</v>
      </c>
      <c r="Z140" s="18">
        <f>COUNTIF('보험청구'!$B:$B,$A140)</f>
        <v>1</v>
      </c>
      <c r="AA140" s="18">
        <f>COUNTIFS('보험청구'!$B:$B,$A140,'보험청구'!$J:$J,"미확인")</f>
        <v>0</v>
      </c>
      <c r="AB140" s="18">
        <f>SUMIF('보험청구'!$B:$B,$A140,'보험청구'!$I:$I)</f>
        <v>288000</v>
      </c>
      <c r="AC140" s="18">
        <f>SUMIF('보험청구'!$B:$B,$A140,'보험청구'!$L:$L)</f>
        <v>0</v>
      </c>
      <c r="AD140" s="30">
        <v>46169.0</v>
      </c>
      <c r="AE140" s="30">
        <v>46171.0</v>
      </c>
      <c r="AF140" s="10">
        <f t="shared" si="4"/>
        <v>112</v>
      </c>
      <c r="AG140" s="10" t="str">
        <f t="shared" si="2"/>
        <v>정상</v>
      </c>
      <c r="AH140" s="25"/>
      <c r="AI140" s="10"/>
      <c r="AJ140" s="10"/>
    </row>
    <row r="141" ht="15.75" customHeight="1">
      <c r="A141" s="10" t="s">
        <v>1737</v>
      </c>
      <c r="B141" s="13" t="s">
        <v>3435</v>
      </c>
      <c r="C141" s="10" t="s">
        <v>66</v>
      </c>
      <c r="D141" s="14">
        <v>1.9991023E7</v>
      </c>
      <c r="E141" s="10" t="s">
        <v>3437</v>
      </c>
      <c r="F141" s="10" t="s">
        <v>467</v>
      </c>
      <c r="G141" s="13" t="s">
        <v>468</v>
      </c>
      <c r="H141" s="15" t="s">
        <v>3439</v>
      </c>
      <c r="I141" s="10" t="s">
        <v>73</v>
      </c>
      <c r="J141" s="10" t="s">
        <v>3440</v>
      </c>
      <c r="K141" s="10" t="s">
        <v>1762</v>
      </c>
      <c r="L141" s="10">
        <v>2.605911601E9</v>
      </c>
      <c r="M141" s="10" t="s">
        <v>317</v>
      </c>
      <c r="N141" s="10" t="s">
        <v>318</v>
      </c>
      <c r="O141" s="10"/>
      <c r="P141" s="10"/>
      <c r="Q141" s="10"/>
      <c r="R141" s="10"/>
      <c r="S141" s="10" t="s">
        <v>3430</v>
      </c>
      <c r="T141" s="10" t="s">
        <v>3441</v>
      </c>
      <c r="U141" s="10" t="s">
        <v>80</v>
      </c>
      <c r="V141" s="10" t="s">
        <v>176</v>
      </c>
      <c r="W141" s="10" t="s">
        <v>56</v>
      </c>
      <c r="X141" s="18">
        <f>COUNTIF('간병인배정'!$B:$B,$A141)</f>
        <v>1</v>
      </c>
      <c r="Y141" s="18">
        <f>SUMIF('간병비지급'!$B:$B,$A141,'간병비지급'!$I:$I)</f>
        <v>128000</v>
      </c>
      <c r="Z141" s="18">
        <f>COUNTIF('보험청구'!$B:$B,$A141)</f>
        <v>1</v>
      </c>
      <c r="AA141" s="18">
        <f>COUNTIFS('보험청구'!$B:$B,$A141,'보험청구'!$J:$J,"미확인")</f>
        <v>0</v>
      </c>
      <c r="AB141" s="18">
        <f>SUMIF('보험청구'!$B:$B,$A141,'보험청구'!$I:$I)</f>
        <v>172000</v>
      </c>
      <c r="AC141" s="18">
        <f>SUMIF('보험청구'!$B:$B,$A141,'보험청구'!$L:$L)</f>
        <v>0</v>
      </c>
      <c r="AD141" s="30">
        <v>46179.0</v>
      </c>
      <c r="AE141" s="30">
        <v>46179.0</v>
      </c>
      <c r="AF141" s="10">
        <f t="shared" si="4"/>
        <v>104</v>
      </c>
      <c r="AG141" s="10" t="str">
        <f t="shared" si="2"/>
        <v>정상</v>
      </c>
      <c r="AH141" s="25" t="s">
        <v>3446</v>
      </c>
      <c r="AI141" s="10"/>
      <c r="AJ141" s="10"/>
    </row>
    <row r="142" ht="15.75" customHeight="1">
      <c r="A142" s="10" t="s">
        <v>1747</v>
      </c>
      <c r="B142" s="13" t="s">
        <v>3435</v>
      </c>
      <c r="C142" s="10" t="s">
        <v>66</v>
      </c>
      <c r="D142" s="14">
        <v>1.9991023E7</v>
      </c>
      <c r="E142" s="10" t="s">
        <v>3437</v>
      </c>
      <c r="F142" s="10" t="s">
        <v>467</v>
      </c>
      <c r="G142" s="13" t="s">
        <v>468</v>
      </c>
      <c r="H142" s="15" t="s">
        <v>3439</v>
      </c>
      <c r="I142" s="10" t="s">
        <v>73</v>
      </c>
      <c r="J142" s="10" t="s">
        <v>3440</v>
      </c>
      <c r="K142" s="10" t="s">
        <v>1762</v>
      </c>
      <c r="L142" s="10">
        <v>2.605911601E9</v>
      </c>
      <c r="M142" s="10" t="s">
        <v>317</v>
      </c>
      <c r="N142" s="10" t="s">
        <v>318</v>
      </c>
      <c r="O142" s="10"/>
      <c r="P142" s="10"/>
      <c r="Q142" s="10"/>
      <c r="R142" s="10"/>
      <c r="S142" s="10" t="s">
        <v>3430</v>
      </c>
      <c r="T142" s="10" t="s">
        <v>1935</v>
      </c>
      <c r="U142" s="10" t="s">
        <v>80</v>
      </c>
      <c r="V142" s="10" t="s">
        <v>81</v>
      </c>
      <c r="W142" s="10" t="s">
        <v>56</v>
      </c>
      <c r="X142" s="18">
        <f>COUNTIF('간병인배정'!$B:$B,$A142)</f>
        <v>1</v>
      </c>
      <c r="Y142" s="18">
        <f>SUMIF('간병비지급'!$B:$B,$A142,'간병비지급'!$I:$I)</f>
        <v>128000</v>
      </c>
      <c r="Z142" s="18">
        <f>COUNTIF('보험청구'!$B:$B,$A142)</f>
        <v>1</v>
      </c>
      <c r="AA142" s="18">
        <f>COUNTIFS('보험청구'!$B:$B,$A142,'보험청구'!$J:$J,"미확인")</f>
        <v>0</v>
      </c>
      <c r="AB142" s="18">
        <f>SUMIF('보험청구'!$B:$B,$A142,'보험청구'!$I:$I)</f>
        <v>172000</v>
      </c>
      <c r="AC142" s="18">
        <f>SUMIF('보험청구'!$B:$B,$A142,'보험청구'!$L:$L)</f>
        <v>0</v>
      </c>
      <c r="AD142" s="30">
        <v>46195.0</v>
      </c>
      <c r="AE142" s="30">
        <v>46195.0</v>
      </c>
      <c r="AF142" s="10">
        <f t="shared" si="4"/>
        <v>88</v>
      </c>
      <c r="AG142" s="10" t="str">
        <f t="shared" si="2"/>
        <v>정상</v>
      </c>
      <c r="AH142" s="25"/>
      <c r="AI142" s="10"/>
      <c r="AJ142" s="10"/>
    </row>
    <row r="143" ht="15.75" customHeight="1">
      <c r="A143" s="10" t="s">
        <v>1757</v>
      </c>
      <c r="B143" s="13" t="s">
        <v>3451</v>
      </c>
      <c r="C143" s="10" t="s">
        <v>66</v>
      </c>
      <c r="D143" s="14">
        <v>1.9780112E7</v>
      </c>
      <c r="E143" s="10" t="s">
        <v>3453</v>
      </c>
      <c r="F143" s="10" t="s">
        <v>245</v>
      </c>
      <c r="G143" s="13" t="s">
        <v>1534</v>
      </c>
      <c r="H143" s="15" t="s">
        <v>1618</v>
      </c>
      <c r="I143" s="10" t="s">
        <v>106</v>
      </c>
      <c r="J143" s="10" t="s">
        <v>3454</v>
      </c>
      <c r="K143" s="10" t="s">
        <v>3455</v>
      </c>
      <c r="L143" s="10">
        <v>2.605984996E9</v>
      </c>
      <c r="M143" s="10" t="s">
        <v>3456</v>
      </c>
      <c r="N143" s="10" t="s">
        <v>3457</v>
      </c>
      <c r="O143" s="10"/>
      <c r="P143" s="10"/>
      <c r="Q143" s="10"/>
      <c r="R143" s="10"/>
      <c r="S143" s="10" t="s">
        <v>739</v>
      </c>
      <c r="T143" s="10" t="s">
        <v>739</v>
      </c>
      <c r="U143" s="10" t="s">
        <v>322</v>
      </c>
      <c r="V143" s="10"/>
      <c r="W143" s="10" t="s">
        <v>56</v>
      </c>
      <c r="X143" s="18">
        <f>COUNTIF('간병인배정'!$B:$B,$A143)</f>
        <v>1</v>
      </c>
      <c r="Y143" s="18">
        <f>SUMIF('간병비지급'!$B:$B,$A143,'간병비지급'!$I:$I)</f>
        <v>552000</v>
      </c>
      <c r="Z143" s="18">
        <f>COUNTIF('보험청구'!$B:$B,$A143)</f>
        <v>1</v>
      </c>
      <c r="AA143" s="18">
        <f>COUNTIFS('보험청구'!$B:$B,$A143,'보험청구'!$J:$J,"미확인")</f>
        <v>0</v>
      </c>
      <c r="AB143" s="18">
        <f>SUMIF('보험청구'!$B:$B,$A143,'보험청구'!$I:$I)</f>
        <v>0</v>
      </c>
      <c r="AC143" s="18">
        <f>SUMIF('보험청구'!$B:$B,$A143,'보험청구'!$L:$L)</f>
        <v>576000</v>
      </c>
      <c r="AD143" s="30">
        <v>46170.0</v>
      </c>
      <c r="AE143" s="30">
        <v>46174.0</v>
      </c>
      <c r="AF143" s="10">
        <f t="shared" si="4"/>
        <v>109</v>
      </c>
      <c r="AG143" s="10" t="str">
        <f t="shared" si="2"/>
        <v>정상</v>
      </c>
      <c r="AH143" s="25"/>
      <c r="AI143" s="10"/>
      <c r="AJ143" s="10"/>
    </row>
    <row r="144" ht="15.75" customHeight="1">
      <c r="A144" s="10" t="s">
        <v>1774</v>
      </c>
      <c r="B144" s="13" t="s">
        <v>3461</v>
      </c>
      <c r="C144" s="10" t="s">
        <v>212</v>
      </c>
      <c r="D144" s="14">
        <v>1.9640418E7</v>
      </c>
      <c r="E144" s="10" t="s">
        <v>3462</v>
      </c>
      <c r="F144" s="10" t="s">
        <v>1274</v>
      </c>
      <c r="G144" s="13" t="s">
        <v>2678</v>
      </c>
      <c r="H144" s="15" t="s">
        <v>3463</v>
      </c>
      <c r="I144" s="10" t="s">
        <v>106</v>
      </c>
      <c r="J144" s="10" t="s">
        <v>3465</v>
      </c>
      <c r="K144" s="10" t="s">
        <v>3466</v>
      </c>
      <c r="L144" s="10">
        <v>2.606034138E9</v>
      </c>
      <c r="M144" s="10" t="s">
        <v>1059</v>
      </c>
      <c r="N144" s="10" t="s">
        <v>1061</v>
      </c>
      <c r="O144" s="10"/>
      <c r="P144" s="10"/>
      <c r="Q144" s="10"/>
      <c r="R144" s="10"/>
      <c r="S144" s="10" t="s">
        <v>739</v>
      </c>
      <c r="T144" s="10" t="s">
        <v>1810</v>
      </c>
      <c r="U144" s="10" t="s">
        <v>322</v>
      </c>
      <c r="V144" s="10"/>
      <c r="W144" s="20" t="s">
        <v>56</v>
      </c>
      <c r="X144" s="18">
        <f>COUNTIF('간병인배정'!$B:$B,$A144)</f>
        <v>1</v>
      </c>
      <c r="Y144" s="18">
        <f>SUMIF('간병비지급'!$B:$B,$A144,'간병비지급'!$I:$I)</f>
        <v>9100000</v>
      </c>
      <c r="Z144" s="18">
        <f>COUNTIF('보험청구'!$B:$B,$A144)</f>
        <v>8</v>
      </c>
      <c r="AA144" s="18">
        <f>COUNTIFS('보험청구'!$B:$B,$A144,'보험청구'!$J:$J,"미확인")</f>
        <v>0</v>
      </c>
      <c r="AB144" s="18">
        <f>SUMIF('보험청구'!$B:$B,$A144,'보험청구'!$I:$I)</f>
        <v>10224000</v>
      </c>
      <c r="AC144" s="18">
        <f>SUMIF('보험청구'!$B:$B,$A144,'보험청구'!$L:$L)</f>
        <v>0</v>
      </c>
      <c r="AD144" s="30">
        <v>46174.0</v>
      </c>
      <c r="AE144" s="30">
        <v>46242.0</v>
      </c>
      <c r="AF144" s="10">
        <f t="shared" si="4"/>
        <v>41</v>
      </c>
      <c r="AG144" s="10" t="str">
        <f t="shared" si="2"/>
        <v>정상</v>
      </c>
      <c r="AH144" s="26" t="s">
        <v>3474</v>
      </c>
      <c r="AI144" s="10"/>
      <c r="AJ144" s="10"/>
    </row>
    <row r="145" ht="15.75" customHeight="1">
      <c r="A145" s="10" t="s">
        <v>1789</v>
      </c>
      <c r="B145" s="13" t="s">
        <v>3475</v>
      </c>
      <c r="C145" s="10" t="s">
        <v>66</v>
      </c>
      <c r="D145" s="14">
        <v>1.9591226E7</v>
      </c>
      <c r="E145" s="10" t="s">
        <v>3476</v>
      </c>
      <c r="F145" s="10" t="s">
        <v>126</v>
      </c>
      <c r="G145" s="13" t="s">
        <v>3381</v>
      </c>
      <c r="H145" s="15" t="s">
        <v>3477</v>
      </c>
      <c r="I145" s="10" t="s">
        <v>106</v>
      </c>
      <c r="J145" s="10" t="s">
        <v>3454</v>
      </c>
      <c r="K145" s="10"/>
      <c r="L145" s="10">
        <v>2.605985084E9</v>
      </c>
      <c r="M145" s="10" t="s">
        <v>3478</v>
      </c>
      <c r="N145" s="10" t="s">
        <v>3479</v>
      </c>
      <c r="O145" s="10"/>
      <c r="P145" s="10"/>
      <c r="Q145" s="10"/>
      <c r="R145" s="10"/>
      <c r="S145" s="10" t="s">
        <v>739</v>
      </c>
      <c r="T145" s="10" t="s">
        <v>3258</v>
      </c>
      <c r="U145" s="10" t="s">
        <v>322</v>
      </c>
      <c r="V145" s="10"/>
      <c r="W145" s="10" t="s">
        <v>56</v>
      </c>
      <c r="X145" s="18">
        <f>COUNTIF('간병인배정'!$B:$B,$A145)</f>
        <v>1</v>
      </c>
      <c r="Y145" s="18">
        <f>SUMIF('간병비지급'!$B:$B,$A145,'간병비지급'!$I:$I)</f>
        <v>1170000</v>
      </c>
      <c r="Z145" s="18">
        <f>COUNTIF('보험청구'!$B:$B,$A145)</f>
        <v>1</v>
      </c>
      <c r="AA145" s="18">
        <f>COUNTIFS('보험청구'!$B:$B,$A145,'보험청구'!$J:$J,"미확인")</f>
        <v>0</v>
      </c>
      <c r="AB145" s="18">
        <f>SUMIF('보험청구'!$B:$B,$A145,'보험청구'!$I:$I)</f>
        <v>1260000</v>
      </c>
      <c r="AC145" s="18">
        <f>SUMIF('보험청구'!$B:$B,$A145,'보험청구'!$L:$L)</f>
        <v>0</v>
      </c>
      <c r="AD145" s="30">
        <v>46171.0</v>
      </c>
      <c r="AE145" s="30">
        <v>46180.0</v>
      </c>
      <c r="AF145" s="10">
        <f t="shared" si="4"/>
        <v>103</v>
      </c>
      <c r="AG145" s="10" t="str">
        <f t="shared" si="2"/>
        <v>정상</v>
      </c>
      <c r="AH145" s="25"/>
      <c r="AI145" s="10"/>
      <c r="AJ145" s="10"/>
    </row>
    <row r="146" ht="15.75" customHeight="1">
      <c r="A146" s="10" t="s">
        <v>1797</v>
      </c>
      <c r="B146" s="13" t="s">
        <v>2402</v>
      </c>
      <c r="C146" s="10" t="s">
        <v>66</v>
      </c>
      <c r="D146" s="14">
        <v>1.9730809E7</v>
      </c>
      <c r="E146" s="10" t="s">
        <v>1172</v>
      </c>
      <c r="F146" s="10" t="s">
        <v>391</v>
      </c>
      <c r="G146" s="13" t="s">
        <v>2294</v>
      </c>
      <c r="H146" s="15" t="s">
        <v>2403</v>
      </c>
      <c r="I146" s="10" t="s">
        <v>73</v>
      </c>
      <c r="J146" s="10" t="s">
        <v>2404</v>
      </c>
      <c r="K146" s="10" t="s">
        <v>343</v>
      </c>
      <c r="L146" s="10">
        <v>2.606034546E9</v>
      </c>
      <c r="M146" s="10" t="s">
        <v>3486</v>
      </c>
      <c r="N146" s="10" t="s">
        <v>3487</v>
      </c>
      <c r="O146" s="10"/>
      <c r="P146" s="10"/>
      <c r="Q146" s="10"/>
      <c r="R146" s="10"/>
      <c r="S146" s="10" t="s">
        <v>3488</v>
      </c>
      <c r="T146" s="10" t="s">
        <v>1810</v>
      </c>
      <c r="U146" s="10" t="s">
        <v>80</v>
      </c>
      <c r="V146" s="10" t="s">
        <v>3398</v>
      </c>
      <c r="W146" s="10" t="s">
        <v>56</v>
      </c>
      <c r="X146" s="18">
        <f>COUNTIF('간병인배정'!$B:$B,$A146)</f>
        <v>1</v>
      </c>
      <c r="Y146" s="18">
        <f>SUMIF('간병비지급'!$B:$B,$A146,'간병비지급'!$I:$I)</f>
        <v>0</v>
      </c>
      <c r="Z146" s="18">
        <f>COUNTIF('보험청구'!$B:$B,$A146)</f>
        <v>1</v>
      </c>
      <c r="AA146" s="18">
        <f>COUNTIFS('보험청구'!$B:$B,$A146,'보험청구'!$J:$J,"미확인")</f>
        <v>0</v>
      </c>
      <c r="AB146" s="18">
        <f>SUMIF('보험청구'!$B:$B,$A146,'보험청구'!$I:$I)</f>
        <v>946000</v>
      </c>
      <c r="AC146" s="18">
        <f>SUMIF('보험청구'!$B:$B,$A146,'보험청구'!$L:$L)</f>
        <v>0</v>
      </c>
      <c r="AD146" s="30">
        <v>46174.0</v>
      </c>
      <c r="AE146" s="30">
        <v>46184.0</v>
      </c>
      <c r="AF146" s="10">
        <f t="shared" si="4"/>
        <v>99</v>
      </c>
      <c r="AG146" s="10" t="str">
        <f t="shared" si="2"/>
        <v>정상</v>
      </c>
      <c r="AH146" s="25" t="s">
        <v>2435</v>
      </c>
      <c r="AI146" s="10"/>
      <c r="AJ146" s="10"/>
    </row>
    <row r="147" ht="15.75" customHeight="1">
      <c r="A147" s="10" t="s">
        <v>1813</v>
      </c>
      <c r="B147" s="13" t="s">
        <v>3495</v>
      </c>
      <c r="C147" s="10" t="s">
        <v>66</v>
      </c>
      <c r="D147" s="14">
        <v>1.973022E7</v>
      </c>
      <c r="E147" s="10" t="s">
        <v>3496</v>
      </c>
      <c r="F147" s="10" t="s">
        <v>743</v>
      </c>
      <c r="G147" s="13" t="s">
        <v>3497</v>
      </c>
      <c r="H147" s="15" t="s">
        <v>3395</v>
      </c>
      <c r="I147" s="10" t="s">
        <v>106</v>
      </c>
      <c r="J147" s="10" t="s">
        <v>3498</v>
      </c>
      <c r="K147" s="10" t="s">
        <v>3499</v>
      </c>
      <c r="L147" s="10">
        <v>2.6060756E9</v>
      </c>
      <c r="M147" s="10" t="s">
        <v>3500</v>
      </c>
      <c r="N147" s="10" t="s">
        <v>3501</v>
      </c>
      <c r="O147" s="10"/>
      <c r="P147" s="10"/>
      <c r="Q147" s="10"/>
      <c r="R147" s="10"/>
      <c r="S147" s="10" t="s">
        <v>1810</v>
      </c>
      <c r="T147" s="10" t="s">
        <v>1810</v>
      </c>
      <c r="U147" s="10" t="s">
        <v>322</v>
      </c>
      <c r="V147" s="10"/>
      <c r="W147" s="10" t="s">
        <v>56</v>
      </c>
      <c r="X147" s="18">
        <f>COUNTIF('간병인배정'!$B:$B,$A147)</f>
        <v>1</v>
      </c>
      <c r="Y147" s="18">
        <f>SUMIF('간병비지급'!$B:$B,$A147,'간병비지급'!$I:$I)</f>
        <v>810000</v>
      </c>
      <c r="Z147" s="18">
        <f>COUNTIF('보험청구'!$B:$B,$A147)</f>
        <v>1</v>
      </c>
      <c r="AA147" s="18">
        <f>COUNTIFS('보험청구'!$B:$B,$A147,'보험청구'!$J:$J,"미확인")</f>
        <v>0</v>
      </c>
      <c r="AB147" s="18">
        <f>SUMIF('보험청구'!$B:$B,$A147,'보험청구'!$I:$I)</f>
        <v>1008000</v>
      </c>
      <c r="AC147" s="18">
        <f>SUMIF('보험청구'!$B:$B,$A147,'보험청구'!$L:$L)</f>
        <v>0</v>
      </c>
      <c r="AD147" s="30">
        <v>46174.0</v>
      </c>
      <c r="AE147" s="30">
        <v>46180.0</v>
      </c>
      <c r="AF147" s="10">
        <f t="shared" si="4"/>
        <v>103</v>
      </c>
      <c r="AG147" s="10" t="str">
        <f t="shared" si="2"/>
        <v>정상</v>
      </c>
      <c r="AH147" s="25"/>
      <c r="AI147" s="10"/>
      <c r="AJ147" s="10"/>
    </row>
    <row r="148" ht="15.75" customHeight="1">
      <c r="A148" s="10" t="s">
        <v>1825</v>
      </c>
      <c r="B148" s="13" t="s">
        <v>3505</v>
      </c>
      <c r="C148" s="10" t="s">
        <v>66</v>
      </c>
      <c r="D148" s="14">
        <v>1.9360528E7</v>
      </c>
      <c r="E148" s="10" t="s">
        <v>3506</v>
      </c>
      <c r="F148" s="10" t="s">
        <v>391</v>
      </c>
      <c r="G148" s="13" t="s">
        <v>3507</v>
      </c>
      <c r="H148" s="15" t="s">
        <v>3508</v>
      </c>
      <c r="I148" s="10" t="s">
        <v>106</v>
      </c>
      <c r="J148" s="10" t="s">
        <v>3510</v>
      </c>
      <c r="K148" s="10" t="s">
        <v>1764</v>
      </c>
      <c r="L148" s="10">
        <v>2.606076497E9</v>
      </c>
      <c r="M148" s="10" t="s">
        <v>3511</v>
      </c>
      <c r="N148" s="10" t="s">
        <v>3512</v>
      </c>
      <c r="O148" s="10"/>
      <c r="P148" s="10"/>
      <c r="Q148" s="10"/>
      <c r="R148" s="10"/>
      <c r="S148" s="10" t="s">
        <v>1810</v>
      </c>
      <c r="T148" s="10" t="s">
        <v>1810</v>
      </c>
      <c r="U148" s="10" t="s">
        <v>322</v>
      </c>
      <c r="V148" s="10"/>
      <c r="W148" s="10" t="s">
        <v>56</v>
      </c>
      <c r="X148" s="18">
        <f>COUNTIF('간병인배정'!$B:$B,$A148)</f>
        <v>1</v>
      </c>
      <c r="Y148" s="18">
        <f>SUMIF('간병비지급'!$B:$B,$A148,'간병비지급'!$I:$I)</f>
        <v>900000</v>
      </c>
      <c r="Z148" s="18">
        <f>COUNTIF('보험청구'!$B:$B,$A148)</f>
        <v>1</v>
      </c>
      <c r="AA148" s="18">
        <f>COUNTIFS('보험청구'!$B:$B,$A148,'보험청구'!$J:$J,"미확인")</f>
        <v>0</v>
      </c>
      <c r="AB148" s="18">
        <f>SUMIF('보험청구'!$B:$B,$A148,'보험청구'!$I:$I)</f>
        <v>0</v>
      </c>
      <c r="AC148" s="18">
        <f>SUMIF('보험청구'!$B:$B,$A148,'보험청구'!$L:$L)</f>
        <v>852000</v>
      </c>
      <c r="AD148" s="30">
        <v>46174.0</v>
      </c>
      <c r="AE148" s="30">
        <v>46179.0</v>
      </c>
      <c r="AF148" s="10">
        <f t="shared" si="4"/>
        <v>104</v>
      </c>
      <c r="AG148" s="10" t="str">
        <f t="shared" si="2"/>
        <v>정상</v>
      </c>
      <c r="AH148" s="25"/>
      <c r="AI148" s="10"/>
      <c r="AJ148" s="10"/>
    </row>
    <row r="149" ht="15.75" customHeight="1">
      <c r="A149" s="10" t="s">
        <v>1834</v>
      </c>
      <c r="B149" s="13" t="s">
        <v>3516</v>
      </c>
      <c r="C149" s="10" t="s">
        <v>66</v>
      </c>
      <c r="D149" s="14">
        <v>1.9490316E7</v>
      </c>
      <c r="E149" s="10" t="s">
        <v>3517</v>
      </c>
      <c r="F149" s="10" t="s">
        <v>1274</v>
      </c>
      <c r="G149" s="13" t="s">
        <v>2678</v>
      </c>
      <c r="H149" s="15" t="s">
        <v>3518</v>
      </c>
      <c r="I149" s="10" t="s">
        <v>106</v>
      </c>
      <c r="J149" s="10" t="s">
        <v>3519</v>
      </c>
      <c r="K149" s="10" t="s">
        <v>3520</v>
      </c>
      <c r="L149" s="10">
        <v>2.606077176E9</v>
      </c>
      <c r="M149" s="10" t="s">
        <v>3522</v>
      </c>
      <c r="N149" s="10" t="s">
        <v>3523</v>
      </c>
      <c r="O149" s="10"/>
      <c r="P149" s="10"/>
      <c r="Q149" s="10"/>
      <c r="R149" s="10"/>
      <c r="S149" s="10" t="s">
        <v>1810</v>
      </c>
      <c r="T149" s="10" t="s">
        <v>1810</v>
      </c>
      <c r="U149" s="10" t="s">
        <v>322</v>
      </c>
      <c r="V149" s="10"/>
      <c r="W149" s="10" t="s">
        <v>56</v>
      </c>
      <c r="X149" s="18">
        <f>COUNTIF('간병인배정'!$B:$B,$A149)</f>
        <v>1</v>
      </c>
      <c r="Y149" s="18">
        <f>SUMIF('간병비지급'!$B:$B,$A149,'간병비지급'!$I:$I)</f>
        <v>2520000</v>
      </c>
      <c r="Z149" s="18">
        <f>COUNTIF('보험청구'!$B:$B,$A149)</f>
        <v>2</v>
      </c>
      <c r="AA149" s="18">
        <f>COUNTIFS('보험청구'!$B:$B,$A149,'보험청구'!$J:$J,"미확인")</f>
        <v>0</v>
      </c>
      <c r="AB149" s="18">
        <f>SUMIF('보험청구'!$B:$B,$A149,'보험청구'!$I:$I)</f>
        <v>2304000</v>
      </c>
      <c r="AC149" s="18">
        <f>SUMIF('보험청구'!$B:$B,$A149,'보험청구'!$L:$L)</f>
        <v>0</v>
      </c>
      <c r="AD149" s="30">
        <v>46175.0</v>
      </c>
      <c r="AE149" s="30">
        <v>46192.0</v>
      </c>
      <c r="AF149" s="10">
        <f t="shared" si="4"/>
        <v>91</v>
      </c>
      <c r="AG149" s="10" t="str">
        <f t="shared" si="2"/>
        <v>정상</v>
      </c>
      <c r="AH149" s="25" t="s">
        <v>3528</v>
      </c>
      <c r="AI149" s="10"/>
      <c r="AJ149" s="10"/>
    </row>
    <row r="150" ht="15.75" customHeight="1">
      <c r="A150" s="10" t="s">
        <v>1845</v>
      </c>
      <c r="B150" s="13" t="s">
        <v>3516</v>
      </c>
      <c r="C150" s="10" t="s">
        <v>66</v>
      </c>
      <c r="D150" s="14">
        <v>1.9490316E7</v>
      </c>
      <c r="E150" s="10" t="s">
        <v>3517</v>
      </c>
      <c r="F150" s="10" t="s">
        <v>168</v>
      </c>
      <c r="G150" s="13" t="s">
        <v>3529</v>
      </c>
      <c r="H150" s="15" t="s">
        <v>3530</v>
      </c>
      <c r="I150" s="10" t="s">
        <v>106</v>
      </c>
      <c r="J150" s="10" t="s">
        <v>3519</v>
      </c>
      <c r="K150" s="10" t="s">
        <v>3520</v>
      </c>
      <c r="L150" s="10">
        <v>2.606077176E9</v>
      </c>
      <c r="M150" s="10" t="s">
        <v>3522</v>
      </c>
      <c r="N150" s="10" t="s">
        <v>3523</v>
      </c>
      <c r="O150" s="10"/>
      <c r="P150" s="10"/>
      <c r="Q150" s="10"/>
      <c r="R150" s="10"/>
      <c r="S150" s="10" t="s">
        <v>1810</v>
      </c>
      <c r="T150" s="10" t="s">
        <v>1810</v>
      </c>
      <c r="U150" s="10" t="s">
        <v>322</v>
      </c>
      <c r="V150" s="10"/>
      <c r="W150" s="10" t="s">
        <v>56</v>
      </c>
      <c r="X150" s="18">
        <f>COUNTIF('간병인배정'!$B:$B,$A150)</f>
        <v>1</v>
      </c>
      <c r="Y150" s="18">
        <f>SUMIF('간병비지급'!$B:$B,$A150,'간병비지급'!$I:$I)</f>
        <v>980000</v>
      </c>
      <c r="Z150" s="18">
        <f>COUNTIF('보험청구'!$B:$B,$A150)</f>
        <v>2</v>
      </c>
      <c r="AA150" s="18">
        <f>COUNTIFS('보험청구'!$B:$B,$A150,'보험청구'!$J:$J,"미확인")</f>
        <v>0</v>
      </c>
      <c r="AB150" s="18">
        <f>SUMIF('보험청구'!$B:$B,$A150,'보험청구'!$I:$I)</f>
        <v>1296000</v>
      </c>
      <c r="AC150" s="18">
        <f>SUMIF('보험청구'!$B:$B,$A150,'보험청구'!$L:$L)</f>
        <v>0</v>
      </c>
      <c r="AD150" s="30">
        <v>46192.0</v>
      </c>
      <c r="AE150" s="30">
        <v>46199.0</v>
      </c>
      <c r="AF150" s="10">
        <f t="shared" si="4"/>
        <v>84</v>
      </c>
      <c r="AG150" s="10" t="str">
        <f t="shared" si="2"/>
        <v>정상</v>
      </c>
      <c r="AH150" s="25"/>
      <c r="AI150" s="10"/>
      <c r="AJ150" s="10"/>
    </row>
    <row r="151" ht="15.75" customHeight="1">
      <c r="A151" s="10" t="s">
        <v>1851</v>
      </c>
      <c r="B151" s="13" t="s">
        <v>3516</v>
      </c>
      <c r="C151" s="10" t="s">
        <v>66</v>
      </c>
      <c r="D151" s="14">
        <v>1.9490316E7</v>
      </c>
      <c r="E151" s="10" t="s">
        <v>3517</v>
      </c>
      <c r="F151" s="10" t="s">
        <v>168</v>
      </c>
      <c r="G151" s="13" t="s">
        <v>3529</v>
      </c>
      <c r="H151" s="15" t="s">
        <v>3530</v>
      </c>
      <c r="I151" s="10" t="s">
        <v>106</v>
      </c>
      <c r="J151" s="10" t="s">
        <v>3519</v>
      </c>
      <c r="K151" s="10" t="s">
        <v>3520</v>
      </c>
      <c r="L151" s="10">
        <v>2.606077176E9</v>
      </c>
      <c r="M151" s="10" t="s">
        <v>3522</v>
      </c>
      <c r="N151" s="10" t="s">
        <v>3523</v>
      </c>
      <c r="O151" s="10"/>
      <c r="P151" s="10"/>
      <c r="Q151" s="10"/>
      <c r="R151" s="10"/>
      <c r="S151" s="10"/>
      <c r="T151" s="10"/>
      <c r="U151" s="10"/>
      <c r="V151" s="10"/>
      <c r="W151" s="10" t="s">
        <v>56</v>
      </c>
      <c r="X151" s="18">
        <f>COUNTIF('간병인배정'!$B:$B,$A151)</f>
        <v>1</v>
      </c>
      <c r="Y151" s="18">
        <f>SUMIF('간병비지급'!$B:$B,$A151,'간병비지급'!$I:$I)</f>
        <v>2380000</v>
      </c>
      <c r="Z151" s="18">
        <f>COUNTIF('보험청구'!$B:$B,$A151)</f>
        <v>1</v>
      </c>
      <c r="AA151" s="18">
        <f>COUNTIFS('보험청구'!$B:$B,$A151,'보험청구'!$J:$J,"미확인")</f>
        <v>0</v>
      </c>
      <c r="AB151" s="18">
        <f>SUMIF('보험청구'!$B:$B,$A151,'보험청구'!$I:$I)</f>
        <v>2448000</v>
      </c>
      <c r="AC151" s="18">
        <f>SUMIF('보험청구'!$B:$B,$A151,'보험청구'!$L:$L)</f>
        <v>0</v>
      </c>
      <c r="AD151" s="30">
        <v>46203.0</v>
      </c>
      <c r="AE151" s="30">
        <v>46209.0</v>
      </c>
      <c r="AF151" s="10">
        <f t="shared" si="4"/>
        <v>74</v>
      </c>
      <c r="AG151" s="10" t="str">
        <f t="shared" si="2"/>
        <v>정상</v>
      </c>
      <c r="AH151" s="25"/>
      <c r="AI151" s="10"/>
      <c r="AJ151" s="10"/>
    </row>
    <row r="152" ht="15.75" customHeight="1">
      <c r="A152" s="10" t="s">
        <v>1860</v>
      </c>
      <c r="B152" s="13" t="s">
        <v>3131</v>
      </c>
      <c r="C152" s="10" t="s">
        <v>66</v>
      </c>
      <c r="D152" s="14">
        <v>1.942093E7</v>
      </c>
      <c r="E152" s="10" t="s">
        <v>3539</v>
      </c>
      <c r="F152" s="10" t="s">
        <v>987</v>
      </c>
      <c r="G152" s="13" t="s">
        <v>988</v>
      </c>
      <c r="H152" s="15" t="s">
        <v>3540</v>
      </c>
      <c r="I152" s="10" t="s">
        <v>106</v>
      </c>
      <c r="J152" s="10" t="s">
        <v>3541</v>
      </c>
      <c r="K152" s="10" t="s">
        <v>3542</v>
      </c>
      <c r="L152" s="10">
        <v>2.60619758E9</v>
      </c>
      <c r="M152" s="10" t="s">
        <v>3543</v>
      </c>
      <c r="N152" s="10" t="s">
        <v>2723</v>
      </c>
      <c r="O152" s="10"/>
      <c r="P152" s="10"/>
      <c r="Q152" s="10"/>
      <c r="R152" s="10"/>
      <c r="S152" s="10" t="s">
        <v>1751</v>
      </c>
      <c r="T152" s="10" t="s">
        <v>3544</v>
      </c>
      <c r="U152" s="10" t="s">
        <v>322</v>
      </c>
      <c r="V152" s="10"/>
      <c r="W152" s="10" t="s">
        <v>56</v>
      </c>
      <c r="X152" s="18">
        <f>COUNTIF('간병인배정'!$B:$B,$A152)</f>
        <v>1</v>
      </c>
      <c r="Y152" s="18">
        <f>SUMIF('간병비지급'!$B:$B,$A152,'간병비지급'!$I:$I)</f>
        <v>1800000</v>
      </c>
      <c r="Z152" s="18">
        <f>COUNTIF('보험청구'!$B:$B,$A152)</f>
        <v>2</v>
      </c>
      <c r="AA152" s="18">
        <f>COUNTIFS('보험청구'!$B:$B,$A152,'보험청구'!$J:$J,"미확인")</f>
        <v>0</v>
      </c>
      <c r="AB152" s="18">
        <f>SUMIF('보험청구'!$B:$B,$A152,'보험청구'!$I:$I)</f>
        <v>1728000</v>
      </c>
      <c r="AC152" s="18">
        <f>SUMIF('보험청구'!$B:$B,$A152,'보험청구'!$L:$L)</f>
        <v>0</v>
      </c>
      <c r="AD152" s="30">
        <v>46176.0</v>
      </c>
      <c r="AE152" s="30">
        <v>46188.0</v>
      </c>
      <c r="AF152" s="10">
        <f t="shared" si="4"/>
        <v>95</v>
      </c>
      <c r="AG152" s="10" t="str">
        <f t="shared" si="2"/>
        <v>정상</v>
      </c>
      <c r="AH152" s="25"/>
      <c r="AI152" s="10"/>
      <c r="AJ152" s="10"/>
    </row>
    <row r="153" ht="15.75" customHeight="1">
      <c r="A153" s="10" t="s">
        <v>1871</v>
      </c>
      <c r="B153" s="13" t="s">
        <v>3549</v>
      </c>
      <c r="C153" s="10" t="s">
        <v>66</v>
      </c>
      <c r="D153" s="14">
        <v>1.9690303E7</v>
      </c>
      <c r="E153" s="10" t="s">
        <v>3551</v>
      </c>
      <c r="F153" s="10" t="s">
        <v>391</v>
      </c>
      <c r="G153" s="13" t="s">
        <v>2294</v>
      </c>
      <c r="H153" s="15" t="s">
        <v>3553</v>
      </c>
      <c r="I153" s="10" t="s">
        <v>106</v>
      </c>
      <c r="J153" s="10" t="s">
        <v>3554</v>
      </c>
      <c r="K153" s="10" t="s">
        <v>3555</v>
      </c>
      <c r="L153" s="10">
        <v>2.606243852E9</v>
      </c>
      <c r="M153" s="10" t="s">
        <v>3556</v>
      </c>
      <c r="N153" s="10" t="s">
        <v>3557</v>
      </c>
      <c r="O153" s="10"/>
      <c r="P153" s="10"/>
      <c r="Q153" s="10"/>
      <c r="R153" s="10"/>
      <c r="S153" s="10" t="s">
        <v>1319</v>
      </c>
      <c r="T153" s="10" t="s">
        <v>3274</v>
      </c>
      <c r="U153" s="10" t="s">
        <v>322</v>
      </c>
      <c r="V153" s="10"/>
      <c r="W153" s="10" t="s">
        <v>56</v>
      </c>
      <c r="X153" s="18">
        <f>COUNTIF('간병인배정'!$B:$B,$A153)</f>
        <v>1</v>
      </c>
      <c r="Y153" s="18">
        <f>SUMIF('간병비지급'!$B:$B,$A153,'간병비지급'!$I:$I)</f>
        <v>560000</v>
      </c>
      <c r="Z153" s="18">
        <f>COUNTIF('보험청구'!$B:$B,$A153)</f>
        <v>1</v>
      </c>
      <c r="AA153" s="18">
        <f>COUNTIFS('보험청구'!$B:$B,$A153,'보험청구'!$J:$J,"미확인")</f>
        <v>0</v>
      </c>
      <c r="AB153" s="18">
        <f>SUMIF('보험청구'!$B:$B,$A153,'보험청구'!$I:$I)</f>
        <v>576000</v>
      </c>
      <c r="AC153" s="18">
        <f>SUMIF('보험청구'!$B:$B,$A153,'보험청구'!$L:$L)</f>
        <v>0</v>
      </c>
      <c r="AD153" s="30">
        <v>46178.0</v>
      </c>
      <c r="AE153" s="30">
        <v>46183.0</v>
      </c>
      <c r="AF153" s="10">
        <f t="shared" si="4"/>
        <v>100</v>
      </c>
      <c r="AG153" s="10" t="str">
        <f t="shared" si="2"/>
        <v>정상</v>
      </c>
      <c r="AH153" s="25"/>
      <c r="AI153" s="10"/>
      <c r="AJ153" s="10"/>
    </row>
    <row r="154" ht="15.75" customHeight="1">
      <c r="A154" s="10" t="s">
        <v>1881</v>
      </c>
      <c r="B154" s="13" t="s">
        <v>3567</v>
      </c>
      <c r="C154" s="10" t="s">
        <v>66</v>
      </c>
      <c r="D154" s="14">
        <v>1.9590406E7</v>
      </c>
      <c r="E154" s="10" t="s">
        <v>3568</v>
      </c>
      <c r="F154" s="10" t="s">
        <v>2133</v>
      </c>
      <c r="G154" s="13" t="s">
        <v>2135</v>
      </c>
      <c r="H154" s="15" t="s">
        <v>3569</v>
      </c>
      <c r="I154" s="10" t="s">
        <v>106</v>
      </c>
      <c r="J154" s="10" t="s">
        <v>3570</v>
      </c>
      <c r="K154" s="10" t="s">
        <v>3571</v>
      </c>
      <c r="L154" s="10">
        <v>2.606244002E9</v>
      </c>
      <c r="M154" s="10" t="s">
        <v>3572</v>
      </c>
      <c r="N154" s="10" t="s">
        <v>3573</v>
      </c>
      <c r="O154" s="10"/>
      <c r="P154" s="10"/>
      <c r="Q154" s="10"/>
      <c r="R154" s="10"/>
      <c r="S154" s="10" t="s">
        <v>1319</v>
      </c>
      <c r="T154" s="10" t="s">
        <v>1319</v>
      </c>
      <c r="U154" s="10" t="s">
        <v>322</v>
      </c>
      <c r="V154" s="10"/>
      <c r="W154" s="10" t="s">
        <v>56</v>
      </c>
      <c r="X154" s="18">
        <f>COUNTIF('간병인배정'!$B:$B,$A154)</f>
        <v>1</v>
      </c>
      <c r="Y154" s="18">
        <f>SUMIF('간병비지급'!$B:$B,$A154,'간병비지급'!$I:$I)</f>
        <v>1400000</v>
      </c>
      <c r="Z154" s="18">
        <f>COUNTIF('보험청구'!$B:$B,$A154)</f>
        <v>2</v>
      </c>
      <c r="AA154" s="18">
        <f>COUNTIFS('보험청구'!$B:$B,$A154,'보험청구'!$J:$J,"미확인")</f>
        <v>0</v>
      </c>
      <c r="AB154" s="18">
        <f>SUMIF('보험청구'!$B:$B,$A154,'보험청구'!$I:$I)</f>
        <v>1440000</v>
      </c>
      <c r="AC154" s="18">
        <f>SUMIF('보험청구'!$B:$B,$A154,'보험청구'!$L:$L)</f>
        <v>0</v>
      </c>
      <c r="AD154" s="30">
        <v>46177.0</v>
      </c>
      <c r="AE154" s="30">
        <v>46186.0</v>
      </c>
      <c r="AF154" s="10">
        <f t="shared" si="4"/>
        <v>97</v>
      </c>
      <c r="AG154" s="10" t="str">
        <f t="shared" si="2"/>
        <v>정상</v>
      </c>
      <c r="AH154" s="25" t="s">
        <v>3579</v>
      </c>
      <c r="AI154" s="10"/>
      <c r="AJ154" s="10"/>
    </row>
    <row r="155" ht="15.75" customHeight="1">
      <c r="A155" s="10" t="s">
        <v>1888</v>
      </c>
      <c r="B155" s="13" t="s">
        <v>3580</v>
      </c>
      <c r="C155" s="10" t="s">
        <v>66</v>
      </c>
      <c r="D155" s="14">
        <v>1.9420109E7</v>
      </c>
      <c r="E155" s="10" t="s">
        <v>3581</v>
      </c>
      <c r="F155" s="10" t="s">
        <v>391</v>
      </c>
      <c r="G155" s="13" t="s">
        <v>2546</v>
      </c>
      <c r="H155" s="15" t="s">
        <v>3582</v>
      </c>
      <c r="I155" s="10" t="s">
        <v>106</v>
      </c>
      <c r="J155" s="10" t="s">
        <v>3583</v>
      </c>
      <c r="K155" s="10" t="s">
        <v>3584</v>
      </c>
      <c r="L155" s="10">
        <v>2.606407042E9</v>
      </c>
      <c r="M155" s="10" t="s">
        <v>3294</v>
      </c>
      <c r="N155" s="10" t="s">
        <v>3295</v>
      </c>
      <c r="O155" s="10"/>
      <c r="P155" s="10"/>
      <c r="Q155" s="10" t="s">
        <v>77</v>
      </c>
      <c r="R155" s="10"/>
      <c r="S155" s="10" t="s">
        <v>452</v>
      </c>
      <c r="T155" s="10" t="s">
        <v>452</v>
      </c>
      <c r="U155" s="10" t="s">
        <v>322</v>
      </c>
      <c r="V155" s="10" t="s">
        <v>3585</v>
      </c>
      <c r="W155" s="10" t="s">
        <v>65</v>
      </c>
      <c r="X155" s="18">
        <f>COUNTIF('간병인배정'!$B:$B,$A155)</f>
        <v>1</v>
      </c>
      <c r="Y155" s="18">
        <f>SUMIF('간병비지급'!$B:$B,$A155,'간병비지급'!$I:$I)</f>
        <v>13650000</v>
      </c>
      <c r="Z155" s="18">
        <f>COUNTIF('보험청구'!$B:$B,$A155)</f>
        <v>10</v>
      </c>
      <c r="AA155" s="18">
        <f>COUNTIFS('보험청구'!$B:$B,$A155,'보험청구'!$J:$J,"미확인")</f>
        <v>0</v>
      </c>
      <c r="AB155" s="18">
        <f>SUMIF('보험청구'!$B:$B,$A155,'보험청구'!$I:$I)</f>
        <v>10512000</v>
      </c>
      <c r="AC155" s="18">
        <f>SUMIF('보험청구'!$B:$B,$A155,'보험청구'!$L:$L)</f>
        <v>4424000</v>
      </c>
      <c r="AD155" s="30">
        <v>46181.0</v>
      </c>
      <c r="AE155" s="39">
        <v>46275.0</v>
      </c>
      <c r="AF155" s="10">
        <f t="shared" si="4"/>
        <v>8</v>
      </c>
      <c r="AG155" s="10" t="str">
        <f t="shared" si="2"/>
        <v>정상</v>
      </c>
      <c r="AH155" s="26" t="s">
        <v>3591</v>
      </c>
      <c r="AI155" s="10"/>
      <c r="AJ155" s="10"/>
    </row>
    <row r="156" ht="15.75" customHeight="1">
      <c r="A156" s="10" t="s">
        <v>1900</v>
      </c>
      <c r="B156" s="13" t="s">
        <v>3592</v>
      </c>
      <c r="C156" s="10" t="s">
        <v>212</v>
      </c>
      <c r="D156" s="14">
        <v>1.9630218E7</v>
      </c>
      <c r="E156" s="10" t="s">
        <v>3594</v>
      </c>
      <c r="F156" s="10" t="s">
        <v>391</v>
      </c>
      <c r="G156" s="13" t="s">
        <v>3595</v>
      </c>
      <c r="H156" s="15" t="s">
        <v>3596</v>
      </c>
      <c r="I156" s="10" t="s">
        <v>106</v>
      </c>
      <c r="J156" s="10" t="s">
        <v>3597</v>
      </c>
      <c r="K156" s="10" t="s">
        <v>3598</v>
      </c>
      <c r="L156" s="10">
        <v>2.606451061E9</v>
      </c>
      <c r="M156" s="10" t="s">
        <v>345</v>
      </c>
      <c r="N156" s="10" t="s">
        <v>346</v>
      </c>
      <c r="O156" s="10"/>
      <c r="P156" s="10"/>
      <c r="Q156" s="10" t="s">
        <v>132</v>
      </c>
      <c r="R156" s="10"/>
      <c r="S156" s="10" t="s">
        <v>269</v>
      </c>
      <c r="T156" s="10" t="s">
        <v>269</v>
      </c>
      <c r="U156" s="10" t="s">
        <v>322</v>
      </c>
      <c r="V156" s="10"/>
      <c r="W156" s="10" t="s">
        <v>56</v>
      </c>
      <c r="X156" s="18">
        <f>COUNTIF('간병인배정'!$B:$B,$A156)</f>
        <v>1</v>
      </c>
      <c r="Y156" s="18">
        <f>SUMIF('간병비지급'!$B:$B,$A156,'간병비지급'!$I:$I)</f>
        <v>2440000</v>
      </c>
      <c r="Z156" s="18">
        <f>COUNTIF('보험청구'!$B:$B,$A156)</f>
        <v>2</v>
      </c>
      <c r="AA156" s="18">
        <f>COUNTIFS('보험청구'!$B:$B,$A156,'보험청구'!$J:$J,"미확인")</f>
        <v>0</v>
      </c>
      <c r="AB156" s="18">
        <f>SUMIF('보험청구'!$B:$B,$A156,'보험청구'!$I:$I)</f>
        <v>2736000</v>
      </c>
      <c r="AC156" s="18">
        <f>SUMIF('보험청구'!$B:$B,$A156,'보험청구'!$L:$L)</f>
        <v>0</v>
      </c>
      <c r="AD156" s="30">
        <v>46184.0</v>
      </c>
      <c r="AE156" s="30">
        <v>46202.0</v>
      </c>
      <c r="AF156" s="10">
        <f t="shared" si="4"/>
        <v>81</v>
      </c>
      <c r="AG156" s="10" t="str">
        <f t="shared" si="2"/>
        <v>정상</v>
      </c>
      <c r="AH156" s="25"/>
      <c r="AI156" s="10"/>
      <c r="AJ156" s="10"/>
    </row>
    <row r="157" ht="15.75" customHeight="1">
      <c r="A157" s="10" t="s">
        <v>1913</v>
      </c>
      <c r="B157" s="13" t="s">
        <v>3604</v>
      </c>
      <c r="C157" s="10" t="s">
        <v>66</v>
      </c>
      <c r="D157" s="14">
        <v>1.9411011E7</v>
      </c>
      <c r="E157" s="10" t="s">
        <v>3605</v>
      </c>
      <c r="F157" s="10" t="s">
        <v>987</v>
      </c>
      <c r="G157" s="13" t="s">
        <v>1324</v>
      </c>
      <c r="H157" s="15" t="s">
        <v>3291</v>
      </c>
      <c r="I157" s="10" t="s">
        <v>106</v>
      </c>
      <c r="J157" s="10" t="s">
        <v>3606</v>
      </c>
      <c r="K157" s="10" t="s">
        <v>3607</v>
      </c>
      <c r="L157" s="10">
        <v>2.606451229E9</v>
      </c>
      <c r="M157" s="10" t="s">
        <v>3608</v>
      </c>
      <c r="N157" s="10" t="s">
        <v>3609</v>
      </c>
      <c r="O157" s="10"/>
      <c r="P157" s="10"/>
      <c r="Q157" s="10"/>
      <c r="R157" s="10"/>
      <c r="S157" s="10" t="s">
        <v>269</v>
      </c>
      <c r="T157" s="10" t="s">
        <v>269</v>
      </c>
      <c r="U157" s="10" t="s">
        <v>322</v>
      </c>
      <c r="V157" s="10"/>
      <c r="W157" s="10" t="s">
        <v>56</v>
      </c>
      <c r="X157" s="18">
        <f>COUNTIF('간병인배정'!$B:$B,$A157)</f>
        <v>1</v>
      </c>
      <c r="Y157" s="18">
        <f>SUMIF('간병비지급'!$B:$B,$A157,'간병비지급'!$I:$I)</f>
        <v>3024000</v>
      </c>
      <c r="Z157" s="18">
        <f>COUNTIF('보험청구'!$B:$B,$A157)</f>
        <v>1</v>
      </c>
      <c r="AA157" s="18">
        <f>COUNTIFS('보험청구'!$B:$B,$A157,'보험청구'!$J:$J,"미확인")</f>
        <v>0</v>
      </c>
      <c r="AB157" s="18">
        <f>SUMIF('보험청구'!$B:$B,$A157,'보험청구'!$I:$I)</f>
        <v>1440000</v>
      </c>
      <c r="AC157" s="18">
        <f>SUMIF('보험청구'!$B:$B,$A157,'보험청구'!$L:$L)</f>
        <v>0</v>
      </c>
      <c r="AD157" s="30">
        <v>46183.0</v>
      </c>
      <c r="AE157" s="30">
        <v>46193.0</v>
      </c>
      <c r="AF157" s="10">
        <f t="shared" si="4"/>
        <v>90</v>
      </c>
      <c r="AG157" s="10" t="str">
        <f t="shared" si="2"/>
        <v>정상</v>
      </c>
      <c r="AH157" s="25"/>
      <c r="AI157" s="10"/>
      <c r="AJ157" s="10"/>
    </row>
    <row r="158" ht="15.75" customHeight="1">
      <c r="A158" s="10" t="s">
        <v>1930</v>
      </c>
      <c r="B158" s="13" t="s">
        <v>2462</v>
      </c>
      <c r="C158" s="10" t="s">
        <v>212</v>
      </c>
      <c r="D158" s="14">
        <v>1.9600914E7</v>
      </c>
      <c r="E158" s="10" t="s">
        <v>2465</v>
      </c>
      <c r="F158" s="10" t="s">
        <v>126</v>
      </c>
      <c r="G158" s="13" t="s">
        <v>3616</v>
      </c>
      <c r="H158" s="15" t="s">
        <v>3617</v>
      </c>
      <c r="I158" s="10" t="s">
        <v>106</v>
      </c>
      <c r="J158" s="10" t="s">
        <v>2469</v>
      </c>
      <c r="K158" s="10" t="s">
        <v>2471</v>
      </c>
      <c r="L158" s="20">
        <v>2.605075407E9</v>
      </c>
      <c r="M158" s="10"/>
      <c r="N158" s="20" t="s">
        <v>3618</v>
      </c>
      <c r="O158" s="10"/>
      <c r="P158" s="10"/>
      <c r="Q158" s="10"/>
      <c r="R158" s="10"/>
      <c r="S158" s="10" t="s">
        <v>1811</v>
      </c>
      <c r="T158" s="10" t="s">
        <v>1811</v>
      </c>
      <c r="U158" s="10" t="s">
        <v>322</v>
      </c>
      <c r="V158" s="10"/>
      <c r="W158" s="10" t="s">
        <v>56</v>
      </c>
      <c r="X158" s="18">
        <f>COUNTIF('간병인배정'!$B:$B,$A158)</f>
        <v>1</v>
      </c>
      <c r="Y158" s="18">
        <f>SUMIF('간병비지급'!$B:$B,$A158,'간병비지급'!$I:$I)</f>
        <v>280000</v>
      </c>
      <c r="Z158" s="18">
        <f>COUNTIF('보험청구'!$B:$B,$A158)</f>
        <v>2</v>
      </c>
      <c r="AA158" s="18">
        <f>COUNTIFS('보험청구'!$B:$B,$A158,'보험청구'!$J:$J,"미확인")</f>
        <v>0</v>
      </c>
      <c r="AB158" s="18">
        <f>SUMIF('보험청구'!$B:$B,$A158,'보험청구'!$I:$I)</f>
        <v>387000</v>
      </c>
      <c r="AC158" s="18">
        <f>SUMIF('보험청구'!$B:$B,$A158,'보험청구'!$L:$L)</f>
        <v>1161000</v>
      </c>
      <c r="AD158" s="30">
        <v>46184.0</v>
      </c>
      <c r="AE158" s="30">
        <v>46195.0</v>
      </c>
      <c r="AF158" s="10">
        <f t="shared" si="4"/>
        <v>88</v>
      </c>
      <c r="AG158" s="10" t="str">
        <f t="shared" si="2"/>
        <v>정상</v>
      </c>
      <c r="AH158" s="25"/>
      <c r="AI158" s="10"/>
      <c r="AJ158" s="10"/>
    </row>
    <row r="159" ht="15.75" customHeight="1">
      <c r="A159" s="10" t="s">
        <v>1939</v>
      </c>
      <c r="B159" s="13" t="s">
        <v>2462</v>
      </c>
      <c r="C159" s="10" t="s">
        <v>212</v>
      </c>
      <c r="D159" s="14">
        <v>1.9600914E7</v>
      </c>
      <c r="E159" s="10" t="s">
        <v>2465</v>
      </c>
      <c r="F159" s="10" t="s">
        <v>126</v>
      </c>
      <c r="G159" s="13" t="s">
        <v>3616</v>
      </c>
      <c r="H159" s="15" t="s">
        <v>3617</v>
      </c>
      <c r="I159" s="10" t="s">
        <v>106</v>
      </c>
      <c r="J159" s="10" t="s">
        <v>2469</v>
      </c>
      <c r="K159" s="10" t="s">
        <v>2471</v>
      </c>
      <c r="L159" s="20">
        <v>2.605075407E9</v>
      </c>
      <c r="M159" s="10"/>
      <c r="N159" s="20" t="s">
        <v>3618</v>
      </c>
      <c r="O159" s="10"/>
      <c r="P159" s="10"/>
      <c r="Q159" s="10"/>
      <c r="R159" s="10"/>
      <c r="S159" s="10" t="s">
        <v>1811</v>
      </c>
      <c r="T159" s="10" t="s">
        <v>1811</v>
      </c>
      <c r="U159" s="10" t="s">
        <v>322</v>
      </c>
      <c r="V159" s="10"/>
      <c r="W159" s="10" t="s">
        <v>56</v>
      </c>
      <c r="X159" s="18">
        <f>COUNTIF('간병인배정'!$B:$B,$A159)</f>
        <v>1</v>
      </c>
      <c r="Y159" s="18">
        <f>SUMIF('간병비지급'!$B:$B,$A159,'간병비지급'!$I:$I)</f>
        <v>1435000</v>
      </c>
      <c r="Z159" s="18">
        <f>COUNTIF('보험청구'!$B:$B,$A159)</f>
        <v>1</v>
      </c>
      <c r="AA159" s="18">
        <f>COUNTIFS('보험청구'!$B:$B,$A159,'보험청구'!$J:$J,"미확인")</f>
        <v>0</v>
      </c>
      <c r="AB159" s="18">
        <f>SUMIF('보험청구'!$B:$B,$A159,'보험청구'!$I:$I)</f>
        <v>1419000</v>
      </c>
      <c r="AC159" s="18">
        <f>SUMIF('보험청구'!$B:$B,$A159,'보험청구'!$L:$L)</f>
        <v>0</v>
      </c>
      <c r="AD159" s="30">
        <v>46197.0</v>
      </c>
      <c r="AE159" s="30">
        <v>46207.0</v>
      </c>
      <c r="AF159" s="10">
        <f t="shared" si="4"/>
        <v>76</v>
      </c>
      <c r="AG159" s="10" t="str">
        <f t="shared" si="2"/>
        <v>정상</v>
      </c>
      <c r="AH159" s="25"/>
      <c r="AI159" s="10"/>
      <c r="AJ159" s="10"/>
    </row>
    <row r="160" ht="15.75" customHeight="1">
      <c r="A160" s="10" t="s">
        <v>1946</v>
      </c>
      <c r="B160" s="13" t="s">
        <v>3627</v>
      </c>
      <c r="C160" s="10" t="s">
        <v>212</v>
      </c>
      <c r="D160" s="14">
        <v>1.9630409E7</v>
      </c>
      <c r="E160" s="10" t="s">
        <v>3628</v>
      </c>
      <c r="F160" s="10" t="s">
        <v>126</v>
      </c>
      <c r="G160" s="13" t="s">
        <v>392</v>
      </c>
      <c r="H160" s="15" t="s">
        <v>3629</v>
      </c>
      <c r="I160" s="10" t="s">
        <v>106</v>
      </c>
      <c r="J160" s="10" t="s">
        <v>3630</v>
      </c>
      <c r="K160" s="10" t="s">
        <v>3631</v>
      </c>
      <c r="L160" s="10">
        <v>2.606495121E9</v>
      </c>
      <c r="M160" s="10" t="s">
        <v>3632</v>
      </c>
      <c r="N160" s="10" t="s">
        <v>3634</v>
      </c>
      <c r="O160" s="10"/>
      <c r="P160" s="10"/>
      <c r="Q160" s="10"/>
      <c r="R160" s="10"/>
      <c r="S160" s="10" t="s">
        <v>1811</v>
      </c>
      <c r="T160" s="10" t="s">
        <v>1677</v>
      </c>
      <c r="U160" s="10" t="s">
        <v>322</v>
      </c>
      <c r="V160" s="10"/>
      <c r="W160" s="10" t="s">
        <v>56</v>
      </c>
      <c r="X160" s="18">
        <f>COUNTIF('간병인배정'!$B:$B,$A160)</f>
        <v>1</v>
      </c>
      <c r="Y160" s="18">
        <f>SUMIF('간병비지급'!$B:$B,$A160,'간병비지급'!$I:$I)</f>
        <v>1200000</v>
      </c>
      <c r="Z160" s="18">
        <f>COUNTIF('보험청구'!$B:$B,$A160)</f>
        <v>2</v>
      </c>
      <c r="AA160" s="18">
        <f>COUNTIFS('보험청구'!$B:$B,$A160,'보험청구'!$J:$J,"미확인")</f>
        <v>0</v>
      </c>
      <c r="AB160" s="18">
        <f>SUMIF('보험청구'!$B:$B,$A160,'보험청구'!$I:$I)</f>
        <v>0</v>
      </c>
      <c r="AC160" s="18">
        <f>SUMIF('보험청구'!$B:$B,$A160,'보험청구'!$L:$L)</f>
        <v>1152000</v>
      </c>
      <c r="AD160" s="30">
        <v>46186.0</v>
      </c>
      <c r="AE160" s="30">
        <v>46194.0</v>
      </c>
      <c r="AF160" s="10">
        <f t="shared" si="4"/>
        <v>89</v>
      </c>
      <c r="AG160" s="10" t="str">
        <f t="shared" si="2"/>
        <v>정상</v>
      </c>
      <c r="AH160" s="25"/>
      <c r="AI160" s="10"/>
      <c r="AJ160" s="10"/>
    </row>
    <row r="161" ht="15.75" customHeight="1">
      <c r="A161" s="10" t="s">
        <v>1963</v>
      </c>
      <c r="B161" s="13" t="s">
        <v>3639</v>
      </c>
      <c r="C161" s="10" t="s">
        <v>212</v>
      </c>
      <c r="D161" s="14">
        <v>1.9450604E7</v>
      </c>
      <c r="E161" s="10" t="s">
        <v>3640</v>
      </c>
      <c r="F161" s="10" t="s">
        <v>168</v>
      </c>
      <c r="G161" s="13" t="s">
        <v>3641</v>
      </c>
      <c r="H161" s="15" t="s">
        <v>3642</v>
      </c>
      <c r="I161" s="10" t="s">
        <v>106</v>
      </c>
      <c r="J161" s="10" t="s">
        <v>3644</v>
      </c>
      <c r="K161" s="10" t="s">
        <v>3645</v>
      </c>
      <c r="L161" s="10">
        <v>2.60649523E9</v>
      </c>
      <c r="M161" s="10" t="s">
        <v>3646</v>
      </c>
      <c r="N161" s="10" t="s">
        <v>3647</v>
      </c>
      <c r="O161" s="10"/>
      <c r="P161" s="10"/>
      <c r="Q161" s="10" t="s">
        <v>132</v>
      </c>
      <c r="R161" s="10"/>
      <c r="S161" s="10" t="s">
        <v>1811</v>
      </c>
      <c r="T161" s="10" t="s">
        <v>1811</v>
      </c>
      <c r="U161" s="10" t="s">
        <v>322</v>
      </c>
      <c r="V161" s="10"/>
      <c r="W161" s="10" t="s">
        <v>56</v>
      </c>
      <c r="X161" s="18">
        <f>COUNTIF('간병인배정'!$B:$B,$A161)</f>
        <v>1</v>
      </c>
      <c r="Y161" s="18">
        <f>SUMIF('간병비지급'!$B:$B,$A161,'간병비지급'!$I:$I)</f>
        <v>2550000</v>
      </c>
      <c r="Z161" s="18">
        <f>COUNTIF('보험청구'!$B:$B,$A161)</f>
        <v>2</v>
      </c>
      <c r="AA161" s="18">
        <f>COUNTIFS('보험청구'!$B:$B,$A161,'보험청구'!$J:$J,"미확인")</f>
        <v>0</v>
      </c>
      <c r="AB161" s="18">
        <f>SUMIF('보험청구'!$B:$B,$A161,'보험청구'!$I:$I)</f>
        <v>2278000</v>
      </c>
      <c r="AC161" s="18">
        <f>SUMIF('보험청구'!$B:$B,$A161,'보험청구'!$L:$L)</f>
        <v>0</v>
      </c>
      <c r="AD161" s="30">
        <v>46185.0</v>
      </c>
      <c r="AE161" s="30">
        <v>46202.0</v>
      </c>
      <c r="AF161" s="10">
        <f t="shared" si="4"/>
        <v>81</v>
      </c>
      <c r="AG161" s="10" t="str">
        <f t="shared" si="2"/>
        <v>정상</v>
      </c>
      <c r="AH161" s="25"/>
      <c r="AI161" s="10"/>
      <c r="AJ161" s="10"/>
    </row>
    <row r="162" ht="15.75" customHeight="1">
      <c r="A162" s="10" t="s">
        <v>1972</v>
      </c>
      <c r="B162" s="13" t="s">
        <v>3652</v>
      </c>
      <c r="C162" s="10" t="s">
        <v>66</v>
      </c>
      <c r="D162" s="14">
        <v>1.9781123E7</v>
      </c>
      <c r="E162" s="10" t="s">
        <v>3653</v>
      </c>
      <c r="F162" s="10" t="s">
        <v>69</v>
      </c>
      <c r="G162" s="13" t="s">
        <v>2441</v>
      </c>
      <c r="H162" s="15" t="s">
        <v>3654</v>
      </c>
      <c r="I162" s="10" t="s">
        <v>106</v>
      </c>
      <c r="J162" s="10" t="s">
        <v>3655</v>
      </c>
      <c r="K162" s="10" t="s">
        <v>1807</v>
      </c>
      <c r="L162" s="20">
        <v>2.606834097E9</v>
      </c>
      <c r="M162" s="10" t="s">
        <v>3656</v>
      </c>
      <c r="N162" s="10" t="s">
        <v>3657</v>
      </c>
      <c r="O162" s="10"/>
      <c r="P162" s="10"/>
      <c r="Q162" s="10" t="s">
        <v>77</v>
      </c>
      <c r="R162" s="10"/>
      <c r="S162" s="10" t="s">
        <v>1677</v>
      </c>
      <c r="T162" s="10" t="s">
        <v>780</v>
      </c>
      <c r="U162" s="10" t="s">
        <v>322</v>
      </c>
      <c r="V162" s="10"/>
      <c r="W162" s="10" t="s">
        <v>56</v>
      </c>
      <c r="X162" s="18">
        <f>COUNTIF('간병인배정'!$B:$B,$A162)</f>
        <v>1</v>
      </c>
      <c r="Y162" s="18">
        <f>SUMIF('간병비지급'!$B:$B,$A162,'간병비지급'!$I:$I)</f>
        <v>540000</v>
      </c>
      <c r="Z162" s="18">
        <f>COUNTIF('보험청구'!$B:$B,$A162)</f>
        <v>1</v>
      </c>
      <c r="AA162" s="18">
        <f>COUNTIFS('보험청구'!$B:$B,$A162,'보험청구'!$J:$J,"미확인")</f>
        <v>0</v>
      </c>
      <c r="AB162" s="18">
        <f>SUMIF('보험청구'!$B:$B,$A162,'보험청구'!$I:$I)</f>
        <v>560000</v>
      </c>
      <c r="AC162" s="18">
        <f>SUMIF('보험청구'!$B:$B,$A162,'보험청구'!$L:$L)</f>
        <v>0</v>
      </c>
      <c r="AD162" s="30">
        <v>46189.0</v>
      </c>
      <c r="AE162" s="30">
        <v>46192.0</v>
      </c>
      <c r="AF162" s="10">
        <f t="shared" si="4"/>
        <v>91</v>
      </c>
      <c r="AG162" s="10" t="str">
        <f t="shared" si="2"/>
        <v>정상</v>
      </c>
      <c r="AH162" s="25" t="s">
        <v>3662</v>
      </c>
      <c r="AI162" s="10"/>
      <c r="AJ162" s="10"/>
    </row>
    <row r="163" ht="15.75" customHeight="1">
      <c r="A163" s="10" t="s">
        <v>1988</v>
      </c>
      <c r="B163" s="13" t="s">
        <v>3652</v>
      </c>
      <c r="C163" s="10" t="s">
        <v>66</v>
      </c>
      <c r="D163" s="14">
        <v>1.9781123E7</v>
      </c>
      <c r="E163" s="10" t="s">
        <v>3653</v>
      </c>
      <c r="F163" s="10" t="s">
        <v>69</v>
      </c>
      <c r="G163" s="13" t="s">
        <v>2441</v>
      </c>
      <c r="H163" s="15" t="s">
        <v>3654</v>
      </c>
      <c r="I163" s="10" t="s">
        <v>106</v>
      </c>
      <c r="J163" s="10" t="s">
        <v>3655</v>
      </c>
      <c r="K163" s="10" t="s">
        <v>1807</v>
      </c>
      <c r="L163" s="10">
        <v>2.606560239E9</v>
      </c>
      <c r="M163" s="10" t="s">
        <v>3656</v>
      </c>
      <c r="N163" s="10" t="s">
        <v>3657</v>
      </c>
      <c r="O163" s="10"/>
      <c r="P163" s="10"/>
      <c r="Q163" s="10" t="s">
        <v>77</v>
      </c>
      <c r="R163" s="10"/>
      <c r="S163" s="10" t="s">
        <v>1677</v>
      </c>
      <c r="T163" s="10" t="s">
        <v>780</v>
      </c>
      <c r="U163" s="10" t="s">
        <v>322</v>
      </c>
      <c r="V163" s="10"/>
      <c r="W163" s="10" t="s">
        <v>56</v>
      </c>
      <c r="X163" s="18">
        <f>COUNTIF('간병인배정'!$B:$B,$A163)</f>
        <v>1</v>
      </c>
      <c r="Y163" s="18">
        <f>SUMIF('간병비지급'!$B:$B,$A163,'간병비지급'!$I:$I)</f>
        <v>135000</v>
      </c>
      <c r="Z163" s="18">
        <f>COUNTIF('보험청구'!$B:$B,$A163)</f>
        <v>1</v>
      </c>
      <c r="AA163" s="18">
        <f>COUNTIFS('보험청구'!$B:$B,$A163,'보험청구'!$J:$J,"미확인")</f>
        <v>0</v>
      </c>
      <c r="AB163" s="18">
        <f>SUMIF('보험청구'!$B:$B,$A163,'보험청구'!$I:$I)</f>
        <v>140000</v>
      </c>
      <c r="AC163" s="18">
        <f>SUMIF('보험청구'!$B:$B,$A163,'보험청구'!$L:$L)</f>
        <v>0</v>
      </c>
      <c r="AD163" s="30">
        <v>46192.0</v>
      </c>
      <c r="AE163" s="39">
        <v>46193.0</v>
      </c>
      <c r="AF163" s="10">
        <f t="shared" si="4"/>
        <v>90</v>
      </c>
      <c r="AG163" s="10" t="str">
        <f t="shared" si="2"/>
        <v>정상</v>
      </c>
      <c r="AH163" s="26" t="s">
        <v>3667</v>
      </c>
      <c r="AI163" s="10"/>
      <c r="AJ163" s="10"/>
    </row>
    <row r="164" ht="15.75" customHeight="1">
      <c r="A164" s="10" t="s">
        <v>1996</v>
      </c>
      <c r="B164" s="13" t="s">
        <v>3669</v>
      </c>
      <c r="C164" s="10" t="s">
        <v>66</v>
      </c>
      <c r="D164" s="14">
        <v>1.9471003E7</v>
      </c>
      <c r="E164" s="10" t="s">
        <v>3670</v>
      </c>
      <c r="F164" s="10" t="s">
        <v>1274</v>
      </c>
      <c r="G164" s="13" t="s">
        <v>2643</v>
      </c>
      <c r="H164" s="15" t="s">
        <v>3672</v>
      </c>
      <c r="I164" s="10" t="s">
        <v>106</v>
      </c>
      <c r="J164" s="10" t="s">
        <v>3673</v>
      </c>
      <c r="K164" s="10" t="s">
        <v>3674</v>
      </c>
      <c r="L164" s="10">
        <v>2.606560523E9</v>
      </c>
      <c r="M164" s="10" t="s">
        <v>519</v>
      </c>
      <c r="N164" s="10" t="s">
        <v>520</v>
      </c>
      <c r="O164" s="10"/>
      <c r="P164" s="10"/>
      <c r="Q164" s="10" t="s">
        <v>132</v>
      </c>
      <c r="R164" s="10"/>
      <c r="S164" s="10" t="s">
        <v>1677</v>
      </c>
      <c r="T164" s="10" t="s">
        <v>1677</v>
      </c>
      <c r="U164" s="10" t="s">
        <v>322</v>
      </c>
      <c r="V164" s="10"/>
      <c r="W164" s="10" t="s">
        <v>56</v>
      </c>
      <c r="X164" s="18">
        <f>COUNTIF('간병인배정'!$B:$B,$A164)</f>
        <v>1</v>
      </c>
      <c r="Y164" s="18">
        <f>SUMIF('간병비지급'!$B:$B,$A164,'간병비지급'!$I:$I)</f>
        <v>1820000</v>
      </c>
      <c r="Z164" s="18">
        <f>COUNTIF('보험청구'!$B:$B,$A164)</f>
        <v>2</v>
      </c>
      <c r="AA164" s="18">
        <f>COUNTIFS('보험청구'!$B:$B,$A164,'보험청구'!$J:$J,"미확인")</f>
        <v>0</v>
      </c>
      <c r="AB164" s="18">
        <f>SUMIF('보험청구'!$B:$B,$A164,'보험청구'!$I:$I)</f>
        <v>2016000</v>
      </c>
      <c r="AC164" s="18">
        <f>SUMIF('보험청구'!$B:$B,$A164,'보험청구'!$L:$L)</f>
        <v>0</v>
      </c>
      <c r="AD164" s="30">
        <v>46185.0</v>
      </c>
      <c r="AE164" s="30">
        <v>46199.0</v>
      </c>
      <c r="AF164" s="10">
        <f t="shared" si="4"/>
        <v>84</v>
      </c>
      <c r="AG164" s="10" t="str">
        <f t="shared" si="2"/>
        <v>정상</v>
      </c>
      <c r="AH164" s="25" t="s">
        <v>3678</v>
      </c>
      <c r="AI164" s="10"/>
      <c r="AJ164" s="10"/>
    </row>
    <row r="165" ht="15.75" customHeight="1">
      <c r="A165" s="10" t="s">
        <v>2006</v>
      </c>
      <c r="B165" s="13" t="s">
        <v>3679</v>
      </c>
      <c r="C165" s="10" t="s">
        <v>212</v>
      </c>
      <c r="D165" s="14">
        <v>1.9550509E7</v>
      </c>
      <c r="E165" s="10" t="s">
        <v>3680</v>
      </c>
      <c r="F165" s="10" t="s">
        <v>1104</v>
      </c>
      <c r="G165" s="13" t="s">
        <v>3681</v>
      </c>
      <c r="H165" s="15" t="s">
        <v>3682</v>
      </c>
      <c r="I165" s="10" t="s">
        <v>106</v>
      </c>
      <c r="J165" s="10" t="s">
        <v>3683</v>
      </c>
      <c r="K165" s="10" t="s">
        <v>3684</v>
      </c>
      <c r="L165" s="10">
        <v>2.606661167E9</v>
      </c>
      <c r="M165" s="10" t="s">
        <v>3685</v>
      </c>
      <c r="N165" s="10" t="s">
        <v>3686</v>
      </c>
      <c r="O165" s="10"/>
      <c r="P165" s="10"/>
      <c r="Q165" s="10" t="s">
        <v>77</v>
      </c>
      <c r="R165" s="10"/>
      <c r="S165" s="10" t="s">
        <v>282</v>
      </c>
      <c r="T165" s="10" t="s">
        <v>150</v>
      </c>
      <c r="U165" s="10" t="s">
        <v>322</v>
      </c>
      <c r="V165" s="10"/>
      <c r="W165" s="10" t="s">
        <v>56</v>
      </c>
      <c r="X165" s="18">
        <f>COUNTIF('간병인배정'!$B:$B,$A165)</f>
        <v>1</v>
      </c>
      <c r="Y165" s="18">
        <f>SUMIF('간병비지급'!$B:$B,$A165,'간병비지급'!$I:$I)</f>
        <v>1920000</v>
      </c>
      <c r="Z165" s="18">
        <f>COUNTIF('보험청구'!$B:$B,$A165)</f>
        <v>2</v>
      </c>
      <c r="AA165" s="18">
        <f>COUNTIFS('보험청구'!$B:$B,$A165,'보험청구'!$J:$J,"미확인")</f>
        <v>0</v>
      </c>
      <c r="AB165" s="18">
        <f>SUMIF('보험청구'!$B:$B,$A165,'보험청구'!$I:$I)</f>
        <v>1620000</v>
      </c>
      <c r="AC165" s="18">
        <f>SUMIF('보험청구'!$B:$B,$A165,'보험청구'!$L:$L)</f>
        <v>0</v>
      </c>
      <c r="AD165" s="30">
        <v>46190.0</v>
      </c>
      <c r="AE165" s="30">
        <v>46202.0</v>
      </c>
      <c r="AF165" s="10">
        <f t="shared" si="4"/>
        <v>81</v>
      </c>
      <c r="AG165" s="10" t="str">
        <f t="shared" si="2"/>
        <v>정상</v>
      </c>
      <c r="AH165" s="25"/>
      <c r="AI165" s="10"/>
      <c r="AJ165" s="10"/>
    </row>
    <row r="166" ht="15.75" customHeight="1">
      <c r="A166" s="10" t="s">
        <v>2018</v>
      </c>
      <c r="B166" s="13" t="s">
        <v>3679</v>
      </c>
      <c r="C166" s="10" t="s">
        <v>212</v>
      </c>
      <c r="D166" s="14">
        <v>1.9550509E7</v>
      </c>
      <c r="E166" s="10" t="s">
        <v>3680</v>
      </c>
      <c r="F166" s="10" t="s">
        <v>1104</v>
      </c>
      <c r="G166" s="13" t="s">
        <v>3681</v>
      </c>
      <c r="H166" s="15" t="s">
        <v>3682</v>
      </c>
      <c r="I166" s="10" t="s">
        <v>106</v>
      </c>
      <c r="J166" s="10" t="s">
        <v>3683</v>
      </c>
      <c r="K166" s="10" t="s">
        <v>3684</v>
      </c>
      <c r="L166" s="10">
        <v>2.606661167E9</v>
      </c>
      <c r="M166" s="10" t="s">
        <v>3685</v>
      </c>
      <c r="N166" s="10" t="s">
        <v>3686</v>
      </c>
      <c r="O166" s="10"/>
      <c r="P166" s="10"/>
      <c r="Q166" s="10" t="s">
        <v>77</v>
      </c>
      <c r="R166" s="10"/>
      <c r="S166" s="10" t="s">
        <v>282</v>
      </c>
      <c r="T166" s="10" t="s">
        <v>150</v>
      </c>
      <c r="U166" s="10" t="s">
        <v>322</v>
      </c>
      <c r="V166" s="10"/>
      <c r="W166" s="10" t="s">
        <v>56</v>
      </c>
      <c r="X166" s="18">
        <f>COUNTIF('간병인배정'!$B:$B,$A166)</f>
        <v>1</v>
      </c>
      <c r="Y166" s="18">
        <f>SUMIF('간병비지급'!$B:$B,$A166,'간병비지급'!$I:$I)</f>
        <v>5700000</v>
      </c>
      <c r="Z166" s="18">
        <f>COUNTIF('보험청구'!$B:$B,$A166)</f>
        <v>4</v>
      </c>
      <c r="AA166" s="18">
        <f>COUNTIFS('보험청구'!$B:$B,$A166,'보험청구'!$J:$J,"미확인")</f>
        <v>0</v>
      </c>
      <c r="AB166" s="18">
        <f>SUMIF('보험청구'!$B:$B,$A166,'보험청구'!$I:$I)</f>
        <v>5130000</v>
      </c>
      <c r="AC166" s="18">
        <f>SUMIF('보험청구'!$B:$B,$A166,'보험청구'!$L:$L)</f>
        <v>0</v>
      </c>
      <c r="AD166" s="30">
        <v>46202.0</v>
      </c>
      <c r="AE166" s="30">
        <v>46240.0</v>
      </c>
      <c r="AF166" s="10">
        <f t="shared" si="4"/>
        <v>43</v>
      </c>
      <c r="AG166" s="10" t="str">
        <f t="shared" si="2"/>
        <v>정상</v>
      </c>
      <c r="AH166" s="25"/>
      <c r="AI166" s="10"/>
      <c r="AJ166" s="10"/>
    </row>
    <row r="167" ht="15.75" customHeight="1">
      <c r="A167" s="10" t="s">
        <v>2029</v>
      </c>
      <c r="B167" s="13" t="s">
        <v>3700</v>
      </c>
      <c r="C167" s="10" t="s">
        <v>212</v>
      </c>
      <c r="D167" s="14">
        <v>1.9970305E7</v>
      </c>
      <c r="E167" s="10" t="s">
        <v>3701</v>
      </c>
      <c r="F167" s="10" t="s">
        <v>1274</v>
      </c>
      <c r="G167" s="13" t="s">
        <v>2441</v>
      </c>
      <c r="H167" s="15" t="s">
        <v>3702</v>
      </c>
      <c r="I167" s="10" t="s">
        <v>106</v>
      </c>
      <c r="J167" s="10" t="s">
        <v>3703</v>
      </c>
      <c r="K167" s="10" t="s">
        <v>3704</v>
      </c>
      <c r="L167" s="10">
        <v>2.606613322E9</v>
      </c>
      <c r="M167" s="10" t="s">
        <v>3705</v>
      </c>
      <c r="N167" s="10" t="s">
        <v>3706</v>
      </c>
      <c r="O167" s="10"/>
      <c r="P167" s="10"/>
      <c r="Q167" s="10" t="s">
        <v>77</v>
      </c>
      <c r="R167" s="10"/>
      <c r="S167" s="10" t="s">
        <v>282</v>
      </c>
      <c r="T167" s="10" t="s">
        <v>282</v>
      </c>
      <c r="U167" s="10"/>
      <c r="V167" s="10"/>
      <c r="W167" s="10" t="s">
        <v>56</v>
      </c>
      <c r="X167" s="18">
        <f>COUNTIF('간병인배정'!$B:$B,$A167)</f>
        <v>1</v>
      </c>
      <c r="Y167" s="18">
        <f>SUMIF('간병비지급'!$B:$B,$A167,'간병비지급'!$I:$I)</f>
        <v>520000</v>
      </c>
      <c r="Z167" s="18">
        <f>COUNTIF('보험청구'!$B:$B,$A167)</f>
        <v>1</v>
      </c>
      <c r="AA167" s="18">
        <f>COUNTIFS('보험청구'!$B:$B,$A167,'보험청구'!$J:$J,"미확인")</f>
        <v>0</v>
      </c>
      <c r="AB167" s="18">
        <f>SUMIF('보험청구'!$B:$B,$A167,'보험청구'!$I:$I)</f>
        <v>576000</v>
      </c>
      <c r="AC167" s="18">
        <f>SUMIF('보험청구'!$B:$B,$A167,'보험청구'!$L:$L)</f>
        <v>0</v>
      </c>
      <c r="AD167" s="30">
        <v>46188.0</v>
      </c>
      <c r="AE167" s="30">
        <v>46192.0</v>
      </c>
      <c r="AF167" s="10">
        <f t="shared" si="4"/>
        <v>91</v>
      </c>
      <c r="AG167" s="10" t="str">
        <f t="shared" si="2"/>
        <v>정상</v>
      </c>
      <c r="AH167" s="25"/>
      <c r="AI167" s="10"/>
      <c r="AJ167" s="10"/>
    </row>
    <row r="168" ht="15.75" customHeight="1">
      <c r="A168" s="10" t="s">
        <v>2039</v>
      </c>
      <c r="B168" s="13" t="s">
        <v>3709</v>
      </c>
      <c r="C168" s="10" t="s">
        <v>66</v>
      </c>
      <c r="D168" s="14">
        <v>1.9720526E7</v>
      </c>
      <c r="E168" s="10" t="s">
        <v>3711</v>
      </c>
      <c r="F168" s="10" t="s">
        <v>1274</v>
      </c>
      <c r="G168" s="13" t="s">
        <v>2643</v>
      </c>
      <c r="H168" s="15" t="s">
        <v>3712</v>
      </c>
      <c r="I168" s="10" t="s">
        <v>73</v>
      </c>
      <c r="J168" s="10" t="s">
        <v>3713</v>
      </c>
      <c r="K168" s="10" t="s">
        <v>3714</v>
      </c>
      <c r="L168" s="10">
        <v>2.606748497E9</v>
      </c>
      <c r="M168" s="10"/>
      <c r="N168" s="10" t="s">
        <v>3716</v>
      </c>
      <c r="O168" s="10"/>
      <c r="P168" s="10"/>
      <c r="Q168" s="10" t="s">
        <v>77</v>
      </c>
      <c r="R168" s="10"/>
      <c r="S168" s="10" t="s">
        <v>3718</v>
      </c>
      <c r="T168" s="10"/>
      <c r="U168" s="10"/>
      <c r="V168" s="10"/>
      <c r="W168" s="10" t="s">
        <v>56</v>
      </c>
      <c r="X168" s="18">
        <f>COUNTIF('간병인배정'!$B:$B,$A168)</f>
        <v>1</v>
      </c>
      <c r="Y168" s="18">
        <f>SUMIF('간병비지급'!$B:$B,$A168,'간병비지급'!$I:$I)</f>
        <v>180000</v>
      </c>
      <c r="Z168" s="18">
        <f>COUNTIF('보험청구'!$B:$B,$A168)</f>
        <v>1</v>
      </c>
      <c r="AA168" s="18">
        <f>COUNTIFS('보험청구'!$B:$B,$A168,'보험청구'!$J:$J,"미확인")</f>
        <v>0</v>
      </c>
      <c r="AB168" s="18">
        <f>SUMIF('보험청구'!$B:$B,$A168,'보험청구'!$I:$I)</f>
        <v>258000</v>
      </c>
      <c r="AC168" s="18">
        <f>SUMIF('보험청구'!$B:$B,$A168,'보험청구'!$L:$L)</f>
        <v>0</v>
      </c>
      <c r="AD168" s="30">
        <v>46191.0</v>
      </c>
      <c r="AE168" s="30">
        <v>46193.0</v>
      </c>
      <c r="AF168" s="10">
        <f t="shared" si="4"/>
        <v>90</v>
      </c>
      <c r="AG168" s="10" t="str">
        <f t="shared" si="2"/>
        <v>정상</v>
      </c>
      <c r="AH168" s="25"/>
      <c r="AI168" s="10"/>
      <c r="AJ168" s="10"/>
    </row>
    <row r="169" ht="15.75" customHeight="1">
      <c r="A169" s="10" t="s">
        <v>2048</v>
      </c>
      <c r="B169" s="13" t="s">
        <v>3709</v>
      </c>
      <c r="C169" s="10" t="s">
        <v>66</v>
      </c>
      <c r="D169" s="14">
        <v>1.9720526E7</v>
      </c>
      <c r="E169" s="10" t="s">
        <v>3711</v>
      </c>
      <c r="F169" s="10" t="s">
        <v>1274</v>
      </c>
      <c r="G169" s="13" t="s">
        <v>2643</v>
      </c>
      <c r="H169" s="15" t="s">
        <v>3712</v>
      </c>
      <c r="I169" s="10" t="s">
        <v>73</v>
      </c>
      <c r="J169" s="10" t="s">
        <v>3713</v>
      </c>
      <c r="K169" s="10" t="s">
        <v>3714</v>
      </c>
      <c r="L169" s="10">
        <v>2.606748497E9</v>
      </c>
      <c r="M169" s="10"/>
      <c r="N169" s="10" t="s">
        <v>3716</v>
      </c>
      <c r="O169" s="10"/>
      <c r="P169" s="10"/>
      <c r="Q169" s="10" t="s">
        <v>77</v>
      </c>
      <c r="R169" s="10"/>
      <c r="S169" s="10" t="s">
        <v>3718</v>
      </c>
      <c r="T169" s="10"/>
      <c r="U169" s="10"/>
      <c r="V169" s="10"/>
      <c r="W169" s="10" t="s">
        <v>56</v>
      </c>
      <c r="X169" s="18">
        <f>COUNTIF('간병인배정'!$B:$B,$A169)</f>
        <v>1</v>
      </c>
      <c r="Y169" s="18">
        <f>SUMIF('간병비지급'!$B:$B,$A169,'간병비지급'!$I:$I)</f>
        <v>180000</v>
      </c>
      <c r="Z169" s="18">
        <f>COUNTIF('보험청구'!$B:$B,$A169)</f>
        <v>1</v>
      </c>
      <c r="AA169" s="18">
        <f>COUNTIFS('보험청구'!$B:$B,$A169,'보험청구'!$J:$J,"미확인")</f>
        <v>0</v>
      </c>
      <c r="AB169" s="18">
        <f>SUMIF('보험청구'!$B:$B,$A169,'보험청구'!$I:$I)</f>
        <v>688000</v>
      </c>
      <c r="AC169" s="18">
        <f>SUMIF('보험청구'!$B:$B,$A169,'보험청구'!$L:$L)</f>
        <v>0</v>
      </c>
      <c r="AD169" s="30">
        <v>46226.0</v>
      </c>
      <c r="AE169" s="30">
        <v>46228.0</v>
      </c>
      <c r="AF169" s="10">
        <f t="shared" si="4"/>
        <v>55</v>
      </c>
      <c r="AG169" s="10" t="str">
        <f t="shared" si="2"/>
        <v>정상</v>
      </c>
      <c r="AH169" s="25"/>
      <c r="AI169" s="10"/>
      <c r="AJ169" s="10"/>
    </row>
    <row r="170" ht="15.75" customHeight="1">
      <c r="A170" s="10" t="s">
        <v>2056</v>
      </c>
      <c r="B170" s="13" t="s">
        <v>3709</v>
      </c>
      <c r="C170" s="10" t="s">
        <v>66</v>
      </c>
      <c r="D170" s="14">
        <v>1.9720526E7</v>
      </c>
      <c r="E170" s="10" t="s">
        <v>3711</v>
      </c>
      <c r="F170" s="10" t="s">
        <v>1274</v>
      </c>
      <c r="G170" s="13" t="s">
        <v>2643</v>
      </c>
      <c r="H170" s="15" t="s">
        <v>3712</v>
      </c>
      <c r="I170" s="10" t="s">
        <v>73</v>
      </c>
      <c r="J170" s="10" t="s">
        <v>3713</v>
      </c>
      <c r="K170" s="10" t="s">
        <v>3714</v>
      </c>
      <c r="L170" s="79">
        <v>2.604548471E9</v>
      </c>
      <c r="M170" s="20" t="s">
        <v>3726</v>
      </c>
      <c r="N170" s="10" t="s">
        <v>3716</v>
      </c>
      <c r="O170" s="10"/>
      <c r="P170" s="10"/>
      <c r="Q170" s="10" t="s">
        <v>77</v>
      </c>
      <c r="R170" s="10"/>
      <c r="S170" s="10" t="s">
        <v>3718</v>
      </c>
      <c r="T170" s="10"/>
      <c r="U170" s="10"/>
      <c r="V170" s="10"/>
      <c r="W170" s="20" t="s">
        <v>56</v>
      </c>
      <c r="X170" s="18">
        <f>COUNTIF('간병인배정'!$B:$B,$A170)</f>
        <v>1</v>
      </c>
      <c r="Y170" s="18">
        <f>SUMIF('간병비지급'!$B:$B,$A170,'간병비지급'!$I:$I)</f>
        <v>1050000</v>
      </c>
      <c r="Z170" s="18">
        <f>COUNTIF('보험청구'!$B:$B,$A170)</f>
        <v>1</v>
      </c>
      <c r="AA170" s="18">
        <f>COUNTIFS('보험청구'!$B:$B,$A170,'보험청구'!$J:$J,"미확인")</f>
        <v>0</v>
      </c>
      <c r="AB170" s="18">
        <f>SUMIF('보험청구'!$B:$B,$A170,'보험청구'!$I:$I)</f>
        <v>1204000</v>
      </c>
      <c r="AC170" s="18">
        <f>SUMIF('보험청구'!$B:$B,$A170,'보험청구'!$L:$L)</f>
        <v>0</v>
      </c>
      <c r="AD170" s="30">
        <v>46229.0</v>
      </c>
      <c r="AE170" s="39">
        <v>46244.0</v>
      </c>
      <c r="AF170" s="10">
        <f t="shared" si="4"/>
        <v>39</v>
      </c>
      <c r="AG170" s="10" t="str">
        <f t="shared" si="2"/>
        <v>정상</v>
      </c>
      <c r="AH170" s="26" t="s">
        <v>3729</v>
      </c>
      <c r="AI170" s="10"/>
      <c r="AJ170" s="10"/>
    </row>
    <row r="171" ht="15.75" customHeight="1">
      <c r="A171" s="10" t="s">
        <v>2067</v>
      </c>
      <c r="B171" s="13" t="s">
        <v>3730</v>
      </c>
      <c r="C171" s="10" t="s">
        <v>212</v>
      </c>
      <c r="D171" s="14">
        <v>1.9430911E7</v>
      </c>
      <c r="E171" s="10" t="s">
        <v>3732</v>
      </c>
      <c r="F171" s="10" t="s">
        <v>1104</v>
      </c>
      <c r="G171" s="13" t="s">
        <v>1589</v>
      </c>
      <c r="H171" s="15" t="s">
        <v>3425</v>
      </c>
      <c r="I171" s="10" t="s">
        <v>106</v>
      </c>
      <c r="J171" s="10" t="s">
        <v>3734</v>
      </c>
      <c r="K171" s="10" t="s">
        <v>3735</v>
      </c>
      <c r="L171" s="10">
        <v>2.606813032E9</v>
      </c>
      <c r="M171" s="10" t="s">
        <v>3736</v>
      </c>
      <c r="N171" s="10" t="s">
        <v>3737</v>
      </c>
      <c r="O171" s="10"/>
      <c r="P171" s="10"/>
      <c r="Q171" s="10" t="s">
        <v>77</v>
      </c>
      <c r="R171" s="10"/>
      <c r="S171" s="10" t="s">
        <v>791</v>
      </c>
      <c r="T171" s="10" t="s">
        <v>791</v>
      </c>
      <c r="U171" s="10" t="s">
        <v>322</v>
      </c>
      <c r="V171" s="10"/>
      <c r="W171" s="10" t="s">
        <v>56</v>
      </c>
      <c r="X171" s="18">
        <f>COUNTIF('간병인배정'!$B:$B,$A171)</f>
        <v>1</v>
      </c>
      <c r="Y171" s="18">
        <f>SUMIF('간병비지급'!$B:$B,$A171,'간병비지급'!$I:$I)</f>
        <v>140000</v>
      </c>
      <c r="Z171" s="18">
        <f>COUNTIF('보험청구'!$B:$B,$A171)</f>
        <v>1</v>
      </c>
      <c r="AA171" s="18">
        <f>COUNTIFS('보험청구'!$B:$B,$A171,'보험청구'!$J:$J,"미확인")</f>
        <v>0</v>
      </c>
      <c r="AB171" s="18">
        <f>SUMIF('보험청구'!$B:$B,$A171,'보험청구'!$I:$I)</f>
        <v>144000</v>
      </c>
      <c r="AC171" s="18">
        <f>SUMIF('보험청구'!$B:$B,$A171,'보험청구'!$L:$L)</f>
        <v>0</v>
      </c>
      <c r="AD171" s="30">
        <v>46192.0</v>
      </c>
      <c r="AE171" s="30">
        <v>46193.0</v>
      </c>
      <c r="AF171" s="10">
        <f t="shared" si="4"/>
        <v>90</v>
      </c>
      <c r="AG171" s="10" t="str">
        <f t="shared" si="2"/>
        <v>정상</v>
      </c>
      <c r="AH171" s="25"/>
      <c r="AI171" s="10"/>
      <c r="AJ171" s="10"/>
    </row>
    <row r="172" ht="15.75" customHeight="1">
      <c r="A172" s="10" t="s">
        <v>2075</v>
      </c>
      <c r="B172" s="13" t="s">
        <v>3730</v>
      </c>
      <c r="C172" s="10" t="s">
        <v>212</v>
      </c>
      <c r="D172" s="14">
        <v>1.9430911E7</v>
      </c>
      <c r="E172" s="10" t="s">
        <v>3732</v>
      </c>
      <c r="F172" s="10" t="s">
        <v>1104</v>
      </c>
      <c r="G172" s="13" t="s">
        <v>1589</v>
      </c>
      <c r="H172" s="15" t="s">
        <v>3425</v>
      </c>
      <c r="I172" s="10" t="s">
        <v>106</v>
      </c>
      <c r="J172" s="10" t="s">
        <v>3734</v>
      </c>
      <c r="K172" s="10" t="s">
        <v>3735</v>
      </c>
      <c r="L172" s="10">
        <v>2.606813032E9</v>
      </c>
      <c r="M172" s="10"/>
      <c r="N172" s="10"/>
      <c r="O172" s="10"/>
      <c r="P172" s="10"/>
      <c r="Q172" s="10" t="s">
        <v>77</v>
      </c>
      <c r="R172" s="10"/>
      <c r="S172" s="10" t="s">
        <v>3748</v>
      </c>
      <c r="T172" s="10" t="s">
        <v>645</v>
      </c>
      <c r="U172" s="10" t="s">
        <v>322</v>
      </c>
      <c r="V172" s="10"/>
      <c r="W172" s="20" t="s">
        <v>56</v>
      </c>
      <c r="X172" s="18">
        <f>COUNTIF('간병인배정'!$B:$B,$A172)</f>
        <v>1</v>
      </c>
      <c r="Y172" s="18">
        <f>SUMIF('간병비지급'!$B:$B,$A172,'간병비지급'!$I:$I)</f>
        <v>2240000</v>
      </c>
      <c r="Z172" s="18">
        <f>COUNTIF('보험청구'!$B:$B,$A172)</f>
        <v>2</v>
      </c>
      <c r="AA172" s="18">
        <f>COUNTIFS('보험청구'!$B:$B,$A172,'보험청구'!$J:$J,"미확인")</f>
        <v>0</v>
      </c>
      <c r="AB172" s="18">
        <f>SUMIF('보험청구'!$B:$B,$A172,'보험청구'!$I:$I)</f>
        <v>0</v>
      </c>
      <c r="AC172" s="18">
        <f>SUMIF('보험청구'!$B:$B,$A172,'보험청구'!$L:$L)</f>
        <v>2304000</v>
      </c>
      <c r="AD172" s="30">
        <v>46244.0</v>
      </c>
      <c r="AE172" s="39">
        <v>46254.0</v>
      </c>
      <c r="AF172" s="10">
        <f t="shared" si="4"/>
        <v>29</v>
      </c>
      <c r="AG172" s="10" t="str">
        <f t="shared" si="2"/>
        <v>정상</v>
      </c>
      <c r="AH172" s="25" t="s">
        <v>3753</v>
      </c>
      <c r="AI172" s="10"/>
      <c r="AJ172" s="10"/>
    </row>
    <row r="173" ht="15.75" customHeight="1">
      <c r="A173" s="10" t="s">
        <v>2082</v>
      </c>
      <c r="B173" s="13" t="s">
        <v>3754</v>
      </c>
      <c r="C173" s="10" t="s">
        <v>66</v>
      </c>
      <c r="D173" s="14">
        <v>1.9560227E7</v>
      </c>
      <c r="E173" s="10" t="s">
        <v>3755</v>
      </c>
      <c r="F173" s="10" t="s">
        <v>1274</v>
      </c>
      <c r="G173" s="13" t="s">
        <v>2643</v>
      </c>
      <c r="H173" s="15" t="s">
        <v>3756</v>
      </c>
      <c r="I173" s="10" t="s">
        <v>106</v>
      </c>
      <c r="J173" s="10" t="s">
        <v>3757</v>
      </c>
      <c r="K173" s="10" t="s">
        <v>3758</v>
      </c>
      <c r="L173" s="10">
        <v>2.606865509E9</v>
      </c>
      <c r="M173" s="10" t="s">
        <v>3759</v>
      </c>
      <c r="N173" s="10" t="s">
        <v>3760</v>
      </c>
      <c r="O173" s="10"/>
      <c r="P173" s="10"/>
      <c r="Q173" s="10" t="s">
        <v>77</v>
      </c>
      <c r="R173" s="10"/>
      <c r="S173" s="10" t="s">
        <v>1935</v>
      </c>
      <c r="T173" s="10" t="s">
        <v>3762</v>
      </c>
      <c r="U173" s="10" t="s">
        <v>322</v>
      </c>
      <c r="V173" s="10"/>
      <c r="W173" s="10" t="s">
        <v>56</v>
      </c>
      <c r="X173" s="18">
        <f>COUNTIF('간병인배정'!$B:$B,$A173)</f>
        <v>1</v>
      </c>
      <c r="Y173" s="18">
        <f>SUMIF('간병비지급'!$B:$B,$A173,'간병비지급'!$I:$I)</f>
        <v>1160000</v>
      </c>
      <c r="Z173" s="18">
        <f>COUNTIF('보험청구'!$B:$B,$A173)</f>
        <v>1</v>
      </c>
      <c r="AA173" s="18">
        <f>COUNTIFS('보험청구'!$B:$B,$A173,'보험청구'!$J:$J,"미확인")</f>
        <v>0</v>
      </c>
      <c r="AB173" s="18">
        <f>SUMIF('보험청구'!$B:$B,$A173,'보험청구'!$I:$I)</f>
        <v>1352000</v>
      </c>
      <c r="AC173" s="18">
        <f>SUMIF('보험청구'!$B:$B,$A173,'보험청구'!$L:$L)</f>
        <v>0</v>
      </c>
      <c r="AD173" s="30">
        <v>46196.0</v>
      </c>
      <c r="AE173" s="30">
        <v>46204.0</v>
      </c>
      <c r="AF173" s="10">
        <f t="shared" si="4"/>
        <v>79</v>
      </c>
      <c r="AG173" s="10" t="str">
        <f t="shared" si="2"/>
        <v>정상</v>
      </c>
      <c r="AH173" s="25"/>
      <c r="AI173" s="10"/>
      <c r="AJ173" s="10"/>
    </row>
    <row r="174" ht="15.75" customHeight="1">
      <c r="A174" s="10" t="s">
        <v>2091</v>
      </c>
      <c r="B174" s="13" t="s">
        <v>3754</v>
      </c>
      <c r="C174" s="10" t="s">
        <v>66</v>
      </c>
      <c r="D174" s="14">
        <v>1.9560227E7</v>
      </c>
      <c r="E174" s="10" t="s">
        <v>3755</v>
      </c>
      <c r="F174" s="10" t="s">
        <v>1274</v>
      </c>
      <c r="G174" s="13" t="s">
        <v>2643</v>
      </c>
      <c r="H174" s="15" t="s">
        <v>3756</v>
      </c>
      <c r="I174" s="10" t="s">
        <v>106</v>
      </c>
      <c r="J174" s="10" t="s">
        <v>3757</v>
      </c>
      <c r="K174" s="10" t="s">
        <v>3758</v>
      </c>
      <c r="L174" s="10">
        <v>2.606865509E9</v>
      </c>
      <c r="M174" s="10" t="s">
        <v>3759</v>
      </c>
      <c r="N174" s="10" t="s">
        <v>3760</v>
      </c>
      <c r="O174" s="10"/>
      <c r="P174" s="10"/>
      <c r="Q174" s="10" t="s">
        <v>77</v>
      </c>
      <c r="R174" s="10"/>
      <c r="S174" s="10" t="s">
        <v>1935</v>
      </c>
      <c r="T174" s="10" t="s">
        <v>3762</v>
      </c>
      <c r="U174" s="10" t="s">
        <v>322</v>
      </c>
      <c r="V174" s="10"/>
      <c r="W174" s="10" t="s">
        <v>65</v>
      </c>
      <c r="X174" s="18">
        <f>COUNTIF('간병인배정'!$B:$B,$A174)</f>
        <v>1</v>
      </c>
      <c r="Y174" s="18">
        <f>SUMIF('간병비지급'!$B:$B,$A174,'간병비지급'!$I:$I)</f>
        <v>11745000</v>
      </c>
      <c r="Z174" s="18">
        <f>COUNTIF('보험청구'!$B:$B,$A174)</f>
        <v>8</v>
      </c>
      <c r="AA174" s="18">
        <f>COUNTIFS('보험청구'!$B:$B,$A174,'보험청구'!$J:$J,"미확인")</f>
        <v>0</v>
      </c>
      <c r="AB174" s="18">
        <f>SUMIF('보험청구'!$B:$B,$A174,'보험청구'!$I:$I)</f>
        <v>8450000</v>
      </c>
      <c r="AC174" s="18">
        <f>SUMIF('보험청구'!$B:$B,$A174,'보험청구'!$L:$L)</f>
        <v>4699000</v>
      </c>
      <c r="AD174" s="30">
        <v>46204.0</v>
      </c>
      <c r="AE174" s="39">
        <v>46275.0</v>
      </c>
      <c r="AF174" s="10">
        <f t="shared" si="4"/>
        <v>8</v>
      </c>
      <c r="AG174" s="10" t="str">
        <f t="shared" si="2"/>
        <v>정상</v>
      </c>
      <c r="AH174" s="25"/>
      <c r="AI174" s="10"/>
      <c r="AJ174" s="10"/>
    </row>
    <row r="175" ht="15.75" customHeight="1">
      <c r="A175" s="10" t="s">
        <v>2098</v>
      </c>
      <c r="B175" s="13" t="s">
        <v>2573</v>
      </c>
      <c r="C175" s="10" t="s">
        <v>212</v>
      </c>
      <c r="D175" s="14">
        <v>1.9531012E7</v>
      </c>
      <c r="E175" s="10" t="s">
        <v>2574</v>
      </c>
      <c r="F175" s="10" t="s">
        <v>467</v>
      </c>
      <c r="G175" s="13" t="s">
        <v>468</v>
      </c>
      <c r="H175" s="15" t="s">
        <v>2575</v>
      </c>
      <c r="I175" s="10" t="s">
        <v>106</v>
      </c>
      <c r="J175" s="10" t="s">
        <v>2576</v>
      </c>
      <c r="K175" s="10" t="s">
        <v>2577</v>
      </c>
      <c r="L175" s="10">
        <v>2.606913728E9</v>
      </c>
      <c r="M175" s="10" t="s">
        <v>1138</v>
      </c>
      <c r="N175" s="10" t="s">
        <v>1139</v>
      </c>
      <c r="O175" s="10"/>
      <c r="P175" s="10"/>
      <c r="Q175" s="10" t="s">
        <v>77</v>
      </c>
      <c r="R175" s="10"/>
      <c r="S175" s="10" t="s">
        <v>3762</v>
      </c>
      <c r="T175" s="10" t="s">
        <v>3762</v>
      </c>
      <c r="U175" s="10" t="s">
        <v>322</v>
      </c>
      <c r="V175" s="10"/>
      <c r="W175" s="10" t="s">
        <v>56</v>
      </c>
      <c r="X175" s="18">
        <f>COUNTIF('간병인배정'!$B:$B,$A175)</f>
        <v>1</v>
      </c>
      <c r="Y175" s="18">
        <f>SUMIF('간병비지급'!$B:$B,$A175,'간병비지급'!$I:$I)</f>
        <v>450000</v>
      </c>
      <c r="Z175" s="18">
        <f>COUNTIF('보험청구'!$B:$B,$A175)</f>
        <v>1</v>
      </c>
      <c r="AA175" s="18">
        <f>COUNTIFS('보험청구'!$B:$B,$A175,'보험청구'!$J:$J,"미확인")</f>
        <v>0</v>
      </c>
      <c r="AB175" s="18">
        <f>SUMIF('보험청구'!$B:$B,$A175,'보험청구'!$I:$I)</f>
        <v>420000</v>
      </c>
      <c r="AC175" s="18">
        <f>SUMIF('보험청구'!$B:$B,$A175,'보험청구'!$L:$L)</f>
        <v>0</v>
      </c>
      <c r="AD175" s="30">
        <v>46197.0</v>
      </c>
      <c r="AE175" s="39">
        <v>46267.0</v>
      </c>
      <c r="AF175" s="10">
        <f t="shared" si="4"/>
        <v>16</v>
      </c>
      <c r="AG175" s="10" t="str">
        <f t="shared" si="2"/>
        <v>정상</v>
      </c>
      <c r="AH175" s="25"/>
      <c r="AI175" s="10"/>
      <c r="AJ175" s="10"/>
    </row>
    <row r="176" ht="15.75" customHeight="1">
      <c r="A176" s="10" t="s">
        <v>2106</v>
      </c>
      <c r="B176" s="13" t="s">
        <v>2573</v>
      </c>
      <c r="C176" s="10" t="s">
        <v>212</v>
      </c>
      <c r="D176" s="14">
        <v>1.9531012E7</v>
      </c>
      <c r="E176" s="10" t="s">
        <v>2574</v>
      </c>
      <c r="F176" s="10" t="s">
        <v>467</v>
      </c>
      <c r="G176" s="13" t="s">
        <v>468</v>
      </c>
      <c r="H176" s="15" t="s">
        <v>2575</v>
      </c>
      <c r="I176" s="10" t="s">
        <v>106</v>
      </c>
      <c r="J176" s="10" t="s">
        <v>2576</v>
      </c>
      <c r="K176" s="10" t="s">
        <v>2577</v>
      </c>
      <c r="L176" s="10">
        <v>2.606913728E9</v>
      </c>
      <c r="M176" s="10" t="s">
        <v>1138</v>
      </c>
      <c r="N176" s="10" t="s">
        <v>1139</v>
      </c>
      <c r="O176" s="10"/>
      <c r="P176" s="10"/>
      <c r="Q176" s="10" t="s">
        <v>77</v>
      </c>
      <c r="R176" s="10"/>
      <c r="S176" s="10" t="s">
        <v>3762</v>
      </c>
      <c r="T176" s="10" t="s">
        <v>3762</v>
      </c>
      <c r="U176" s="10" t="s">
        <v>322</v>
      </c>
      <c r="V176" s="10"/>
      <c r="W176" s="10" t="s">
        <v>56</v>
      </c>
      <c r="X176" s="18">
        <f>COUNTIF('간병인배정'!$B:$B,$A176)</f>
        <v>1</v>
      </c>
      <c r="Y176" s="18">
        <f>SUMIF('간병비지급'!$B:$B,$A176,'간병비지급'!$I:$I)</f>
        <v>600000</v>
      </c>
      <c r="Z176" s="18">
        <f>COUNTIF('보험청구'!$B:$B,$A176)</f>
        <v>1</v>
      </c>
      <c r="AA176" s="18">
        <f>COUNTIFS('보험청구'!$B:$B,$A176,'보험청구'!$J:$J,"미확인")</f>
        <v>0</v>
      </c>
      <c r="AB176" s="18">
        <f>SUMIF('보험청구'!$B:$B,$A176,'보험청구'!$I:$I)</f>
        <v>560000</v>
      </c>
      <c r="AC176" s="18">
        <f>SUMIF('보험청구'!$B:$B,$A176,'보험청구'!$L:$L)</f>
        <v>0</v>
      </c>
      <c r="AD176" s="30">
        <v>46202.0</v>
      </c>
      <c r="AE176" s="30">
        <v>46206.0</v>
      </c>
      <c r="AF176" s="10">
        <f t="shared" si="4"/>
        <v>77</v>
      </c>
      <c r="AG176" s="10" t="str">
        <f t="shared" si="2"/>
        <v>정상</v>
      </c>
      <c r="AH176" s="25"/>
      <c r="AI176" s="10"/>
      <c r="AJ176" s="10"/>
    </row>
    <row r="177" ht="15.75" customHeight="1">
      <c r="A177" s="10" t="s">
        <v>2117</v>
      </c>
      <c r="B177" s="13" t="s">
        <v>2573</v>
      </c>
      <c r="C177" s="10" t="s">
        <v>212</v>
      </c>
      <c r="D177" s="14">
        <v>1.9531012E7</v>
      </c>
      <c r="E177" s="10" t="s">
        <v>2574</v>
      </c>
      <c r="F177" s="10" t="s">
        <v>467</v>
      </c>
      <c r="G177" s="13" t="s">
        <v>468</v>
      </c>
      <c r="H177" s="15" t="s">
        <v>2575</v>
      </c>
      <c r="I177" s="10" t="s">
        <v>106</v>
      </c>
      <c r="J177" s="10" t="s">
        <v>2576</v>
      </c>
      <c r="K177" s="10" t="s">
        <v>2577</v>
      </c>
      <c r="L177" s="10">
        <v>2.606913728E9</v>
      </c>
      <c r="M177" s="10" t="s">
        <v>1138</v>
      </c>
      <c r="N177" s="10" t="s">
        <v>1139</v>
      </c>
      <c r="O177" s="10"/>
      <c r="P177" s="10"/>
      <c r="Q177" s="10" t="s">
        <v>77</v>
      </c>
      <c r="R177" s="10"/>
      <c r="S177" s="10" t="s">
        <v>3762</v>
      </c>
      <c r="T177" s="10" t="s">
        <v>3762</v>
      </c>
      <c r="U177" s="10" t="s">
        <v>322</v>
      </c>
      <c r="V177" s="10"/>
      <c r="W177" s="10" t="s">
        <v>56</v>
      </c>
      <c r="X177" s="18">
        <f>COUNTIF('간병인배정'!$B:$B,$A177)</f>
        <v>1</v>
      </c>
      <c r="Y177" s="18">
        <f>SUMIF('간병비지급'!$B:$B,$A177,'간병비지급'!$I:$I)</f>
        <v>140000</v>
      </c>
      <c r="Z177" s="18">
        <f>COUNTIF('보험청구'!$B:$B,$A177)</f>
        <v>1</v>
      </c>
      <c r="AA177" s="18">
        <f>COUNTIFS('보험청구'!$B:$B,$A177,'보험청구'!$J:$J,"미확인")</f>
        <v>0</v>
      </c>
      <c r="AB177" s="18">
        <f>SUMIF('보험청구'!$B:$B,$A177,'보험청구'!$I:$I)</f>
        <v>0</v>
      </c>
      <c r="AC177" s="18">
        <f>SUMIF('보험청구'!$B:$B,$A177,'보험청구'!$L:$L)</f>
        <v>140000</v>
      </c>
      <c r="AD177" s="30">
        <v>46207.0</v>
      </c>
      <c r="AE177" s="30">
        <v>46207.0</v>
      </c>
      <c r="AF177" s="10">
        <f t="shared" si="4"/>
        <v>76</v>
      </c>
      <c r="AG177" s="10" t="str">
        <f t="shared" si="2"/>
        <v>정상</v>
      </c>
      <c r="AH177" s="25"/>
      <c r="AI177" s="10"/>
      <c r="AJ177" s="10"/>
    </row>
    <row r="178" ht="15.75" customHeight="1">
      <c r="A178" s="10" t="s">
        <v>2139</v>
      </c>
      <c r="B178" s="13" t="s">
        <v>2573</v>
      </c>
      <c r="C178" s="10" t="s">
        <v>212</v>
      </c>
      <c r="D178" s="14">
        <v>1.9531012E7</v>
      </c>
      <c r="E178" s="10" t="s">
        <v>2574</v>
      </c>
      <c r="F178" s="10" t="s">
        <v>467</v>
      </c>
      <c r="G178" s="13" t="s">
        <v>468</v>
      </c>
      <c r="H178" s="15" t="s">
        <v>2575</v>
      </c>
      <c r="I178" s="10" t="s">
        <v>106</v>
      </c>
      <c r="J178" s="10" t="s">
        <v>2576</v>
      </c>
      <c r="K178" s="10" t="s">
        <v>2577</v>
      </c>
      <c r="L178" s="10">
        <v>2.606913728E9</v>
      </c>
      <c r="M178" s="10" t="s">
        <v>1138</v>
      </c>
      <c r="N178" s="10" t="s">
        <v>1139</v>
      </c>
      <c r="O178" s="10" t="s">
        <v>3787</v>
      </c>
      <c r="P178" s="10"/>
      <c r="Q178" s="10" t="s">
        <v>77</v>
      </c>
      <c r="R178" s="10"/>
      <c r="S178" s="10" t="s">
        <v>3762</v>
      </c>
      <c r="T178" s="10" t="s">
        <v>3762</v>
      </c>
      <c r="U178" s="10" t="s">
        <v>322</v>
      </c>
      <c r="V178" s="10"/>
      <c r="W178" s="10" t="s">
        <v>56</v>
      </c>
      <c r="X178" s="18">
        <f>COUNTIF('간병인배정'!$B:$B,$A178)</f>
        <v>1</v>
      </c>
      <c r="Y178" s="18">
        <f>SUMIF('간병비지급'!$B:$B,$A178,'간병비지급'!$I:$I)</f>
        <v>0</v>
      </c>
      <c r="Z178" s="18">
        <f>COUNTIF('보험청구'!$B:$B,$A178)</f>
        <v>1</v>
      </c>
      <c r="AA178" s="18">
        <f>COUNTIFS('보험청구'!$B:$B,$A178,'보험청구'!$J:$J,"미확인")</f>
        <v>0</v>
      </c>
      <c r="AB178" s="18">
        <f>SUMIF('보험청구'!$B:$B,$A178,'보험청구'!$I:$I)</f>
        <v>140000</v>
      </c>
      <c r="AC178" s="18">
        <f>SUMIF('보험청구'!$B:$B,$A178,'보험청구'!$L:$L)</f>
        <v>0</v>
      </c>
      <c r="AD178" s="30">
        <v>46211.0</v>
      </c>
      <c r="AE178" s="30">
        <v>46212.0</v>
      </c>
      <c r="AF178" s="10">
        <f t="shared" si="4"/>
        <v>71</v>
      </c>
      <c r="AG178" s="10" t="str">
        <f t="shared" si="2"/>
        <v>정상</v>
      </c>
      <c r="AH178" s="25"/>
      <c r="AI178" s="10"/>
      <c r="AJ178" s="10"/>
    </row>
    <row r="179" ht="15.75" customHeight="1">
      <c r="A179" s="10" t="s">
        <v>2152</v>
      </c>
      <c r="B179" s="13" t="s">
        <v>3793</v>
      </c>
      <c r="C179" s="10" t="s">
        <v>66</v>
      </c>
      <c r="D179" s="14">
        <v>2.0090602E7</v>
      </c>
      <c r="E179" s="10" t="s">
        <v>3794</v>
      </c>
      <c r="F179" s="10" t="s">
        <v>467</v>
      </c>
      <c r="G179" s="13" t="s">
        <v>3795</v>
      </c>
      <c r="H179" s="15" t="s">
        <v>3796</v>
      </c>
      <c r="I179" s="10" t="s">
        <v>106</v>
      </c>
      <c r="J179" s="10" t="s">
        <v>3797</v>
      </c>
      <c r="K179" s="10" t="s">
        <v>3798</v>
      </c>
      <c r="L179" s="10">
        <v>2.606947117E9</v>
      </c>
      <c r="M179" s="10" t="s">
        <v>2264</v>
      </c>
      <c r="N179" s="10" t="s">
        <v>2266</v>
      </c>
      <c r="O179" s="10"/>
      <c r="P179" s="10"/>
      <c r="Q179" s="10" t="s">
        <v>77</v>
      </c>
      <c r="R179" s="10"/>
      <c r="S179" s="10" t="s">
        <v>2611</v>
      </c>
      <c r="T179" s="10" t="s">
        <v>2611</v>
      </c>
      <c r="U179" s="10" t="s">
        <v>322</v>
      </c>
      <c r="V179" s="10"/>
      <c r="W179" s="10" t="s">
        <v>56</v>
      </c>
      <c r="X179" s="18">
        <f>COUNTIF('간병인배정'!$B:$B,$A179)</f>
        <v>1</v>
      </c>
      <c r="Y179" s="18">
        <f>SUMIF('간병비지급'!$B:$B,$A179,'간병비지급'!$I:$I)</f>
        <v>1662917</v>
      </c>
      <c r="Z179" s="18">
        <f>COUNTIF('보험청구'!$B:$B,$A179)</f>
        <v>1</v>
      </c>
      <c r="AA179" s="18">
        <f>COUNTIFS('보험청구'!$B:$B,$A179,'보험청구'!$J:$J,"미확인")</f>
        <v>0</v>
      </c>
      <c r="AB179" s="18">
        <f>SUMIF('보험청구'!$B:$B,$A179,'보험청구'!$I:$I)</f>
        <v>2197000</v>
      </c>
      <c r="AC179" s="18">
        <f>SUMIF('보험청구'!$B:$B,$A179,'보험청구'!$L:$L)</f>
        <v>0</v>
      </c>
      <c r="AD179" s="30">
        <v>46197.0</v>
      </c>
      <c r="AE179" s="30">
        <v>46210.0</v>
      </c>
      <c r="AF179" s="10">
        <f t="shared" si="4"/>
        <v>73</v>
      </c>
      <c r="AG179" s="10" t="str">
        <f t="shared" si="2"/>
        <v>정상</v>
      </c>
      <c r="AH179" s="25"/>
      <c r="AI179" s="10"/>
      <c r="AJ179" s="10"/>
    </row>
    <row r="180" ht="15.75" customHeight="1">
      <c r="A180" s="10" t="s">
        <v>2162</v>
      </c>
      <c r="B180" s="13" t="s">
        <v>3802</v>
      </c>
      <c r="C180" s="10" t="s">
        <v>212</v>
      </c>
      <c r="D180" s="14">
        <v>1.960112E7</v>
      </c>
      <c r="E180" s="10"/>
      <c r="F180" s="10" t="s">
        <v>126</v>
      </c>
      <c r="G180" s="13" t="s">
        <v>2467</v>
      </c>
      <c r="H180" s="15" t="s">
        <v>3803</v>
      </c>
      <c r="I180" s="10" t="s">
        <v>73</v>
      </c>
      <c r="J180" s="10" t="s">
        <v>3804</v>
      </c>
      <c r="K180" s="10" t="s">
        <v>3805</v>
      </c>
      <c r="L180" s="10">
        <v>2.607029823E9</v>
      </c>
      <c r="M180" s="10" t="s">
        <v>3806</v>
      </c>
      <c r="N180" s="10" t="s">
        <v>3807</v>
      </c>
      <c r="O180" s="10" t="s">
        <v>3808</v>
      </c>
      <c r="P180" s="10"/>
      <c r="Q180" s="10" t="s">
        <v>77</v>
      </c>
      <c r="R180" s="10"/>
      <c r="S180" s="10" t="s">
        <v>2873</v>
      </c>
      <c r="T180" s="10" t="s">
        <v>2873</v>
      </c>
      <c r="U180" s="10" t="s">
        <v>322</v>
      </c>
      <c r="V180" s="10"/>
      <c r="W180" s="10" t="s">
        <v>56</v>
      </c>
      <c r="X180" s="18">
        <f>COUNTIF('간병인배정'!$B:$B,$A180)</f>
        <v>1</v>
      </c>
      <c r="Y180" s="18">
        <f>SUMIF('간병비지급'!$B:$B,$A180,'간병비지급'!$I:$I)</f>
        <v>300000</v>
      </c>
      <c r="Z180" s="18">
        <f>COUNTIF('보험청구'!$B:$B,$A180)</f>
        <v>1</v>
      </c>
      <c r="AA180" s="18">
        <f>COUNTIFS('보험청구'!$B:$B,$A180,'보험청구'!$J:$J,"미확인")</f>
        <v>0</v>
      </c>
      <c r="AB180" s="18">
        <f>SUMIF('보험청구'!$B:$B,$A180,'보험청구'!$I:$I)</f>
        <v>310000</v>
      </c>
      <c r="AC180" s="18">
        <f>SUMIF('보험청구'!$B:$B,$A180,'보험청구'!$L:$L)</f>
        <v>0</v>
      </c>
      <c r="AD180" s="30">
        <v>46202.0</v>
      </c>
      <c r="AE180" s="30">
        <v>46203.0</v>
      </c>
      <c r="AF180" s="10">
        <f t="shared" si="4"/>
        <v>80</v>
      </c>
      <c r="AG180" s="10" t="str">
        <f t="shared" si="2"/>
        <v>정상</v>
      </c>
      <c r="AH180" s="25" t="s">
        <v>3812</v>
      </c>
      <c r="AI180" s="10"/>
      <c r="AJ180" s="10"/>
    </row>
    <row r="181" ht="15.75" customHeight="1">
      <c r="A181" s="10" t="s">
        <v>2181</v>
      </c>
      <c r="B181" s="13" t="s">
        <v>3802</v>
      </c>
      <c r="C181" s="10" t="s">
        <v>212</v>
      </c>
      <c r="D181" s="14">
        <v>1.960112E7</v>
      </c>
      <c r="E181" s="10"/>
      <c r="F181" s="10" t="s">
        <v>126</v>
      </c>
      <c r="G181" s="13" t="s">
        <v>2467</v>
      </c>
      <c r="H181" s="15" t="s">
        <v>3803</v>
      </c>
      <c r="I181" s="10" t="s">
        <v>73</v>
      </c>
      <c r="J181" s="10" t="s">
        <v>3804</v>
      </c>
      <c r="K181" s="10" t="s">
        <v>3805</v>
      </c>
      <c r="L181" s="10">
        <v>2.607029823E9</v>
      </c>
      <c r="M181" s="10" t="s">
        <v>3806</v>
      </c>
      <c r="N181" s="10" t="s">
        <v>3807</v>
      </c>
      <c r="O181" s="10" t="s">
        <v>3808</v>
      </c>
      <c r="P181" s="10"/>
      <c r="Q181" s="10" t="s">
        <v>77</v>
      </c>
      <c r="R181" s="10"/>
      <c r="S181" s="10" t="s">
        <v>2873</v>
      </c>
      <c r="T181" s="10" t="s">
        <v>2873</v>
      </c>
      <c r="U181" s="10" t="s">
        <v>322</v>
      </c>
      <c r="V181" s="10"/>
      <c r="W181" s="10" t="s">
        <v>56</v>
      </c>
      <c r="X181" s="18">
        <f>COUNTIF('간병인배정'!$B:$B,$A181)</f>
        <v>1</v>
      </c>
      <c r="Y181" s="18">
        <f>SUMIF('간병비지급'!$B:$B,$A181,'간병비지급'!$I:$I)</f>
        <v>420000</v>
      </c>
      <c r="Z181" s="18">
        <f>COUNTIF('보험청구'!$B:$B,$A181)</f>
        <v>1</v>
      </c>
      <c r="AA181" s="18">
        <f>COUNTIFS('보험청구'!$B:$B,$A181,'보험청구'!$J:$J,"미확인")</f>
        <v>0</v>
      </c>
      <c r="AB181" s="18">
        <f>SUMIF('보험청구'!$B:$B,$A181,'보험청구'!$I:$I)</f>
        <v>465000</v>
      </c>
      <c r="AC181" s="18">
        <f>SUMIF('보험청구'!$B:$B,$A181,'보험청구'!$L:$L)</f>
        <v>0</v>
      </c>
      <c r="AD181" s="30">
        <v>46203.0</v>
      </c>
      <c r="AE181" s="30">
        <v>46206.0</v>
      </c>
      <c r="AF181" s="10">
        <f t="shared" si="4"/>
        <v>77</v>
      </c>
      <c r="AG181" s="10" t="str">
        <f t="shared" si="2"/>
        <v>정상</v>
      </c>
      <c r="AH181" s="25"/>
      <c r="AI181" s="10"/>
      <c r="AJ181" s="10"/>
    </row>
    <row r="182" ht="15.75" customHeight="1">
      <c r="A182" s="10" t="s">
        <v>2190</v>
      </c>
      <c r="B182" s="13" t="s">
        <v>3802</v>
      </c>
      <c r="C182" s="10" t="s">
        <v>212</v>
      </c>
      <c r="D182" s="14">
        <v>1.960112E7</v>
      </c>
      <c r="E182" s="10"/>
      <c r="F182" s="10" t="s">
        <v>126</v>
      </c>
      <c r="G182" s="13" t="s">
        <v>2467</v>
      </c>
      <c r="H182" s="15" t="s">
        <v>3818</v>
      </c>
      <c r="I182" s="10" t="s">
        <v>73</v>
      </c>
      <c r="J182" s="10" t="s">
        <v>3804</v>
      </c>
      <c r="K182" s="10" t="s">
        <v>3805</v>
      </c>
      <c r="L182" s="10">
        <v>2.607029823E9</v>
      </c>
      <c r="M182" s="10" t="s">
        <v>3806</v>
      </c>
      <c r="N182" s="10" t="s">
        <v>3807</v>
      </c>
      <c r="O182" s="10" t="s">
        <v>3808</v>
      </c>
      <c r="P182" s="10"/>
      <c r="Q182" s="10" t="s">
        <v>77</v>
      </c>
      <c r="R182" s="10"/>
      <c r="S182" s="10" t="s">
        <v>2873</v>
      </c>
      <c r="T182" s="10" t="s">
        <v>2873</v>
      </c>
      <c r="U182" s="10" t="s">
        <v>322</v>
      </c>
      <c r="V182" s="10"/>
      <c r="W182" s="10" t="s">
        <v>56</v>
      </c>
      <c r="X182" s="18">
        <f>COUNTIF('간병인배정'!$B:$B,$A182)</f>
        <v>1</v>
      </c>
      <c r="Y182" s="18">
        <f>SUMIF('간병비지급'!$B:$B,$A182,'간병비지급'!$I:$I)</f>
        <v>1540000</v>
      </c>
      <c r="Z182" s="18">
        <f>COUNTIF('보험청구'!$B:$B,$A182)</f>
        <v>2</v>
      </c>
      <c r="AA182" s="18">
        <f>COUNTIFS('보험청구'!$B:$B,$A182,'보험청구'!$J:$J,"미확인")</f>
        <v>0</v>
      </c>
      <c r="AB182" s="18">
        <f>SUMIF('보험청구'!$B:$B,$A182,'보험청구'!$I:$I)</f>
        <v>2015000</v>
      </c>
      <c r="AC182" s="18">
        <f>SUMIF('보험청구'!$B:$B,$A182,'보험청구'!$L:$L)</f>
        <v>0</v>
      </c>
      <c r="AD182" s="30">
        <v>46206.0</v>
      </c>
      <c r="AE182" s="30">
        <v>46219.0</v>
      </c>
      <c r="AF182" s="10">
        <f t="shared" si="4"/>
        <v>64</v>
      </c>
      <c r="AG182" s="10" t="str">
        <f t="shared" si="2"/>
        <v>정상</v>
      </c>
      <c r="AH182" s="25"/>
      <c r="AI182" s="10"/>
      <c r="AJ182" s="10"/>
    </row>
    <row r="183" ht="15.75" customHeight="1">
      <c r="A183" s="10" t="s">
        <v>2197</v>
      </c>
      <c r="B183" s="13" t="s">
        <v>3825</v>
      </c>
      <c r="C183" s="10" t="s">
        <v>66</v>
      </c>
      <c r="D183" s="14">
        <v>1.9670201E7</v>
      </c>
      <c r="E183" s="10" t="s">
        <v>3826</v>
      </c>
      <c r="F183" s="10" t="s">
        <v>338</v>
      </c>
      <c r="G183" s="13" t="s">
        <v>1589</v>
      </c>
      <c r="H183" s="15" t="s">
        <v>3827</v>
      </c>
      <c r="I183" s="10" t="s">
        <v>106</v>
      </c>
      <c r="J183" s="10" t="s">
        <v>3829</v>
      </c>
      <c r="K183" s="10" t="s">
        <v>3830</v>
      </c>
      <c r="L183" s="10">
        <v>2.607030118E9</v>
      </c>
      <c r="M183" s="10" t="s">
        <v>3831</v>
      </c>
      <c r="N183" s="10" t="s">
        <v>3833</v>
      </c>
      <c r="O183" s="10"/>
      <c r="P183" s="10"/>
      <c r="Q183" s="10" t="s">
        <v>77</v>
      </c>
      <c r="R183" s="10"/>
      <c r="S183" s="10" t="s">
        <v>569</v>
      </c>
      <c r="T183" s="10" t="s">
        <v>3633</v>
      </c>
      <c r="U183" s="10" t="s">
        <v>322</v>
      </c>
      <c r="V183" s="10"/>
      <c r="W183" s="10" t="s">
        <v>56</v>
      </c>
      <c r="X183" s="18">
        <f>COUNTIF('간병인배정'!$B:$B,$A183)</f>
        <v>1</v>
      </c>
      <c r="Y183" s="18">
        <f>SUMIF('간병비지급'!$B:$B,$A183,'간병비지급'!$I:$I)</f>
        <v>4060000</v>
      </c>
      <c r="Z183" s="18">
        <f>COUNTIF('보험청구'!$B:$B,$A183)</f>
        <v>3</v>
      </c>
      <c r="AA183" s="18">
        <f>COUNTIFS('보험청구'!$B:$B,$A183,'보험청구'!$J:$J,"미확인")</f>
        <v>0</v>
      </c>
      <c r="AB183" s="18">
        <f>SUMIF('보험청구'!$B:$B,$A183,'보험청구'!$I:$I)</f>
        <v>3920000</v>
      </c>
      <c r="AC183" s="18">
        <f>SUMIF('보험청구'!$B:$B,$A183,'보험청구'!$L:$L)</f>
        <v>0</v>
      </c>
      <c r="AD183" s="30">
        <v>46203.0</v>
      </c>
      <c r="AE183" s="30">
        <v>46231.0</v>
      </c>
      <c r="AF183" s="10">
        <f t="shared" si="4"/>
        <v>52</v>
      </c>
      <c r="AG183" s="10" t="str">
        <f t="shared" si="2"/>
        <v>정상</v>
      </c>
      <c r="AH183" s="25"/>
      <c r="AI183" s="10"/>
      <c r="AJ183" s="10"/>
    </row>
    <row r="184" ht="15.75" customHeight="1">
      <c r="A184" s="10" t="s">
        <v>2214</v>
      </c>
      <c r="B184" s="13" t="s">
        <v>3837</v>
      </c>
      <c r="C184" s="10" t="s">
        <v>212</v>
      </c>
      <c r="D184" s="14">
        <v>1.9530203E7</v>
      </c>
      <c r="E184" s="10" t="s">
        <v>3838</v>
      </c>
      <c r="F184" s="10" t="s">
        <v>1274</v>
      </c>
      <c r="G184" s="13" t="s">
        <v>1589</v>
      </c>
      <c r="H184" s="15" t="s">
        <v>2741</v>
      </c>
      <c r="I184" s="10" t="s">
        <v>106</v>
      </c>
      <c r="J184" s="10" t="s">
        <v>3839</v>
      </c>
      <c r="K184" s="10"/>
      <c r="L184" s="10">
        <v>2.607160546E9</v>
      </c>
      <c r="M184" s="20" t="s">
        <v>3840</v>
      </c>
      <c r="N184" s="20" t="s">
        <v>3842</v>
      </c>
      <c r="O184" s="10"/>
      <c r="P184" s="10"/>
      <c r="Q184" s="10" t="s">
        <v>77</v>
      </c>
      <c r="R184" s="10"/>
      <c r="S184" s="10" t="s">
        <v>3614</v>
      </c>
      <c r="T184" s="10" t="s">
        <v>1319</v>
      </c>
      <c r="U184" s="10" t="s">
        <v>322</v>
      </c>
      <c r="V184" s="10"/>
      <c r="W184" s="10" t="s">
        <v>65</v>
      </c>
      <c r="X184" s="18">
        <f>COUNTIF('간병인배정'!$B:$B,$A184)</f>
        <v>1</v>
      </c>
      <c r="Y184" s="18">
        <f>SUMIF('간병비지급'!$B:$B,$A184,'간병비지급'!$I:$I)</f>
        <v>10935000</v>
      </c>
      <c r="Z184" s="18">
        <f>COUNTIF('보험청구'!$B:$B,$A184)</f>
        <v>8</v>
      </c>
      <c r="AA184" s="18">
        <f>COUNTIFS('보험청구'!$B:$B,$A184,'보험청구'!$J:$J,"미확인")</f>
        <v>0</v>
      </c>
      <c r="AB184" s="18">
        <f>SUMIF('보험청구'!$B:$B,$A184,'보험청구'!$I:$I)</f>
        <v>7746000</v>
      </c>
      <c r="AC184" s="18">
        <f>SUMIF('보험청구'!$B:$B,$A184,'보험청구'!$L:$L)</f>
        <v>2839000</v>
      </c>
      <c r="AD184" s="30">
        <v>46177.0</v>
      </c>
      <c r="AE184" s="39">
        <v>46275.0</v>
      </c>
      <c r="AF184" s="10">
        <f t="shared" si="4"/>
        <v>8</v>
      </c>
      <c r="AG184" s="10" t="str">
        <f t="shared" si="2"/>
        <v>정상</v>
      </c>
      <c r="AH184" s="25"/>
      <c r="AI184" s="10"/>
      <c r="AJ184" s="10"/>
    </row>
    <row r="185" ht="15.75" customHeight="1">
      <c r="A185" s="10" t="s">
        <v>2222</v>
      </c>
      <c r="B185" s="13" t="s">
        <v>3845</v>
      </c>
      <c r="C185" s="10" t="s">
        <v>212</v>
      </c>
      <c r="D185" s="14">
        <v>2.0230104E7</v>
      </c>
      <c r="E185" s="10" t="s">
        <v>3846</v>
      </c>
      <c r="F185" s="10" t="s">
        <v>574</v>
      </c>
      <c r="G185" s="13" t="s">
        <v>927</v>
      </c>
      <c r="H185" s="15" t="s">
        <v>3847</v>
      </c>
      <c r="I185" s="10" t="s">
        <v>106</v>
      </c>
      <c r="J185" s="10" t="s">
        <v>3849</v>
      </c>
      <c r="K185" s="10" t="s">
        <v>3850</v>
      </c>
      <c r="L185" s="10">
        <v>2.607421253E9</v>
      </c>
      <c r="M185" s="10" t="s">
        <v>3852</v>
      </c>
      <c r="N185" s="10" t="s">
        <v>3853</v>
      </c>
      <c r="O185" s="10"/>
      <c r="P185" s="10"/>
      <c r="Q185" s="10" t="s">
        <v>77</v>
      </c>
      <c r="R185" s="10"/>
      <c r="S185" s="10" t="s">
        <v>3450</v>
      </c>
      <c r="T185" s="10" t="s">
        <v>3450</v>
      </c>
      <c r="U185" s="10" t="s">
        <v>322</v>
      </c>
      <c r="V185" s="10"/>
      <c r="W185" s="10" t="s">
        <v>56</v>
      </c>
      <c r="X185" s="18">
        <f>COUNTIF('간병인배정'!$B:$B,$A185)</f>
        <v>1</v>
      </c>
      <c r="Y185" s="18">
        <f>SUMIF('간병비지급'!$B:$B,$A185,'간병비지급'!$I:$I)</f>
        <v>560000</v>
      </c>
      <c r="Z185" s="18">
        <f>COUNTIF('보험청구'!$B:$B,$A185)</f>
        <v>1</v>
      </c>
      <c r="AA185" s="18">
        <f>COUNTIFS('보험청구'!$B:$B,$A185,'보험청구'!$J:$J,"미확인")</f>
        <v>0</v>
      </c>
      <c r="AB185" s="18">
        <f>SUMIF('보험청구'!$B:$B,$A185,'보험청구'!$I:$I)</f>
        <v>576000</v>
      </c>
      <c r="AC185" s="18">
        <f>SUMIF('보험청구'!$B:$B,$A185,'보험청구'!$L:$L)</f>
        <v>0</v>
      </c>
      <c r="AD185" s="30">
        <v>46212.0</v>
      </c>
      <c r="AE185" s="30">
        <v>46216.0</v>
      </c>
      <c r="AF185" s="10">
        <f t="shared" si="4"/>
        <v>67</v>
      </c>
      <c r="AG185" s="10" t="str">
        <f t="shared" si="2"/>
        <v>정상</v>
      </c>
      <c r="AH185" s="25"/>
      <c r="AI185" s="10"/>
      <c r="AJ185" s="10"/>
    </row>
    <row r="186" ht="15.75" customHeight="1">
      <c r="A186" s="10" t="s">
        <v>2232</v>
      </c>
      <c r="B186" s="13" t="s">
        <v>3856</v>
      </c>
      <c r="C186" s="10" t="s">
        <v>212</v>
      </c>
      <c r="D186" s="14">
        <v>1.977102E7</v>
      </c>
      <c r="E186" s="10" t="s">
        <v>3857</v>
      </c>
      <c r="F186" s="10" t="s">
        <v>391</v>
      </c>
      <c r="G186" s="13" t="s">
        <v>3858</v>
      </c>
      <c r="H186" s="15" t="s">
        <v>3859</v>
      </c>
      <c r="I186" s="10" t="s">
        <v>106</v>
      </c>
      <c r="J186" s="10" t="s">
        <v>3860</v>
      </c>
      <c r="K186" s="10" t="s">
        <v>3861</v>
      </c>
      <c r="L186" s="10">
        <v>2.507451576E9</v>
      </c>
      <c r="M186" s="10" t="s">
        <v>254</v>
      </c>
      <c r="N186" s="10" t="s">
        <v>256</v>
      </c>
      <c r="O186" s="10"/>
      <c r="P186" s="10"/>
      <c r="Q186" s="10" t="s">
        <v>77</v>
      </c>
      <c r="R186" s="10"/>
      <c r="S186" s="10" t="s">
        <v>3450</v>
      </c>
      <c r="T186" s="10" t="s">
        <v>3864</v>
      </c>
      <c r="U186" s="10" t="s">
        <v>322</v>
      </c>
      <c r="V186" s="10"/>
      <c r="W186" s="10" t="s">
        <v>65</v>
      </c>
      <c r="X186" s="18">
        <f>COUNTIF('간병인배정'!$B:$B,$A186)</f>
        <v>2</v>
      </c>
      <c r="Y186" s="18">
        <f>SUMIF('간병비지급'!$B:$B,$A186,'간병비지급'!$I:$I)</f>
        <v>8970000</v>
      </c>
      <c r="Z186" s="18">
        <f>COUNTIF('보험청구'!$B:$B,$A186)</f>
        <v>8</v>
      </c>
      <c r="AA186" s="18">
        <f>COUNTIFS('보험청구'!$B:$B,$A186,'보험청구'!$J:$J,"미확인")</f>
        <v>0</v>
      </c>
      <c r="AB186" s="18">
        <f>SUMIF('보험청구'!$B:$B,$A186,'보험청구'!$I:$I)</f>
        <v>5460000</v>
      </c>
      <c r="AC186" s="18">
        <f>SUMIF('보험청구'!$B:$B,$A186,'보험청구'!$L:$L)</f>
        <v>4376000</v>
      </c>
      <c r="AD186" s="30">
        <v>46216.0</v>
      </c>
      <c r="AE186" s="39">
        <v>46275.0</v>
      </c>
      <c r="AF186" s="10">
        <f t="shared" si="4"/>
        <v>8</v>
      </c>
      <c r="AG186" s="10" t="str">
        <f t="shared" si="2"/>
        <v>정상</v>
      </c>
      <c r="AH186" s="25"/>
      <c r="AI186" s="10"/>
      <c r="AJ186" s="10"/>
    </row>
    <row r="187" ht="15.75" customHeight="1">
      <c r="A187" s="10" t="s">
        <v>2244</v>
      </c>
      <c r="B187" s="13" t="s">
        <v>3868</v>
      </c>
      <c r="C187" s="10" t="s">
        <v>66</v>
      </c>
      <c r="D187" s="14">
        <v>1.9681103E7</v>
      </c>
      <c r="E187" s="10" t="s">
        <v>3869</v>
      </c>
      <c r="F187" s="10" t="s">
        <v>1948</v>
      </c>
      <c r="G187" s="13" t="s">
        <v>2961</v>
      </c>
      <c r="H187" s="15" t="s">
        <v>3870</v>
      </c>
      <c r="I187" s="10" t="s">
        <v>106</v>
      </c>
      <c r="J187" s="10" t="s">
        <v>3871</v>
      </c>
      <c r="K187" s="10" t="s">
        <v>3872</v>
      </c>
      <c r="L187" s="10" t="s">
        <v>3873</v>
      </c>
      <c r="M187" s="20" t="s">
        <v>3874</v>
      </c>
      <c r="N187" s="20" t="s">
        <v>3875</v>
      </c>
      <c r="O187" s="10"/>
      <c r="P187" s="10"/>
      <c r="Q187" s="10" t="s">
        <v>77</v>
      </c>
      <c r="R187" s="10"/>
      <c r="S187" s="10" t="s">
        <v>595</v>
      </c>
      <c r="T187" s="10" t="s">
        <v>3864</v>
      </c>
      <c r="U187" s="10" t="s">
        <v>322</v>
      </c>
      <c r="V187" s="10"/>
      <c r="W187" s="10" t="s">
        <v>56</v>
      </c>
      <c r="X187" s="18">
        <f>COUNTIF('간병인배정'!$B:$B,$A187)</f>
        <v>1</v>
      </c>
      <c r="Y187" s="18">
        <f>SUMIF('간병비지급'!$B:$B,$A187,'간병비지급'!$I:$I)</f>
        <v>600000</v>
      </c>
      <c r="Z187" s="18">
        <f>COUNTIF('보험청구'!$B:$B,$A187)</f>
        <v>1</v>
      </c>
      <c r="AA187" s="18">
        <f>COUNTIFS('보험청구'!$B:$B,$A187,'보험청구'!$J:$J,"미확인")</f>
        <v>0</v>
      </c>
      <c r="AB187" s="18">
        <f>SUMIF('보험청구'!$B:$B,$A187,'보험청구'!$I:$I)</f>
        <v>540000</v>
      </c>
      <c r="AC187" s="18">
        <f>SUMIF('보험청구'!$B:$B,$A187,'보험청구'!$L:$L)</f>
        <v>0</v>
      </c>
      <c r="AD187" s="30">
        <v>46216.0</v>
      </c>
      <c r="AE187" s="30">
        <v>46219.0</v>
      </c>
      <c r="AF187" s="10">
        <f t="shared" si="4"/>
        <v>64</v>
      </c>
      <c r="AG187" s="10" t="str">
        <f t="shared" si="2"/>
        <v>정상</v>
      </c>
      <c r="AH187" s="25"/>
      <c r="AI187" s="10"/>
      <c r="AJ187" s="10"/>
    </row>
    <row r="188" ht="15.75" customHeight="1">
      <c r="A188" s="10" t="s">
        <v>2254</v>
      </c>
      <c r="B188" s="13" t="s">
        <v>3879</v>
      </c>
      <c r="C188" s="10" t="s">
        <v>66</v>
      </c>
      <c r="D188" s="14">
        <v>1.9580401E7</v>
      </c>
      <c r="E188" s="10" t="s">
        <v>3880</v>
      </c>
      <c r="F188" s="10" t="s">
        <v>1274</v>
      </c>
      <c r="G188" s="13" t="s">
        <v>2441</v>
      </c>
      <c r="H188" s="15" t="s">
        <v>3881</v>
      </c>
      <c r="I188" s="10" t="s">
        <v>106</v>
      </c>
      <c r="J188" s="10" t="s">
        <v>3882</v>
      </c>
      <c r="K188" s="10" t="s">
        <v>3883</v>
      </c>
      <c r="L188" s="10">
        <v>2.607486916E9</v>
      </c>
      <c r="M188" s="10" t="s">
        <v>3884</v>
      </c>
      <c r="N188" s="10" t="s">
        <v>446</v>
      </c>
      <c r="O188" s="10"/>
      <c r="P188" s="10"/>
      <c r="Q188" s="10" t="s">
        <v>77</v>
      </c>
      <c r="R188" s="10"/>
      <c r="S188" s="10" t="s">
        <v>595</v>
      </c>
      <c r="T188" s="10" t="s">
        <v>595</v>
      </c>
      <c r="U188" s="10" t="s">
        <v>322</v>
      </c>
      <c r="V188" s="10"/>
      <c r="W188" s="20" t="s">
        <v>56</v>
      </c>
      <c r="X188" s="18">
        <f>COUNTIF('간병인배정'!$B:$B,$A188)</f>
        <v>1</v>
      </c>
      <c r="Y188" s="18">
        <f>SUMIF('간병비지급'!$B:$B,$A188,'간병비지급'!$I:$I)</f>
        <v>910000</v>
      </c>
      <c r="Z188" s="18">
        <f>COUNTIF('보험청구'!$B:$B,$A188)</f>
        <v>1</v>
      </c>
      <c r="AA188" s="18">
        <f>COUNTIFS('보험청구'!$B:$B,$A188,'보험청구'!$J:$J,"미확인")</f>
        <v>0</v>
      </c>
      <c r="AB188" s="18">
        <f>SUMIF('보험청구'!$B:$B,$A188,'보험청구'!$I:$I)</f>
        <v>0</v>
      </c>
      <c r="AC188" s="18">
        <f>SUMIF('보험청구'!$B:$B,$A188,'보험청구'!$L:$L)</f>
        <v>994000</v>
      </c>
      <c r="AD188" s="30">
        <v>46213.0</v>
      </c>
      <c r="AE188" s="10"/>
      <c r="AF188" s="10" t="str">
        <f t="shared" si="4"/>
        <v/>
      </c>
      <c r="AG188" s="10" t="str">
        <f t="shared" si="2"/>
        <v>정상</v>
      </c>
      <c r="AH188" s="25" t="s">
        <v>3887</v>
      </c>
      <c r="AI188" s="10"/>
      <c r="AJ188" s="10"/>
    </row>
    <row r="189" ht="15.75" customHeight="1">
      <c r="A189" s="10" t="s">
        <v>3888</v>
      </c>
      <c r="B189" s="13" t="s">
        <v>3889</v>
      </c>
      <c r="C189" s="10" t="s">
        <v>66</v>
      </c>
      <c r="D189" s="14"/>
      <c r="E189" s="10" t="s">
        <v>3890</v>
      </c>
      <c r="F189" s="10" t="s">
        <v>126</v>
      </c>
      <c r="G189" s="13" t="s">
        <v>392</v>
      </c>
      <c r="H189" s="15" t="s">
        <v>3891</v>
      </c>
      <c r="I189" s="10" t="s">
        <v>106</v>
      </c>
      <c r="J189" s="10"/>
      <c r="K189" s="10"/>
      <c r="L189" s="10"/>
      <c r="M189" s="10"/>
      <c r="N189" s="10"/>
      <c r="O189" s="10"/>
      <c r="P189" s="10"/>
      <c r="Q189" s="10" t="s">
        <v>77</v>
      </c>
      <c r="R189" s="10"/>
      <c r="S189" s="10" t="s">
        <v>595</v>
      </c>
      <c r="T189" s="10" t="s">
        <v>2194</v>
      </c>
      <c r="U189" s="10" t="s">
        <v>322</v>
      </c>
      <c r="V189" s="10"/>
      <c r="W189" s="10" t="s">
        <v>3892</v>
      </c>
      <c r="X189" s="18">
        <f>COUNTIF('간병인배정'!$B:$B,$A189)</f>
        <v>0</v>
      </c>
      <c r="Y189" s="18">
        <f>SUMIF('간병비지급'!$B:$B,$A189,'간병비지급'!$I:$I)</f>
        <v>0</v>
      </c>
      <c r="Z189" s="18">
        <f>COUNTIF('보험청구'!$B:$B,$A189)</f>
        <v>0</v>
      </c>
      <c r="AA189" s="18">
        <f>COUNTIFS('보험청구'!$B:$B,$A189,'보험청구'!$J:$J,"미확인")</f>
        <v>0</v>
      </c>
      <c r="AB189" s="18">
        <f>SUMIF('보험청구'!$B:$B,$A189,'보험청구'!$I:$I)</f>
        <v>0</v>
      </c>
      <c r="AC189" s="18">
        <f>SUMIF('보험청구'!$B:$B,$A189,'보험청구'!$L:$L)</f>
        <v>0</v>
      </c>
      <c r="AD189" s="10"/>
      <c r="AE189" s="10"/>
      <c r="AF189" s="10" t="str">
        <f t="shared" si="4"/>
        <v/>
      </c>
      <c r="AG189" s="10" t="str">
        <f t="shared" si="2"/>
        <v>제외</v>
      </c>
      <c r="AH189" s="25" t="s">
        <v>3898</v>
      </c>
      <c r="AI189" s="10"/>
      <c r="AJ189" s="10"/>
    </row>
    <row r="190" ht="15.75" customHeight="1">
      <c r="A190" s="10" t="s">
        <v>2271</v>
      </c>
      <c r="B190" s="13" t="s">
        <v>3899</v>
      </c>
      <c r="C190" s="10" t="s">
        <v>66</v>
      </c>
      <c r="D190" s="14">
        <v>1.9580515E7</v>
      </c>
      <c r="E190" s="10" t="s">
        <v>3900</v>
      </c>
      <c r="F190" s="10" t="s">
        <v>126</v>
      </c>
      <c r="G190" s="13" t="s">
        <v>3901</v>
      </c>
      <c r="H190" s="15" t="s">
        <v>3477</v>
      </c>
      <c r="I190" s="10" t="s">
        <v>106</v>
      </c>
      <c r="J190" s="10" t="s">
        <v>3902</v>
      </c>
      <c r="K190" s="10" t="s">
        <v>3903</v>
      </c>
      <c r="L190" s="10">
        <v>2.607570983E9</v>
      </c>
      <c r="M190" s="10" t="s">
        <v>3478</v>
      </c>
      <c r="N190" s="10" t="s">
        <v>3479</v>
      </c>
      <c r="O190" s="10"/>
      <c r="P190" s="10"/>
      <c r="Q190" s="10"/>
      <c r="R190" s="10"/>
      <c r="S190" s="10" t="s">
        <v>3864</v>
      </c>
      <c r="T190" s="10" t="s">
        <v>98</v>
      </c>
      <c r="U190" s="10" t="s">
        <v>322</v>
      </c>
      <c r="V190" s="10"/>
      <c r="W190" s="10" t="s">
        <v>56</v>
      </c>
      <c r="X190" s="18">
        <f>COUNTIF('간병인배정'!$B:$B,$A190)</f>
        <v>1</v>
      </c>
      <c r="Y190" s="18">
        <f>SUMIF('간병비지급'!$B:$B,$A190,'간병비지급'!$I:$I)</f>
        <v>280000</v>
      </c>
      <c r="Z190" s="18">
        <f>COUNTIF('보험청구'!$B:$B,$A190)</f>
        <v>1</v>
      </c>
      <c r="AA190" s="18">
        <f>COUNTIFS('보험청구'!$B:$B,$A190,'보험청구'!$J:$J,"미확인")</f>
        <v>0</v>
      </c>
      <c r="AB190" s="18">
        <f>SUMIF('보험청구'!$B:$B,$A190,'보험청구'!$I:$I)</f>
        <v>288000</v>
      </c>
      <c r="AC190" s="18">
        <f>SUMIF('보험청구'!$B:$B,$A190,'보험청구'!$L:$L)</f>
        <v>0</v>
      </c>
      <c r="AD190" s="30">
        <v>46218.0</v>
      </c>
      <c r="AE190" s="30">
        <v>46223.0</v>
      </c>
      <c r="AF190" s="10">
        <f t="shared" si="4"/>
        <v>60</v>
      </c>
      <c r="AG190" s="10" t="str">
        <f t="shared" si="2"/>
        <v>정상</v>
      </c>
      <c r="AH190" s="25"/>
      <c r="AI190" s="10"/>
      <c r="AJ190" s="10"/>
    </row>
    <row r="191" ht="15.75" customHeight="1">
      <c r="A191" s="10" t="s">
        <v>2281</v>
      </c>
      <c r="B191" s="13" t="s">
        <v>3911</v>
      </c>
      <c r="C191" s="10" t="s">
        <v>66</v>
      </c>
      <c r="D191" s="14">
        <v>1.9640918E7</v>
      </c>
      <c r="E191" s="10" t="s">
        <v>3912</v>
      </c>
      <c r="F191" s="10" t="s">
        <v>574</v>
      </c>
      <c r="G191" s="13" t="s">
        <v>3913</v>
      </c>
      <c r="H191" s="15" t="s">
        <v>3914</v>
      </c>
      <c r="I191" s="10" t="s">
        <v>73</v>
      </c>
      <c r="J191" s="10" t="s">
        <v>3915</v>
      </c>
      <c r="K191" s="10" t="s">
        <v>3916</v>
      </c>
      <c r="L191" s="10">
        <v>2.607571559E9</v>
      </c>
      <c r="M191" s="10" t="s">
        <v>3917</v>
      </c>
      <c r="N191" s="10" t="s">
        <v>3918</v>
      </c>
      <c r="O191" s="10"/>
      <c r="P191" s="10"/>
      <c r="Q191" s="10"/>
      <c r="R191" s="10"/>
      <c r="S191" s="10" t="s">
        <v>3864</v>
      </c>
      <c r="T191" s="10" t="s">
        <v>2288</v>
      </c>
      <c r="U191" s="10" t="s">
        <v>80</v>
      </c>
      <c r="V191" s="10">
        <v>35.0</v>
      </c>
      <c r="W191" s="20" t="s">
        <v>56</v>
      </c>
      <c r="X191" s="18">
        <f>COUNTIF('간병인배정'!$B:$B,$A191)</f>
        <v>1</v>
      </c>
      <c r="Y191" s="18">
        <f>SUMIF('간병비지급'!$B:$B,$A191,'간병비지급'!$I:$I)</f>
        <v>2400000</v>
      </c>
      <c r="Z191" s="18">
        <f>COUNTIF('보험청구'!$B:$B,$A191)</f>
        <v>3</v>
      </c>
      <c r="AA191" s="18">
        <f>COUNTIFS('보험청구'!$B:$B,$A191,'보험청구'!$J:$J,"미확인")</f>
        <v>0</v>
      </c>
      <c r="AB191" s="18">
        <f>SUMIF('보험청구'!$B:$B,$A191,'보험청구'!$I:$I)</f>
        <v>516000</v>
      </c>
      <c r="AC191" s="18">
        <f>SUMIF('보험청구'!$B:$B,$A191,'보험청구'!$L:$L)</f>
        <v>2512000</v>
      </c>
      <c r="AD191" s="30">
        <v>46221.0</v>
      </c>
      <c r="AE191" s="39">
        <v>46266.0</v>
      </c>
      <c r="AF191" s="10">
        <f t="shared" si="4"/>
        <v>17</v>
      </c>
      <c r="AG191" s="10" t="str">
        <f t="shared" si="2"/>
        <v>정상</v>
      </c>
      <c r="AH191" s="26" t="s">
        <v>3923</v>
      </c>
      <c r="AI191" s="10"/>
      <c r="AJ191" s="10"/>
    </row>
    <row r="192" ht="15.75" customHeight="1">
      <c r="A192" s="10" t="s">
        <v>2291</v>
      </c>
      <c r="B192" s="13" t="s">
        <v>3924</v>
      </c>
      <c r="C192" s="10" t="s">
        <v>66</v>
      </c>
      <c r="D192" s="14">
        <v>1.9440902E7</v>
      </c>
      <c r="E192" s="20" t="s">
        <v>3925</v>
      </c>
      <c r="F192" s="10" t="s">
        <v>126</v>
      </c>
      <c r="G192" s="13" t="s">
        <v>3926</v>
      </c>
      <c r="H192" s="15" t="s">
        <v>3927</v>
      </c>
      <c r="I192" s="10" t="s">
        <v>106</v>
      </c>
      <c r="J192" s="10" t="s">
        <v>3928</v>
      </c>
      <c r="K192" s="10" t="s">
        <v>3929</v>
      </c>
      <c r="L192" s="10">
        <v>2.607572187E9</v>
      </c>
      <c r="M192" s="10" t="s">
        <v>3930</v>
      </c>
      <c r="N192" s="10" t="s">
        <v>3931</v>
      </c>
      <c r="O192" s="10"/>
      <c r="P192" s="10"/>
      <c r="Q192" s="10"/>
      <c r="R192" s="10"/>
      <c r="S192" s="10" t="s">
        <v>834</v>
      </c>
      <c r="T192" s="10" t="s">
        <v>97</v>
      </c>
      <c r="U192" s="10" t="s">
        <v>322</v>
      </c>
      <c r="V192" s="10"/>
      <c r="W192" s="10" t="s">
        <v>56</v>
      </c>
      <c r="X192" s="18">
        <f>COUNTIF('간병인배정'!$B:$B,$A192)</f>
        <v>1</v>
      </c>
      <c r="Y192" s="18">
        <f>SUMIF('간병비지급'!$B:$B,$A192,'간병비지급'!$I:$I)</f>
        <v>3220000</v>
      </c>
      <c r="Z192" s="18">
        <f>COUNTIF('보험청구'!$B:$B,$A192)</f>
        <v>2</v>
      </c>
      <c r="AA192" s="18">
        <f>COUNTIFS('보험청구'!$B:$B,$A192,'보험청구'!$J:$J,"미확인")</f>
        <v>0</v>
      </c>
      <c r="AB192" s="18">
        <f>SUMIF('보험청구'!$B:$B,$A192,'보험청구'!$I:$I)</f>
        <v>0</v>
      </c>
      <c r="AC192" s="18">
        <f>SUMIF('보험청구'!$B:$B,$A192,'보험청구'!$L:$L)</f>
        <v>2736000</v>
      </c>
      <c r="AD192" s="30">
        <v>46225.0</v>
      </c>
      <c r="AE192" s="30">
        <v>46244.0</v>
      </c>
      <c r="AF192" s="10">
        <f t="shared" si="4"/>
        <v>39</v>
      </c>
      <c r="AG192" s="10" t="str">
        <f t="shared" si="2"/>
        <v>정상</v>
      </c>
      <c r="AH192" s="25"/>
      <c r="AI192" s="10"/>
      <c r="AJ192" s="10"/>
    </row>
    <row r="193" ht="15.75" customHeight="1">
      <c r="A193" s="10" t="s">
        <v>2309</v>
      </c>
      <c r="B193" s="13" t="s">
        <v>3936</v>
      </c>
      <c r="C193" s="10" t="s">
        <v>66</v>
      </c>
      <c r="D193" s="14">
        <v>1.9621217E7</v>
      </c>
      <c r="E193" s="10" t="s">
        <v>3937</v>
      </c>
      <c r="F193" s="10" t="s">
        <v>467</v>
      </c>
      <c r="G193" s="13" t="s">
        <v>546</v>
      </c>
      <c r="H193" s="15" t="s">
        <v>3938</v>
      </c>
      <c r="I193" s="10" t="s">
        <v>106</v>
      </c>
      <c r="J193" s="10" t="s">
        <v>3939</v>
      </c>
      <c r="K193" s="10" t="s">
        <v>3940</v>
      </c>
      <c r="L193" s="10">
        <v>2.607572965E9</v>
      </c>
      <c r="M193" s="10" t="s">
        <v>3941</v>
      </c>
      <c r="N193" s="10" t="s">
        <v>3942</v>
      </c>
      <c r="O193" s="10"/>
      <c r="P193" s="10"/>
      <c r="Q193" s="10"/>
      <c r="R193" s="10"/>
      <c r="S193" s="10" t="s">
        <v>834</v>
      </c>
      <c r="T193" s="10" t="s">
        <v>97</v>
      </c>
      <c r="U193" s="10" t="s">
        <v>322</v>
      </c>
      <c r="V193" s="10"/>
      <c r="W193" s="10" t="s">
        <v>56</v>
      </c>
      <c r="X193" s="18">
        <f>COUNTIF('간병인배정'!$B:$B,$A193)</f>
        <v>1</v>
      </c>
      <c r="Y193" s="18">
        <f>SUMIF('간병비지급'!$B:$B,$A193,'간병비지급'!$I:$I)</f>
        <v>2100000</v>
      </c>
      <c r="Z193" s="18">
        <f>COUNTIF('보험청구'!$B:$B,$A193)</f>
        <v>1</v>
      </c>
      <c r="AA193" s="18">
        <f>COUNTIFS('보험청구'!$B:$B,$A193,'보험청구'!$J:$J,"미확인")</f>
        <v>0</v>
      </c>
      <c r="AB193" s="18">
        <f>SUMIF('보험청구'!$B:$B,$A193,'보험청구'!$I:$I)</f>
        <v>0</v>
      </c>
      <c r="AC193" s="18">
        <f>SUMIF('보험청구'!$B:$B,$A193,'보험청구'!$L:$L)</f>
        <v>1806000</v>
      </c>
      <c r="AD193" s="30">
        <v>46225.0</v>
      </c>
      <c r="AE193" s="10"/>
      <c r="AF193" s="10" t="str">
        <f t="shared" si="4"/>
        <v/>
      </c>
      <c r="AG193" s="10" t="str">
        <f t="shared" si="2"/>
        <v>정상</v>
      </c>
      <c r="AH193" s="26" t="s">
        <v>3950</v>
      </c>
      <c r="AI193" s="10"/>
      <c r="AJ193" s="10"/>
    </row>
    <row r="194" ht="15.75" customHeight="1">
      <c r="A194" s="10" t="s">
        <v>2317</v>
      </c>
      <c r="B194" s="13" t="s">
        <v>3951</v>
      </c>
      <c r="C194" s="10" t="s">
        <v>66</v>
      </c>
      <c r="D194" s="14">
        <v>1.9681104E7</v>
      </c>
      <c r="E194" s="10" t="s">
        <v>3952</v>
      </c>
      <c r="F194" s="10" t="s">
        <v>391</v>
      </c>
      <c r="G194" s="13" t="s">
        <v>2294</v>
      </c>
      <c r="H194" s="15" t="s">
        <v>3953</v>
      </c>
      <c r="I194" s="10" t="s">
        <v>73</v>
      </c>
      <c r="J194" s="10" t="s">
        <v>3954</v>
      </c>
      <c r="K194" s="10" t="s">
        <v>3805</v>
      </c>
      <c r="L194" s="10">
        <v>2.607573881E9</v>
      </c>
      <c r="M194" s="10" t="s">
        <v>893</v>
      </c>
      <c r="N194" s="10" t="s">
        <v>803</v>
      </c>
      <c r="O194" s="10"/>
      <c r="P194" s="10"/>
      <c r="Q194" s="20" t="s">
        <v>77</v>
      </c>
      <c r="R194" s="20"/>
      <c r="S194" s="20" t="s">
        <v>2194</v>
      </c>
      <c r="T194" s="20" t="s">
        <v>100</v>
      </c>
      <c r="U194" s="10" t="s">
        <v>80</v>
      </c>
      <c r="V194" s="10"/>
      <c r="W194" s="20" t="s">
        <v>56</v>
      </c>
      <c r="X194" s="18">
        <f>COUNTIF('간병인배정'!$B:$B,$A194)</f>
        <v>1</v>
      </c>
      <c r="Y194" s="18">
        <f>SUMIF('간병비지급'!$B:$B,$A194,'간병비지급'!$I:$I)</f>
        <v>648000</v>
      </c>
      <c r="Z194" s="18">
        <f>COUNTIF('보험청구'!$B:$B,$A194)</f>
        <v>1</v>
      </c>
      <c r="AA194" s="18">
        <f>COUNTIFS('보험청구'!$B:$B,$A194,'보험청구'!$J:$J,"미확인")</f>
        <v>0</v>
      </c>
      <c r="AB194" s="18">
        <f>SUMIF('보험청구'!$B:$B,$A194,'보험청구'!$I:$I)</f>
        <v>774000</v>
      </c>
      <c r="AC194" s="18">
        <f>SUMIF('보험청구'!$B:$B,$A194,'보험청구'!$L:$L)</f>
        <v>0</v>
      </c>
      <c r="AD194" s="39">
        <v>46219.0</v>
      </c>
      <c r="AE194" s="10"/>
      <c r="AF194" s="10" t="str">
        <f t="shared" si="4"/>
        <v/>
      </c>
      <c r="AG194" s="10" t="str">
        <f t="shared" si="2"/>
        <v>정상</v>
      </c>
      <c r="AH194" s="25"/>
      <c r="AI194" s="10"/>
      <c r="AJ194" s="10"/>
    </row>
    <row r="195" ht="15.75" customHeight="1">
      <c r="A195" s="10" t="s">
        <v>2333</v>
      </c>
      <c r="B195" s="13" t="s">
        <v>3958</v>
      </c>
      <c r="C195" s="10" t="s">
        <v>66</v>
      </c>
      <c r="D195" s="14">
        <v>1.9601002E7</v>
      </c>
      <c r="E195" s="10" t="s">
        <v>3959</v>
      </c>
      <c r="F195" s="10" t="s">
        <v>743</v>
      </c>
      <c r="G195" s="13" t="s">
        <v>3497</v>
      </c>
      <c r="H195" s="15" t="s">
        <v>3960</v>
      </c>
      <c r="I195" s="10" t="s">
        <v>106</v>
      </c>
      <c r="J195" s="10" t="s">
        <v>3961</v>
      </c>
      <c r="K195" s="10" t="s">
        <v>2549</v>
      </c>
      <c r="L195" s="10">
        <v>2.607630146E9</v>
      </c>
      <c r="M195" s="10" t="s">
        <v>3962</v>
      </c>
      <c r="N195" s="10" t="s">
        <v>3963</v>
      </c>
      <c r="O195" s="10"/>
      <c r="P195" s="10"/>
      <c r="Q195" s="10"/>
      <c r="R195" s="10"/>
      <c r="S195" s="10" t="s">
        <v>98</v>
      </c>
      <c r="T195" s="10" t="s">
        <v>98</v>
      </c>
      <c r="U195" s="10" t="s">
        <v>322</v>
      </c>
      <c r="V195" s="10"/>
      <c r="W195" s="10" t="s">
        <v>56</v>
      </c>
      <c r="X195" s="18">
        <f>COUNTIF('간병인배정'!$B:$B,$A195)</f>
        <v>1</v>
      </c>
      <c r="Y195" s="18">
        <f>SUMIF('간병비지급'!$B:$B,$A195,'간병비지급'!$I:$I)</f>
        <v>140000</v>
      </c>
      <c r="Z195" s="18">
        <f>COUNTIF('보험청구'!$B:$B,$A195)</f>
        <v>1</v>
      </c>
      <c r="AA195" s="18">
        <f>COUNTIFS('보험청구'!$B:$B,$A195,'보험청구'!$J:$J,"미확인")</f>
        <v>0</v>
      </c>
      <c r="AB195" s="18">
        <f>SUMIF('보험청구'!$B:$B,$A195,'보험청구'!$I:$I)</f>
        <v>0</v>
      </c>
      <c r="AC195" s="18">
        <f>SUMIF('보험청구'!$B:$B,$A195,'보험청구'!$L:$L)</f>
        <v>0</v>
      </c>
      <c r="AD195" s="30">
        <v>46223.0</v>
      </c>
      <c r="AE195" s="10"/>
      <c r="AF195" s="10" t="str">
        <f t="shared" si="4"/>
        <v/>
      </c>
      <c r="AG195" s="10" t="str">
        <f t="shared" si="2"/>
        <v>정상</v>
      </c>
      <c r="AH195" s="26" t="s">
        <v>3967</v>
      </c>
      <c r="AI195" s="10"/>
      <c r="AJ195" s="10"/>
    </row>
    <row r="196" ht="15.75" customHeight="1">
      <c r="A196" s="10" t="s">
        <v>2347</v>
      </c>
      <c r="B196" s="13" t="s">
        <v>3958</v>
      </c>
      <c r="C196" s="10" t="s">
        <v>66</v>
      </c>
      <c r="D196" s="14">
        <v>1.9601002E7</v>
      </c>
      <c r="E196" s="10" t="s">
        <v>3959</v>
      </c>
      <c r="F196" s="10" t="s">
        <v>743</v>
      </c>
      <c r="G196" s="13" t="s">
        <v>3497</v>
      </c>
      <c r="H196" s="15" t="s">
        <v>3960</v>
      </c>
      <c r="I196" s="10" t="s">
        <v>106</v>
      </c>
      <c r="J196" s="10" t="s">
        <v>3961</v>
      </c>
      <c r="K196" s="10" t="s">
        <v>2549</v>
      </c>
      <c r="L196" s="10">
        <v>2.607630146E9</v>
      </c>
      <c r="M196" s="10" t="s">
        <v>3962</v>
      </c>
      <c r="N196" s="10" t="s">
        <v>3963</v>
      </c>
      <c r="O196" s="10"/>
      <c r="P196" s="10"/>
      <c r="Q196" s="10"/>
      <c r="R196" s="10"/>
      <c r="S196" s="10" t="s">
        <v>98</v>
      </c>
      <c r="T196" s="10" t="s">
        <v>98</v>
      </c>
      <c r="U196" s="10" t="s">
        <v>322</v>
      </c>
      <c r="V196" s="10"/>
      <c r="W196" s="10" t="s">
        <v>65</v>
      </c>
      <c r="X196" s="18">
        <f>COUNTIF('간병인배정'!$B:$B,$A196)</f>
        <v>1</v>
      </c>
      <c r="Y196" s="18">
        <f>SUMIF('간병비지급'!$B:$B,$A196,'간병비지급'!$I:$I)</f>
        <v>8400000</v>
      </c>
      <c r="Z196" s="18">
        <f>COUNTIF('보험청구'!$B:$B,$A196)</f>
        <v>6</v>
      </c>
      <c r="AA196" s="18">
        <f>COUNTIFS('보험청구'!$B:$B,$A196,'보험청구'!$J:$J,"미확인")</f>
        <v>0</v>
      </c>
      <c r="AB196" s="18">
        <f>SUMIF('보험청구'!$B:$B,$A196,'보험청구'!$I:$I)</f>
        <v>1485000</v>
      </c>
      <c r="AC196" s="18">
        <f>SUMIF('보험청구'!$B:$B,$A196,'보험청구'!$L:$L)</f>
        <v>7304000</v>
      </c>
      <c r="AD196" s="30">
        <v>46224.0</v>
      </c>
      <c r="AE196" s="39">
        <v>46275.0</v>
      </c>
      <c r="AF196" s="10">
        <f t="shared" si="4"/>
        <v>8</v>
      </c>
      <c r="AG196" s="10" t="str">
        <f t="shared" si="2"/>
        <v>정상</v>
      </c>
      <c r="AH196" s="26" t="s">
        <v>3972</v>
      </c>
      <c r="AI196" s="10"/>
      <c r="AJ196" s="10"/>
    </row>
    <row r="197" ht="15.75" customHeight="1">
      <c r="A197" s="10" t="s">
        <v>2357</v>
      </c>
      <c r="B197" s="13" t="s">
        <v>3973</v>
      </c>
      <c r="C197" s="10" t="s">
        <v>212</v>
      </c>
      <c r="D197" s="14">
        <v>1.963121E7</v>
      </c>
      <c r="E197" s="10" t="s">
        <v>3974</v>
      </c>
      <c r="F197" s="10" t="s">
        <v>391</v>
      </c>
      <c r="G197" s="13" t="s">
        <v>411</v>
      </c>
      <c r="H197" s="15" t="s">
        <v>3975</v>
      </c>
      <c r="I197" s="10" t="s">
        <v>106</v>
      </c>
      <c r="J197" s="10" t="s">
        <v>3976</v>
      </c>
      <c r="K197" s="10" t="s">
        <v>3977</v>
      </c>
      <c r="L197" s="10">
        <v>2.607630298E9</v>
      </c>
      <c r="M197" s="10" t="s">
        <v>3271</v>
      </c>
      <c r="N197" s="10" t="s">
        <v>3272</v>
      </c>
      <c r="O197" s="10"/>
      <c r="P197" s="10"/>
      <c r="Q197" s="10" t="s">
        <v>77</v>
      </c>
      <c r="R197" s="10"/>
      <c r="S197" s="10" t="s">
        <v>98</v>
      </c>
      <c r="T197" s="10" t="s">
        <v>3978</v>
      </c>
      <c r="U197" s="10" t="s">
        <v>322</v>
      </c>
      <c r="V197" s="10"/>
      <c r="W197" s="10" t="s">
        <v>56</v>
      </c>
      <c r="X197" s="18">
        <f>COUNTIF('간병인배정'!$B:$B,$A197)</f>
        <v>1</v>
      </c>
      <c r="Y197" s="18">
        <f>SUMIF('간병비지급'!$B:$B,$A197,'간병비지급'!$I:$I)</f>
        <v>560000</v>
      </c>
      <c r="Z197" s="18">
        <f>COUNTIF('보험청구'!$B:$B,$A197)</f>
        <v>1</v>
      </c>
      <c r="AA197" s="18">
        <f>COUNTIFS('보험청구'!$B:$B,$A197,'보험청구'!$J:$J,"미확인")</f>
        <v>0</v>
      </c>
      <c r="AB197" s="18">
        <f>SUMIF('보험청구'!$B:$B,$A197,'보험청구'!$I:$I)</f>
        <v>576000</v>
      </c>
      <c r="AC197" s="18">
        <f>SUMIF('보험청구'!$B:$B,$A197,'보험청구'!$L:$L)</f>
        <v>0</v>
      </c>
      <c r="AD197" s="30">
        <v>46219.0</v>
      </c>
      <c r="AE197" s="10"/>
      <c r="AF197" s="10" t="str">
        <f t="shared" si="4"/>
        <v/>
      </c>
      <c r="AG197" s="10" t="str">
        <f t="shared" si="2"/>
        <v>정상</v>
      </c>
      <c r="AH197" s="26"/>
      <c r="AI197" s="10"/>
      <c r="AJ197" s="10"/>
    </row>
    <row r="198" ht="15.75" customHeight="1">
      <c r="A198" s="10" t="s">
        <v>2368</v>
      </c>
      <c r="B198" s="13" t="s">
        <v>3973</v>
      </c>
      <c r="C198" s="10" t="s">
        <v>212</v>
      </c>
      <c r="D198" s="14">
        <v>1.963121E7</v>
      </c>
      <c r="E198" s="10" t="s">
        <v>3974</v>
      </c>
      <c r="F198" s="10" t="s">
        <v>391</v>
      </c>
      <c r="G198" s="13" t="s">
        <v>411</v>
      </c>
      <c r="H198" s="15" t="s">
        <v>3975</v>
      </c>
      <c r="I198" s="10" t="s">
        <v>106</v>
      </c>
      <c r="J198" s="10" t="s">
        <v>3976</v>
      </c>
      <c r="K198" s="10" t="s">
        <v>3977</v>
      </c>
      <c r="L198" s="10">
        <v>2.607630298E9</v>
      </c>
      <c r="M198" s="10" t="s">
        <v>3271</v>
      </c>
      <c r="N198" s="10" t="s">
        <v>3272</v>
      </c>
      <c r="O198" s="10"/>
      <c r="P198" s="10"/>
      <c r="Q198" s="10" t="s">
        <v>77</v>
      </c>
      <c r="R198" s="10"/>
      <c r="S198" s="10" t="s">
        <v>98</v>
      </c>
      <c r="T198" s="10" t="s">
        <v>3978</v>
      </c>
      <c r="U198" s="10" t="s">
        <v>322</v>
      </c>
      <c r="V198" s="10"/>
      <c r="W198" s="20" t="s">
        <v>56</v>
      </c>
      <c r="X198" s="18">
        <f>COUNTIF('간병인배정'!$B:$B,$A198)</f>
        <v>1</v>
      </c>
      <c r="Y198" s="18">
        <f>SUMIF('간병비지급'!$B:$B,$A198,'간병비지급'!$I:$I)</f>
        <v>4480000</v>
      </c>
      <c r="Z198" s="18">
        <f>COUNTIF('보험청구'!$B:$B,$A198)</f>
        <v>2</v>
      </c>
      <c r="AA198" s="18">
        <f>COUNTIFS('보험청구'!$B:$B,$A198,'보험청구'!$J:$J,"미확인")</f>
        <v>0</v>
      </c>
      <c r="AB198" s="18">
        <f>SUMIF('보험청구'!$B:$B,$A198,'보험청구'!$I:$I)</f>
        <v>4653000</v>
      </c>
      <c r="AC198" s="18">
        <f>SUMIF('보험청구'!$B:$B,$A198,'보험청구'!$L:$L)</f>
        <v>0</v>
      </c>
      <c r="AD198" s="30">
        <v>46224.0</v>
      </c>
      <c r="AE198" s="39">
        <v>46261.0</v>
      </c>
      <c r="AF198" s="20">
        <v>41.0</v>
      </c>
      <c r="AG198" s="10" t="str">
        <f t="shared" si="2"/>
        <v>정상</v>
      </c>
      <c r="AH198" s="26" t="s">
        <v>3986</v>
      </c>
      <c r="AI198" s="10"/>
      <c r="AJ198" s="10"/>
    </row>
    <row r="199" ht="15.75" customHeight="1">
      <c r="A199" s="10" t="s">
        <v>2378</v>
      </c>
      <c r="B199" s="13" t="s">
        <v>3988</v>
      </c>
      <c r="C199" s="10" t="s">
        <v>212</v>
      </c>
      <c r="D199" s="14">
        <v>1.9721006E7</v>
      </c>
      <c r="E199" s="10" t="s">
        <v>3989</v>
      </c>
      <c r="F199" s="10" t="s">
        <v>467</v>
      </c>
      <c r="G199" s="13" t="s">
        <v>468</v>
      </c>
      <c r="H199" s="86" t="s">
        <v>3990</v>
      </c>
      <c r="I199" s="10" t="s">
        <v>73</v>
      </c>
      <c r="J199" s="10" t="s">
        <v>3994</v>
      </c>
      <c r="K199" s="10" t="s">
        <v>3996</v>
      </c>
      <c r="L199" s="10">
        <v>2.607630471E9</v>
      </c>
      <c r="M199" s="10" t="s">
        <v>3997</v>
      </c>
      <c r="N199" s="10" t="s">
        <v>3998</v>
      </c>
      <c r="O199" s="10"/>
      <c r="P199" s="10"/>
      <c r="Q199" s="10" t="s">
        <v>77</v>
      </c>
      <c r="R199" s="10"/>
      <c r="S199" s="10" t="s">
        <v>98</v>
      </c>
      <c r="T199" s="10" t="s">
        <v>3999</v>
      </c>
      <c r="U199" s="10" t="s">
        <v>80</v>
      </c>
      <c r="V199" s="10">
        <v>16.0</v>
      </c>
      <c r="W199" s="20" t="s">
        <v>56</v>
      </c>
      <c r="X199" s="18">
        <f>COUNTIF('간병인배정'!$B:$B,$A199)</f>
        <v>1</v>
      </c>
      <c r="Y199" s="18">
        <f>SUMIF('간병비지급'!$B:$B,$A199,'간병비지급'!$I:$I)</f>
        <v>400000</v>
      </c>
      <c r="Z199" s="18">
        <f>COUNTIF('보험청구'!$B:$B,$A199)</f>
        <v>1</v>
      </c>
      <c r="AA199" s="18">
        <f>COUNTIFS('보험청구'!$B:$B,$A199,'보험청구'!$J:$J,"미확인")</f>
        <v>0</v>
      </c>
      <c r="AB199" s="18">
        <f>SUMIF('보험청구'!$B:$B,$A199,'보험청구'!$I:$I)</f>
        <v>430000</v>
      </c>
      <c r="AC199" s="18">
        <f>SUMIF('보험청구'!$B:$B,$A199,'보험청구'!$L:$L)</f>
        <v>0</v>
      </c>
      <c r="AD199" s="30">
        <v>46224.0</v>
      </c>
      <c r="AE199" s="10"/>
      <c r="AF199" s="10" t="str">
        <f t="shared" ref="AF199:AF203" si="5">IF($AE199="","",$AJ$1-$AE199)</f>
        <v/>
      </c>
      <c r="AG199" s="10" t="str">
        <f t="shared" si="2"/>
        <v>정상</v>
      </c>
      <c r="AH199" s="26" t="s">
        <v>4006</v>
      </c>
      <c r="AI199" s="10"/>
      <c r="AJ199" s="10"/>
    </row>
    <row r="200" ht="15.75" customHeight="1">
      <c r="A200" s="10" t="s">
        <v>4007</v>
      </c>
      <c r="B200" s="13" t="s">
        <v>4008</v>
      </c>
      <c r="C200" s="10" t="s">
        <v>212</v>
      </c>
      <c r="D200" s="14">
        <v>1.9550715E7</v>
      </c>
      <c r="E200" s="10" t="s">
        <v>4009</v>
      </c>
      <c r="F200" s="10" t="s">
        <v>391</v>
      </c>
      <c r="G200" s="13" t="s">
        <v>4010</v>
      </c>
      <c r="H200" s="15" t="s">
        <v>4011</v>
      </c>
      <c r="I200" s="10" t="s">
        <v>106</v>
      </c>
      <c r="J200" s="10" t="s">
        <v>4013</v>
      </c>
      <c r="K200" s="10" t="s">
        <v>4014</v>
      </c>
      <c r="L200" s="10">
        <v>2.607661943E9</v>
      </c>
      <c r="M200" s="10" t="s">
        <v>2264</v>
      </c>
      <c r="N200" s="10" t="s">
        <v>2266</v>
      </c>
      <c r="O200" s="10"/>
      <c r="P200" s="10"/>
      <c r="Q200" s="10"/>
      <c r="R200" s="20"/>
      <c r="S200" s="20"/>
      <c r="T200" s="10"/>
      <c r="U200" s="10" t="s">
        <v>322</v>
      </c>
      <c r="V200" s="10"/>
      <c r="W200" s="20" t="s">
        <v>178</v>
      </c>
      <c r="X200" s="18">
        <f>COUNTIF('간병인배정'!$B:$B,$A200)</f>
        <v>0</v>
      </c>
      <c r="Y200" s="18">
        <f>SUMIF('간병비지급'!$B:$B,$A200,'간병비지급'!$I:$I)</f>
        <v>0</v>
      </c>
      <c r="Z200" s="18">
        <f>COUNTIF('보험청구'!$B:$B,$A200)</f>
        <v>0</v>
      </c>
      <c r="AA200" s="18">
        <f>COUNTIFS('보험청구'!$B:$B,$A200,'보험청구'!$J:$J,"미확인")</f>
        <v>0</v>
      </c>
      <c r="AB200" s="18">
        <f>SUMIF('보험청구'!$B:$B,$A200,'보험청구'!$I:$I)</f>
        <v>0</v>
      </c>
      <c r="AC200" s="18">
        <f>SUMIF('보험청구'!$B:$B,$A200,'보험청구'!$L:$L)</f>
        <v>0</v>
      </c>
      <c r="AD200" s="10"/>
      <c r="AE200" s="10"/>
      <c r="AF200" s="10" t="str">
        <f t="shared" si="5"/>
        <v/>
      </c>
      <c r="AG200" s="10" t="str">
        <f t="shared" si="2"/>
        <v>제외</v>
      </c>
      <c r="AH200" s="25" t="s">
        <v>4018</v>
      </c>
      <c r="AI200" s="10"/>
      <c r="AJ200" s="10"/>
    </row>
    <row r="201" ht="15.75" customHeight="1">
      <c r="A201" s="10" t="s">
        <v>2391</v>
      </c>
      <c r="B201" s="13" t="s">
        <v>4019</v>
      </c>
      <c r="C201" s="10" t="s">
        <v>66</v>
      </c>
      <c r="D201" s="14">
        <v>1.9551225E7</v>
      </c>
      <c r="E201" s="10" t="s">
        <v>4020</v>
      </c>
      <c r="F201" s="10" t="s">
        <v>126</v>
      </c>
      <c r="G201" s="13" t="s">
        <v>392</v>
      </c>
      <c r="H201" s="15" t="s">
        <v>2355</v>
      </c>
      <c r="I201" s="10" t="s">
        <v>106</v>
      </c>
      <c r="J201" s="10" t="s">
        <v>4022</v>
      </c>
      <c r="K201" s="10" t="s">
        <v>4023</v>
      </c>
      <c r="L201" s="10">
        <v>2.607763413E9</v>
      </c>
      <c r="M201" s="10" t="s">
        <v>3337</v>
      </c>
      <c r="N201" s="10" t="s">
        <v>3338</v>
      </c>
      <c r="O201" s="10"/>
      <c r="P201" s="10"/>
      <c r="Q201" s="10"/>
      <c r="R201" s="10"/>
      <c r="S201" s="10"/>
      <c r="T201" s="10" t="s">
        <v>97</v>
      </c>
      <c r="U201" s="10" t="s">
        <v>322</v>
      </c>
      <c r="V201" s="10"/>
      <c r="W201" s="10" t="s">
        <v>56</v>
      </c>
      <c r="X201" s="18">
        <f>COUNTIF('간병인배정'!$B:$B,$A201)</f>
        <v>1</v>
      </c>
      <c r="Y201" s="18">
        <f>SUMIF('간병비지급'!$B:$B,$A201,'간병비지급'!$I:$I)</f>
        <v>280000</v>
      </c>
      <c r="Z201" s="18">
        <f>COUNTIF('보험청구'!$B:$B,$A201)</f>
        <v>1</v>
      </c>
      <c r="AA201" s="18">
        <f>COUNTIFS('보험청구'!$B:$B,$A201,'보험청구'!$J:$J,"미확인")</f>
        <v>0</v>
      </c>
      <c r="AB201" s="18">
        <f>SUMIF('보험청구'!$B:$B,$A201,'보험청구'!$I:$I)</f>
        <v>288000</v>
      </c>
      <c r="AC201" s="18">
        <f>SUMIF('보험청구'!$B:$B,$A201,'보험청구'!$L:$L)</f>
        <v>0</v>
      </c>
      <c r="AD201" s="30">
        <v>46226.0</v>
      </c>
      <c r="AE201" s="30">
        <v>46228.0</v>
      </c>
      <c r="AF201" s="10">
        <f t="shared" si="5"/>
        <v>55</v>
      </c>
      <c r="AG201" s="10" t="str">
        <f t="shared" si="2"/>
        <v>정상</v>
      </c>
      <c r="AH201" s="25"/>
      <c r="AI201" s="10"/>
      <c r="AJ201" s="10"/>
    </row>
    <row r="202" ht="15.75" customHeight="1">
      <c r="A202" s="10" t="s">
        <v>2399</v>
      </c>
      <c r="B202" s="13" t="s">
        <v>4027</v>
      </c>
      <c r="C202" s="10" t="s">
        <v>212</v>
      </c>
      <c r="D202" s="14">
        <v>1.9840706E7</v>
      </c>
      <c r="E202" s="10" t="s">
        <v>4028</v>
      </c>
      <c r="F202" s="10" t="s">
        <v>1274</v>
      </c>
      <c r="G202" s="13" t="s">
        <v>2643</v>
      </c>
      <c r="H202" s="15" t="s">
        <v>4029</v>
      </c>
      <c r="I202" s="10" t="s">
        <v>106</v>
      </c>
      <c r="J202" s="10" t="s">
        <v>4030</v>
      </c>
      <c r="K202" s="10" t="s">
        <v>4031</v>
      </c>
      <c r="L202" s="10">
        <v>2.607763508E9</v>
      </c>
      <c r="M202" s="10" t="s">
        <v>4032</v>
      </c>
      <c r="N202" s="10" t="s">
        <v>4033</v>
      </c>
      <c r="O202" s="10"/>
      <c r="P202" s="10"/>
      <c r="Q202" s="10"/>
      <c r="R202" s="10"/>
      <c r="S202" s="10" t="s">
        <v>113</v>
      </c>
      <c r="T202" s="10" t="s">
        <v>3978</v>
      </c>
      <c r="U202" s="10" t="s">
        <v>322</v>
      </c>
      <c r="V202" s="10"/>
      <c r="W202" s="10" t="s">
        <v>56</v>
      </c>
      <c r="X202" s="18">
        <f>COUNTIF('간병인배정'!$B:$B,$A202)</f>
        <v>1</v>
      </c>
      <c r="Y202" s="18">
        <f>SUMIF('간병비지급'!$B:$B,$A202,'간병비지급'!$I:$I)</f>
        <v>1040000</v>
      </c>
      <c r="Z202" s="18">
        <f>COUNTIF('보험청구'!$B:$B,$A202)</f>
        <v>1</v>
      </c>
      <c r="AA202" s="18">
        <f>COUNTIFS('보험청구'!$B:$B,$A202,'보험청구'!$J:$J,"미확인")</f>
        <v>0</v>
      </c>
      <c r="AB202" s="18">
        <f>SUMIF('보험청구'!$B:$B,$A202,'보험청구'!$I:$I)</f>
        <v>1152000</v>
      </c>
      <c r="AC202" s="18">
        <f>SUMIF('보험청구'!$B:$B,$A202,'보험청구'!$L:$L)</f>
        <v>0</v>
      </c>
      <c r="AD202" s="30">
        <v>46225.0</v>
      </c>
      <c r="AE202" s="30">
        <v>46234.0</v>
      </c>
      <c r="AF202" s="10">
        <f t="shared" si="5"/>
        <v>49</v>
      </c>
      <c r="AG202" s="10" t="str">
        <f t="shared" si="2"/>
        <v>정상</v>
      </c>
      <c r="AH202" s="25" t="s">
        <v>1040</v>
      </c>
      <c r="AI202" s="10"/>
      <c r="AJ202" s="10"/>
    </row>
    <row r="203" ht="15.75" customHeight="1">
      <c r="A203" s="10" t="s">
        <v>2416</v>
      </c>
      <c r="B203" s="13" t="s">
        <v>4038</v>
      </c>
      <c r="C203" s="10" t="s">
        <v>212</v>
      </c>
      <c r="D203" s="14">
        <v>1.9740408E7</v>
      </c>
      <c r="E203" s="10" t="s">
        <v>4040</v>
      </c>
      <c r="F203" s="10" t="s">
        <v>743</v>
      </c>
      <c r="G203" s="13" t="s">
        <v>744</v>
      </c>
      <c r="H203" s="15" t="s">
        <v>4041</v>
      </c>
      <c r="I203" s="10" t="s">
        <v>106</v>
      </c>
      <c r="J203" s="10" t="s">
        <v>4042</v>
      </c>
      <c r="K203" s="10" t="s">
        <v>4043</v>
      </c>
      <c r="L203" s="10">
        <v>2.607799789E9</v>
      </c>
      <c r="M203" s="10" t="s">
        <v>4044</v>
      </c>
      <c r="N203" s="10" t="s">
        <v>4045</v>
      </c>
      <c r="O203" s="10"/>
      <c r="P203" s="10"/>
      <c r="Q203" s="10"/>
      <c r="R203" s="10"/>
      <c r="S203" s="10" t="s">
        <v>97</v>
      </c>
      <c r="T203" s="10" t="s">
        <v>4046</v>
      </c>
      <c r="U203" s="10" t="s">
        <v>322</v>
      </c>
      <c r="V203" s="10"/>
      <c r="W203" s="10" t="s">
        <v>56</v>
      </c>
      <c r="X203" s="18">
        <f>COUNTIF('간병인배정'!$B:$B,$A203)</f>
        <v>1</v>
      </c>
      <c r="Y203" s="18">
        <f>SUMIF('간병비지급'!$B:$B,$A203,'간병비지급'!$I:$I)</f>
        <v>2090000</v>
      </c>
      <c r="Z203" s="18">
        <f>COUNTIF('보험청구'!$B:$B,$A203)</f>
        <v>1</v>
      </c>
      <c r="AA203" s="18">
        <f>COUNTIFS('보험청구'!$B:$B,$A203,'보험청구'!$J:$J,"미확인")</f>
        <v>0</v>
      </c>
      <c r="AB203" s="18">
        <f>SUMIF('보험청구'!$B:$B,$A203,'보험청구'!$I:$I)</f>
        <v>3211000</v>
      </c>
      <c r="AC203" s="18">
        <f>SUMIF('보험청구'!$B:$B,$A203,'보험청구'!$L:$L)</f>
        <v>0</v>
      </c>
      <c r="AD203" s="30">
        <v>46209.0</v>
      </c>
      <c r="AE203" s="30">
        <v>46227.0</v>
      </c>
      <c r="AF203" s="10">
        <f t="shared" si="5"/>
        <v>56</v>
      </c>
      <c r="AG203" s="10" t="str">
        <f t="shared" si="2"/>
        <v>정상</v>
      </c>
      <c r="AH203" s="25" t="s">
        <v>4051</v>
      </c>
      <c r="AI203" s="10"/>
      <c r="AJ203" s="10"/>
    </row>
    <row r="204" ht="15.75" customHeight="1">
      <c r="A204" s="10" t="s">
        <v>2426</v>
      </c>
      <c r="B204" s="13" t="s">
        <v>4052</v>
      </c>
      <c r="C204" s="10" t="s">
        <v>66</v>
      </c>
      <c r="D204" s="14">
        <v>1.9590526E7</v>
      </c>
      <c r="E204" s="10" t="s">
        <v>4053</v>
      </c>
      <c r="F204" s="10" t="s">
        <v>126</v>
      </c>
      <c r="G204" s="13" t="s">
        <v>4054</v>
      </c>
      <c r="H204" s="15" t="s">
        <v>3291</v>
      </c>
      <c r="I204" s="20" t="s">
        <v>73</v>
      </c>
      <c r="J204" s="10" t="s">
        <v>4055</v>
      </c>
      <c r="K204" s="10" t="s">
        <v>183</v>
      </c>
      <c r="L204" s="10">
        <v>2.607763413E9</v>
      </c>
      <c r="M204" s="20" t="s">
        <v>4056</v>
      </c>
      <c r="N204" s="20" t="s">
        <v>4057</v>
      </c>
      <c r="O204" s="10"/>
      <c r="P204" s="10"/>
      <c r="Q204" s="10" t="s">
        <v>77</v>
      </c>
      <c r="R204" s="10"/>
      <c r="S204" s="10" t="s">
        <v>3978</v>
      </c>
      <c r="T204" s="10" t="s">
        <v>4058</v>
      </c>
      <c r="U204" s="10" t="s">
        <v>322</v>
      </c>
      <c r="V204" s="10"/>
      <c r="W204" s="20" t="s">
        <v>56</v>
      </c>
      <c r="X204" s="18">
        <f>COUNTIF('간병인배정'!$B:$B,$A204)</f>
        <v>1</v>
      </c>
      <c r="Y204" s="18">
        <f>SUMIF('간병비지급'!$B:$B,$A204,'간병비지급'!$I:$I)</f>
        <v>1950000</v>
      </c>
      <c r="Z204" s="18">
        <f>COUNTIF('보험청구'!$B:$B,$A204)</f>
        <v>1</v>
      </c>
      <c r="AA204" s="18">
        <f>COUNTIFS('보험청구'!$B:$B,$A204,'보험청구'!$J:$J,"미확인")</f>
        <v>0</v>
      </c>
      <c r="AB204" s="18">
        <f>SUMIF('보험청구'!$B:$B,$A204,'보험청구'!$I:$I)</f>
        <v>0</v>
      </c>
      <c r="AC204" s="18">
        <f>SUMIF('보험청구'!$B:$B,$A204,'보험청구'!$L:$L)</f>
        <v>2480000</v>
      </c>
      <c r="AD204" s="30">
        <v>46240.0</v>
      </c>
      <c r="AE204" s="39">
        <v>46255.0</v>
      </c>
      <c r="AF204" s="20">
        <v>16.0</v>
      </c>
      <c r="AG204" s="10" t="str">
        <f t="shared" si="2"/>
        <v>정상</v>
      </c>
      <c r="AH204" s="26" t="s">
        <v>4061</v>
      </c>
      <c r="AI204" s="10"/>
      <c r="AJ204" s="10"/>
    </row>
    <row r="205" ht="15.75" customHeight="1">
      <c r="A205" s="10" t="s">
        <v>2437</v>
      </c>
      <c r="B205" s="13" t="s">
        <v>1894</v>
      </c>
      <c r="C205" s="10" t="s">
        <v>66</v>
      </c>
      <c r="D205" s="14">
        <v>2.0240405E7</v>
      </c>
      <c r="E205" s="10" t="s">
        <v>1897</v>
      </c>
      <c r="F205" s="10" t="s">
        <v>1104</v>
      </c>
      <c r="G205" s="13" t="s">
        <v>1105</v>
      </c>
      <c r="H205" s="15" t="s">
        <v>1899</v>
      </c>
      <c r="I205" s="10" t="s">
        <v>106</v>
      </c>
      <c r="J205" s="10" t="s">
        <v>1902</v>
      </c>
      <c r="K205" s="10" t="s">
        <v>1903</v>
      </c>
      <c r="L205" s="10">
        <v>2.604192301E9</v>
      </c>
      <c r="M205" s="20" t="s">
        <v>1138</v>
      </c>
      <c r="N205" s="20" t="s">
        <v>1139</v>
      </c>
      <c r="O205" s="10"/>
      <c r="P205" s="10"/>
      <c r="Q205" s="10"/>
      <c r="R205" s="10"/>
      <c r="S205" s="10" t="s">
        <v>4062</v>
      </c>
      <c r="T205" s="10" t="s">
        <v>2053</v>
      </c>
      <c r="U205" s="10" t="s">
        <v>322</v>
      </c>
      <c r="V205" s="10"/>
      <c r="W205" s="10" t="s">
        <v>56</v>
      </c>
      <c r="X205" s="18">
        <f>COUNTIF('간병인배정'!$B:$B,$A205)</f>
        <v>1</v>
      </c>
      <c r="Y205" s="18">
        <f>SUMIF('간병비지급'!$B:$B,$A205,'간병비지급'!$I:$I)</f>
        <v>130000</v>
      </c>
      <c r="Z205" s="18">
        <f>COUNTIF('보험청구'!$B:$B,$A205)</f>
        <v>0</v>
      </c>
      <c r="AA205" s="18">
        <f>COUNTIFS('보험청구'!$B:$B,$A205,'보험청구'!$J:$J,"미확인")</f>
        <v>0</v>
      </c>
      <c r="AB205" s="18">
        <f>SUMIF('보험청구'!$B:$B,$A205,'보험청구'!$I:$I)</f>
        <v>0</v>
      </c>
      <c r="AC205" s="18">
        <f>SUMIF('보험청구'!$B:$B,$A205,'보험청구'!$L:$L)</f>
        <v>0</v>
      </c>
      <c r="AD205" s="30">
        <v>46226.0</v>
      </c>
      <c r="AE205" s="10"/>
      <c r="AF205" s="10" t="str">
        <f t="shared" ref="AF205:AF206" si="6">IF($AE205="","",$AJ$1-$AE205)</f>
        <v/>
      </c>
      <c r="AG205" s="10" t="str">
        <f t="shared" si="2"/>
        <v>미청구(완료·무청구)</v>
      </c>
      <c r="AH205" s="42" t="s">
        <v>4065</v>
      </c>
      <c r="AI205" s="10"/>
      <c r="AJ205" s="10"/>
    </row>
    <row r="206" ht="15.75" customHeight="1">
      <c r="A206" s="10" t="s">
        <v>2458</v>
      </c>
      <c r="B206" s="13" t="s">
        <v>1894</v>
      </c>
      <c r="C206" s="10"/>
      <c r="D206" s="14"/>
      <c r="E206" s="10"/>
      <c r="F206" s="10"/>
      <c r="G206" s="13"/>
      <c r="H206" s="15"/>
      <c r="I206" s="10" t="s">
        <v>106</v>
      </c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 t="s">
        <v>56</v>
      </c>
      <c r="X206" s="18">
        <f>COUNTIF('간병인배정'!$B:$B,$A206)</f>
        <v>1</v>
      </c>
      <c r="Y206" s="18">
        <f>SUMIF('간병비지급'!$B:$B,$A206,'간병비지급'!$I:$I)</f>
        <v>520000</v>
      </c>
      <c r="Z206" s="18">
        <f>COUNTIF('보험청구'!$B:$B,$A206)</f>
        <v>1</v>
      </c>
      <c r="AA206" s="18">
        <f>COUNTIFS('보험청구'!$B:$B,$A206,'보험청구'!$J:$J,"미확인")</f>
        <v>0</v>
      </c>
      <c r="AB206" s="18">
        <f>SUMIF('보험청구'!$B:$B,$A206,'보험청구'!$I:$I)</f>
        <v>576000</v>
      </c>
      <c r="AC206" s="18">
        <f>SUMIF('보험청구'!$B:$B,$A206,'보험청구'!$L:$L)</f>
        <v>0</v>
      </c>
      <c r="AD206" s="30">
        <v>46226.0</v>
      </c>
      <c r="AE206" s="30">
        <v>46229.0</v>
      </c>
      <c r="AF206" s="10">
        <f t="shared" si="6"/>
        <v>54</v>
      </c>
      <c r="AG206" s="10" t="str">
        <f t="shared" si="2"/>
        <v>정상</v>
      </c>
      <c r="AH206" s="25"/>
      <c r="AI206" s="10"/>
      <c r="AJ206" s="10"/>
    </row>
    <row r="207" ht="15.75" customHeight="1">
      <c r="A207" s="10" t="s">
        <v>2464</v>
      </c>
      <c r="B207" s="13" t="s">
        <v>3237</v>
      </c>
      <c r="C207" s="10" t="s">
        <v>66</v>
      </c>
      <c r="D207" s="14"/>
      <c r="E207" s="10" t="s">
        <v>3238</v>
      </c>
      <c r="F207" s="10" t="s">
        <v>168</v>
      </c>
      <c r="G207" s="13" t="s">
        <v>313</v>
      </c>
      <c r="H207" s="15" t="s">
        <v>4068</v>
      </c>
      <c r="I207" s="10" t="s">
        <v>106</v>
      </c>
      <c r="J207" s="10" t="s">
        <v>3240</v>
      </c>
      <c r="K207" s="10" t="s">
        <v>3241</v>
      </c>
      <c r="L207" s="10">
        <v>2.607939473E9</v>
      </c>
      <c r="M207" s="10" t="s">
        <v>4069</v>
      </c>
      <c r="N207" s="10" t="s">
        <v>4070</v>
      </c>
      <c r="O207" s="10"/>
      <c r="P207" s="10"/>
      <c r="Q207" s="10" t="s">
        <v>132</v>
      </c>
      <c r="R207" s="10"/>
      <c r="S207" s="10" t="s">
        <v>2053</v>
      </c>
      <c r="T207" s="10" t="s">
        <v>100</v>
      </c>
      <c r="U207" s="10" t="s">
        <v>322</v>
      </c>
      <c r="V207" s="10"/>
      <c r="W207" s="20" t="s">
        <v>56</v>
      </c>
      <c r="X207" s="18">
        <f>COUNTIF('간병인배정'!$B:$B,$A207)</f>
        <v>1</v>
      </c>
      <c r="Y207" s="18">
        <f>SUMIF('간병비지급'!$B:$B,$A207,'간병비지급'!$I:$I)</f>
        <v>2030000</v>
      </c>
      <c r="Z207" s="18">
        <f>COUNTIF('보험청구'!$B:$B,$A207)</f>
        <v>1</v>
      </c>
      <c r="AA207" s="18">
        <f>COUNTIFS('보험청구'!$B:$B,$A207,'보험청구'!$J:$J,"미확인")</f>
        <v>0</v>
      </c>
      <c r="AB207" s="18">
        <f>SUMIF('보험청구'!$B:$B,$A207,'보험청구'!$I:$I)</f>
        <v>2016000</v>
      </c>
      <c r="AC207" s="18">
        <f>SUMIF('보험청구'!$B:$B,$A207,'보험청구'!$L:$L)</f>
        <v>0</v>
      </c>
      <c r="AD207" s="30">
        <v>46227.0</v>
      </c>
      <c r="AE207" s="39">
        <v>46240.0</v>
      </c>
      <c r="AF207" s="20">
        <v>29.0</v>
      </c>
      <c r="AG207" s="10" t="str">
        <f t="shared" si="2"/>
        <v>정상</v>
      </c>
      <c r="AH207" s="26"/>
      <c r="AI207" s="10"/>
      <c r="AJ207" s="10"/>
    </row>
    <row r="208" ht="15.75" customHeight="1">
      <c r="A208" s="10" t="s">
        <v>2479</v>
      </c>
      <c r="B208" s="13" t="s">
        <v>3907</v>
      </c>
      <c r="C208" s="10" t="s">
        <v>212</v>
      </c>
      <c r="D208" s="14">
        <v>1.9550825E7</v>
      </c>
      <c r="E208" s="10" t="s">
        <v>4074</v>
      </c>
      <c r="F208" s="10" t="s">
        <v>1948</v>
      </c>
      <c r="G208" s="13" t="s">
        <v>2961</v>
      </c>
      <c r="H208" s="15" t="s">
        <v>4075</v>
      </c>
      <c r="I208" s="10" t="s">
        <v>106</v>
      </c>
      <c r="J208" s="10" t="s">
        <v>4076</v>
      </c>
      <c r="K208" s="10" t="s">
        <v>4077</v>
      </c>
      <c r="L208" s="10" t="s">
        <v>4078</v>
      </c>
      <c r="M208" s="10"/>
      <c r="N208" s="20" t="s">
        <v>4079</v>
      </c>
      <c r="O208" s="10"/>
      <c r="P208" s="10"/>
      <c r="Q208" s="10" t="s">
        <v>132</v>
      </c>
      <c r="R208" s="10"/>
      <c r="S208" s="10" t="s">
        <v>855</v>
      </c>
      <c r="T208" s="10" t="s">
        <v>2417</v>
      </c>
      <c r="U208" s="10" t="s">
        <v>322</v>
      </c>
      <c r="V208" s="10"/>
      <c r="W208" s="10" t="s">
        <v>56</v>
      </c>
      <c r="X208" s="18">
        <f>COUNTIF('간병인배정'!$B:$B,$A208)</f>
        <v>1</v>
      </c>
      <c r="Y208" s="18">
        <f>SUMIF('간병비지급'!$B:$B,$A208,'간병비지급'!$I:$I)</f>
        <v>1050000</v>
      </c>
      <c r="Z208" s="18">
        <f>COUNTIF('보험청구'!$B:$B,$A208)</f>
        <v>1</v>
      </c>
      <c r="AA208" s="18">
        <f>COUNTIFS('보험청구'!$B:$B,$A208,'보험청구'!$J:$J,"미확인")</f>
        <v>0</v>
      </c>
      <c r="AB208" s="18">
        <f>SUMIF('보험청구'!$B:$B,$A208,'보험청구'!$I:$I)</f>
        <v>1008000</v>
      </c>
      <c r="AC208" s="18">
        <f>SUMIF('보험청구'!$B:$B,$A208,'보험청구'!$L:$L)</f>
        <v>0</v>
      </c>
      <c r="AD208" s="30">
        <v>46237.0</v>
      </c>
      <c r="AE208" s="30">
        <v>46244.0</v>
      </c>
      <c r="AF208" s="10">
        <f>IF($AE208="","",$AJ$1-$AE208)</f>
        <v>39</v>
      </c>
      <c r="AG208" s="10" t="str">
        <f t="shared" si="2"/>
        <v>정상</v>
      </c>
      <c r="AH208" s="25" t="s">
        <v>4083</v>
      </c>
      <c r="AI208" s="10"/>
      <c r="AJ208" s="10"/>
    </row>
    <row r="209" ht="15.75" customHeight="1">
      <c r="A209" s="10" t="s">
        <v>2490</v>
      </c>
      <c r="B209" s="13" t="s">
        <v>4084</v>
      </c>
      <c r="C209" s="10" t="s">
        <v>212</v>
      </c>
      <c r="D209" s="14">
        <v>1.9630622E7</v>
      </c>
      <c r="E209" s="10" t="s">
        <v>4085</v>
      </c>
      <c r="F209" s="10" t="s">
        <v>126</v>
      </c>
      <c r="G209" s="13" t="s">
        <v>127</v>
      </c>
      <c r="H209" s="15" t="s">
        <v>4086</v>
      </c>
      <c r="I209" s="10" t="s">
        <v>106</v>
      </c>
      <c r="J209" s="10" t="s">
        <v>4087</v>
      </c>
      <c r="K209" s="10" t="s">
        <v>4088</v>
      </c>
      <c r="L209" s="10" t="s">
        <v>4089</v>
      </c>
      <c r="M209" s="10" t="s">
        <v>4090</v>
      </c>
      <c r="N209" s="10" t="s">
        <v>4091</v>
      </c>
      <c r="O209" s="10"/>
      <c r="P209" s="10"/>
      <c r="Q209" s="10" t="s">
        <v>77</v>
      </c>
      <c r="R209" s="10"/>
      <c r="S209" s="10" t="s">
        <v>855</v>
      </c>
      <c r="T209" s="10" t="s">
        <v>855</v>
      </c>
      <c r="U209" s="10" t="s">
        <v>322</v>
      </c>
      <c r="V209" s="10"/>
      <c r="W209" s="20" t="s">
        <v>56</v>
      </c>
      <c r="X209" s="18">
        <f>COUNTIF('간병인배정'!$B:$B,$A209)</f>
        <v>1</v>
      </c>
      <c r="Y209" s="18">
        <f>SUMIF('간병비지급'!$B:$B,$A209,'간병비지급'!$I:$I)</f>
        <v>4185000</v>
      </c>
      <c r="Z209" s="18">
        <f>COUNTIF('보험청구'!$B:$B,$A209)</f>
        <v>2</v>
      </c>
      <c r="AA209" s="18">
        <f>COUNTIFS('보험청구'!$B:$B,$A209,'보험청구'!$J:$J,"미확인")</f>
        <v>0</v>
      </c>
      <c r="AB209" s="18">
        <f>SUMIF('보험청구'!$B:$B,$A209,'보험청구'!$I:$I)</f>
        <v>3024000</v>
      </c>
      <c r="AC209" s="18">
        <f>SUMIF('보험청구'!$B:$B,$A209,'보험청구'!$L:$L)</f>
        <v>0</v>
      </c>
      <c r="AD209" s="30">
        <v>46233.0</v>
      </c>
      <c r="AE209" s="39">
        <v>46265.0</v>
      </c>
      <c r="AF209" s="20">
        <v>11.0</v>
      </c>
      <c r="AG209" s="10" t="str">
        <f t="shared" si="2"/>
        <v>정상</v>
      </c>
      <c r="AH209" s="25"/>
      <c r="AI209" s="10"/>
      <c r="AJ209" s="10"/>
    </row>
    <row r="210" ht="15.75" customHeight="1">
      <c r="A210" s="10" t="s">
        <v>2508</v>
      </c>
      <c r="B210" s="13" t="s">
        <v>4094</v>
      </c>
      <c r="C210" s="10" t="s">
        <v>212</v>
      </c>
      <c r="D210" s="14">
        <v>1.9630902E7</v>
      </c>
      <c r="E210" s="10" t="s">
        <v>4095</v>
      </c>
      <c r="F210" s="10" t="s">
        <v>126</v>
      </c>
      <c r="G210" s="13" t="s">
        <v>3616</v>
      </c>
      <c r="H210" s="15" t="s">
        <v>4096</v>
      </c>
      <c r="I210" s="10" t="s">
        <v>106</v>
      </c>
      <c r="J210" s="10" t="s">
        <v>4097</v>
      </c>
      <c r="K210" s="10" t="s">
        <v>4098</v>
      </c>
      <c r="L210" s="10" t="s">
        <v>4099</v>
      </c>
      <c r="M210" s="10" t="s">
        <v>4100</v>
      </c>
      <c r="N210" s="10" t="s">
        <v>4101</v>
      </c>
      <c r="O210" s="10"/>
      <c r="P210" s="10"/>
      <c r="Q210" s="10" t="s">
        <v>132</v>
      </c>
      <c r="R210" s="10"/>
      <c r="S210" s="10" t="s">
        <v>629</v>
      </c>
      <c r="T210" s="10" t="s">
        <v>629</v>
      </c>
      <c r="U210" s="10" t="s">
        <v>322</v>
      </c>
      <c r="V210" s="10"/>
      <c r="W210" s="10" t="s">
        <v>56</v>
      </c>
      <c r="X210" s="18">
        <f>COUNTIF('간병인배정'!$B:$B,$A210)</f>
        <v>1</v>
      </c>
      <c r="Y210" s="18">
        <f>SUMIF('간병비지급'!$B:$B,$A210,'간병비지급'!$I:$I)</f>
        <v>1560000</v>
      </c>
      <c r="Z210" s="18">
        <f>COUNTIF('보험청구'!$B:$B,$A210)</f>
        <v>1</v>
      </c>
      <c r="AA210" s="18">
        <f>COUNTIFS('보험청구'!$B:$B,$A210,'보험청구'!$J:$J,"미확인")</f>
        <v>0</v>
      </c>
      <c r="AB210" s="18">
        <f>SUMIF('보험청구'!$B:$B,$A210,'보험청구'!$I:$I)</f>
        <v>1680000</v>
      </c>
      <c r="AC210" s="18">
        <f>SUMIF('보험청구'!$B:$B,$A210,'보험청구'!$L:$L)</f>
        <v>0</v>
      </c>
      <c r="AD210" s="30">
        <v>46234.0</v>
      </c>
      <c r="AE210" s="39">
        <v>46261.0</v>
      </c>
      <c r="AF210" s="20">
        <v>12.0</v>
      </c>
      <c r="AG210" s="10" t="str">
        <f t="shared" si="2"/>
        <v>정상</v>
      </c>
      <c r="AH210" s="25"/>
      <c r="AI210" s="10"/>
      <c r="AJ210" s="10"/>
    </row>
    <row r="211" ht="15.75" customHeight="1">
      <c r="A211" s="10" t="s">
        <v>2517</v>
      </c>
      <c r="B211" s="13" t="s">
        <v>4105</v>
      </c>
      <c r="C211" s="10" t="s">
        <v>66</v>
      </c>
      <c r="D211" s="14">
        <v>1.9901228E7</v>
      </c>
      <c r="E211" s="10" t="s">
        <v>4106</v>
      </c>
      <c r="F211" s="10" t="s">
        <v>126</v>
      </c>
      <c r="G211" s="13" t="s">
        <v>3901</v>
      </c>
      <c r="H211" s="15" t="s">
        <v>4107</v>
      </c>
      <c r="I211" s="10" t="s">
        <v>106</v>
      </c>
      <c r="J211" s="10" t="s">
        <v>4108</v>
      </c>
      <c r="K211" s="10" t="s">
        <v>4109</v>
      </c>
      <c r="L211" s="10" t="s">
        <v>4110</v>
      </c>
      <c r="M211" s="10" t="s">
        <v>4111</v>
      </c>
      <c r="N211" s="10" t="s">
        <v>4112</v>
      </c>
      <c r="O211" s="10"/>
      <c r="P211" s="10"/>
      <c r="Q211" s="10" t="s">
        <v>132</v>
      </c>
      <c r="R211" s="10"/>
      <c r="S211" s="10" t="s">
        <v>629</v>
      </c>
      <c r="T211" s="10" t="s">
        <v>629</v>
      </c>
      <c r="U211" s="10" t="s">
        <v>322</v>
      </c>
      <c r="V211" s="10"/>
      <c r="W211" s="10" t="s">
        <v>56</v>
      </c>
      <c r="X211" s="18">
        <f>COUNTIF('간병인배정'!$B:$B,$A211)</f>
        <v>1</v>
      </c>
      <c r="Y211" s="18">
        <f>SUMIF('간병비지급'!$B:$B,$A211,'간병비지급'!$I:$I)</f>
        <v>700000</v>
      </c>
      <c r="Z211" s="18">
        <f>COUNTIF('보험청구'!$B:$B,$A211)</f>
        <v>1</v>
      </c>
      <c r="AA211" s="18">
        <f>COUNTIFS('보험청구'!$B:$B,$A211,'보험청구'!$J:$J,"미확인")</f>
        <v>0</v>
      </c>
      <c r="AB211" s="18">
        <f>SUMIF('보험청구'!$B:$B,$A211,'보험청구'!$I:$I)</f>
        <v>675000</v>
      </c>
      <c r="AC211" s="18">
        <f>SUMIF('보험청구'!$B:$B,$A211,'보험청구'!$L:$L)</f>
        <v>0</v>
      </c>
      <c r="AD211" s="30">
        <v>46234.0</v>
      </c>
      <c r="AE211" s="30">
        <v>46239.0</v>
      </c>
      <c r="AF211" s="10">
        <f t="shared" ref="AF211:AF213" si="7">IF($AE211="","",$AJ$1-$AE211)</f>
        <v>44</v>
      </c>
      <c r="AG211" s="10" t="str">
        <f t="shared" si="2"/>
        <v>정상</v>
      </c>
      <c r="AH211" s="25"/>
      <c r="AI211" s="10"/>
      <c r="AJ211" s="10"/>
    </row>
    <row r="212" ht="15.75" customHeight="1">
      <c r="A212" s="10" t="s">
        <v>2532</v>
      </c>
      <c r="B212" s="13" t="s">
        <v>3944</v>
      </c>
      <c r="C212" s="10" t="s">
        <v>66</v>
      </c>
      <c r="D212" s="14">
        <v>1.9560603E7</v>
      </c>
      <c r="E212" s="10" t="s">
        <v>4117</v>
      </c>
      <c r="F212" s="10" t="s">
        <v>168</v>
      </c>
      <c r="G212" s="13" t="s">
        <v>170</v>
      </c>
      <c r="H212" s="15" t="s">
        <v>4118</v>
      </c>
      <c r="I212" s="10" t="s">
        <v>106</v>
      </c>
      <c r="J212" s="10" t="s">
        <v>4120</v>
      </c>
      <c r="K212" s="10" t="s">
        <v>4121</v>
      </c>
      <c r="L212" s="10">
        <v>2.608244703E9</v>
      </c>
      <c r="M212" s="10" t="s">
        <v>4122</v>
      </c>
      <c r="N212" s="10" t="s">
        <v>4123</v>
      </c>
      <c r="O212" s="10"/>
      <c r="P212" s="10"/>
      <c r="Q212" s="10" t="s">
        <v>132</v>
      </c>
      <c r="R212" s="10"/>
      <c r="S212" s="10" t="s">
        <v>3078</v>
      </c>
      <c r="T212" s="10" t="s">
        <v>3078</v>
      </c>
      <c r="U212" s="10" t="s">
        <v>322</v>
      </c>
      <c r="V212" s="10"/>
      <c r="W212" s="20" t="s">
        <v>56</v>
      </c>
      <c r="X212" s="18">
        <f>COUNTIF('간병인배정'!$B:$B,$A212)</f>
        <v>1</v>
      </c>
      <c r="Y212" s="18">
        <f>SUMIF('간병비지급'!$B:$B,$A212,'간병비지급'!$I:$I)</f>
        <v>600000</v>
      </c>
      <c r="Z212" s="18">
        <f>COUNTIF('보험청구'!$B:$B,$A212)</f>
        <v>2</v>
      </c>
      <c r="AA212" s="18">
        <f>COUNTIFS('보험청구'!$B:$B,$A212,'보험청구'!$J:$J,"미확인")</f>
        <v>0</v>
      </c>
      <c r="AB212" s="18">
        <f>SUMIF('보험청구'!$B:$B,$A212,'보험청구'!$I:$I)</f>
        <v>1440000</v>
      </c>
      <c r="AC212" s="18">
        <f>SUMIF('보험청구'!$B:$B,$A212,'보험청구'!$L:$L)</f>
        <v>0</v>
      </c>
      <c r="AD212" s="30">
        <v>46240.0</v>
      </c>
      <c r="AE212" s="30">
        <v>46244.0</v>
      </c>
      <c r="AF212" s="10">
        <f t="shared" si="7"/>
        <v>39</v>
      </c>
      <c r="AG212" s="10" t="str">
        <f t="shared" si="2"/>
        <v>정상</v>
      </c>
      <c r="AH212" s="26" t="s">
        <v>4126</v>
      </c>
      <c r="AI212" s="10"/>
      <c r="AJ212" s="10"/>
    </row>
    <row r="213" ht="15.75" customHeight="1">
      <c r="A213" s="10" t="s">
        <v>2544</v>
      </c>
      <c r="B213" s="13" t="s">
        <v>4128</v>
      </c>
      <c r="C213" s="10" t="s">
        <v>212</v>
      </c>
      <c r="D213" s="14">
        <v>1.943063E7</v>
      </c>
      <c r="E213" s="10" t="s">
        <v>4129</v>
      </c>
      <c r="F213" s="10" t="s">
        <v>168</v>
      </c>
      <c r="G213" s="13" t="s">
        <v>4130</v>
      </c>
      <c r="H213" s="15" t="s">
        <v>4131</v>
      </c>
      <c r="I213" s="10" t="s">
        <v>106</v>
      </c>
      <c r="J213" s="10" t="s">
        <v>4132</v>
      </c>
      <c r="K213" s="10" t="s">
        <v>4133</v>
      </c>
      <c r="L213" s="10">
        <v>2.608291774E9</v>
      </c>
      <c r="M213" s="20" t="s">
        <v>4134</v>
      </c>
      <c r="N213" s="20" t="s">
        <v>4135</v>
      </c>
      <c r="O213" s="10"/>
      <c r="P213" s="10"/>
      <c r="Q213" s="10" t="s">
        <v>132</v>
      </c>
      <c r="R213" s="10"/>
      <c r="S213" s="10" t="s">
        <v>4046</v>
      </c>
      <c r="T213" s="10" t="s">
        <v>868</v>
      </c>
      <c r="U213" s="10" t="s">
        <v>322</v>
      </c>
      <c r="V213" s="10" t="s">
        <v>2977</v>
      </c>
      <c r="W213" s="10" t="s">
        <v>56</v>
      </c>
      <c r="X213" s="18">
        <f>COUNTIF('간병인배정'!$B:$B,$A213)</f>
        <v>1</v>
      </c>
      <c r="Y213" s="18">
        <f>SUMIF('간병비지급'!$B:$B,$A213,'간병비지급'!$I:$I)</f>
        <v>520000</v>
      </c>
      <c r="Z213" s="18">
        <f>COUNTIF('보험청구'!$B:$B,$A213)</f>
        <v>1</v>
      </c>
      <c r="AA213" s="18">
        <f>COUNTIFS('보험청구'!$B:$B,$A213,'보험청구'!$J:$J,"미확인")</f>
        <v>0</v>
      </c>
      <c r="AB213" s="18">
        <f>SUMIF('보험청구'!$B:$B,$A213,'보험청구'!$I:$I)</f>
        <v>0</v>
      </c>
      <c r="AC213" s="18">
        <f>SUMIF('보험청구'!$B:$B,$A213,'보험청구'!$L:$L)</f>
        <v>568000</v>
      </c>
      <c r="AD213" s="30">
        <v>46241.0</v>
      </c>
      <c r="AE213" s="30">
        <v>46244.0</v>
      </c>
      <c r="AF213" s="10">
        <f t="shared" si="7"/>
        <v>39</v>
      </c>
      <c r="AG213" s="10" t="str">
        <f t="shared" si="2"/>
        <v>정상</v>
      </c>
      <c r="AH213" s="25" t="s">
        <v>1040</v>
      </c>
      <c r="AI213" s="10"/>
      <c r="AJ213" s="10"/>
    </row>
    <row r="214" ht="15.75" customHeight="1">
      <c r="A214" s="10" t="s">
        <v>2562</v>
      </c>
      <c r="B214" s="13" t="s">
        <v>4128</v>
      </c>
      <c r="C214" s="10" t="s">
        <v>212</v>
      </c>
      <c r="D214" s="14">
        <v>1.943063E7</v>
      </c>
      <c r="E214" s="10" t="s">
        <v>4129</v>
      </c>
      <c r="F214" s="10" t="s">
        <v>168</v>
      </c>
      <c r="G214" s="13" t="s">
        <v>4130</v>
      </c>
      <c r="H214" s="15" t="s">
        <v>4131</v>
      </c>
      <c r="I214" s="10" t="s">
        <v>106</v>
      </c>
      <c r="J214" s="10" t="s">
        <v>4132</v>
      </c>
      <c r="K214" s="10" t="s">
        <v>4133</v>
      </c>
      <c r="L214" s="10">
        <v>2.608291774E9</v>
      </c>
      <c r="M214" s="20" t="s">
        <v>4134</v>
      </c>
      <c r="N214" s="10" t="s">
        <v>4139</v>
      </c>
      <c r="O214" s="10"/>
      <c r="P214" s="10"/>
      <c r="Q214" s="10" t="s">
        <v>132</v>
      </c>
      <c r="R214" s="10"/>
      <c r="S214" s="10" t="s">
        <v>4046</v>
      </c>
      <c r="T214" s="10" t="s">
        <v>868</v>
      </c>
      <c r="U214" s="10" t="s">
        <v>322</v>
      </c>
      <c r="V214" s="10" t="s">
        <v>2977</v>
      </c>
      <c r="W214" s="20" t="s">
        <v>56</v>
      </c>
      <c r="X214" s="18">
        <f>COUNTIF('간병인배정'!$B:$B,$A214)</f>
        <v>1</v>
      </c>
      <c r="Y214" s="18">
        <f>SUMIF('간병비지급'!$B:$B,$A214,'간병비지급'!$I:$I)</f>
        <v>1820000</v>
      </c>
      <c r="Z214" s="18">
        <f>COUNTIF('보험청구'!$B:$B,$A214)</f>
        <v>1</v>
      </c>
      <c r="AA214" s="18">
        <f>COUNTIFS('보험청구'!$B:$B,$A214,'보험청구'!$J:$J,"미확인")</f>
        <v>0</v>
      </c>
      <c r="AB214" s="18">
        <f>SUMIF('보험청구'!$B:$B,$A214,'보험청구'!$I:$I)</f>
        <v>0</v>
      </c>
      <c r="AC214" s="18">
        <f>SUMIF('보험청구'!$B:$B,$A214,'보험청구'!$L:$L)</f>
        <v>2016000</v>
      </c>
      <c r="AD214" s="30">
        <v>46245.0</v>
      </c>
      <c r="AE214" s="39">
        <v>46259.0</v>
      </c>
      <c r="AF214" s="20">
        <v>18.0</v>
      </c>
      <c r="AG214" s="10" t="str">
        <f t="shared" si="2"/>
        <v>정상</v>
      </c>
      <c r="AH214" s="25" t="s">
        <v>1040</v>
      </c>
      <c r="AI214" s="10"/>
      <c r="AJ214" s="10"/>
    </row>
    <row r="215" ht="15.75" customHeight="1">
      <c r="A215" s="10" t="s">
        <v>2571</v>
      </c>
      <c r="B215" s="13" t="s">
        <v>4144</v>
      </c>
      <c r="C215" s="10" t="s">
        <v>66</v>
      </c>
      <c r="D215" s="14">
        <v>2.0160823E7</v>
      </c>
      <c r="E215" s="10" t="s">
        <v>4145</v>
      </c>
      <c r="F215" s="10" t="s">
        <v>987</v>
      </c>
      <c r="G215" s="13" t="s">
        <v>4146</v>
      </c>
      <c r="H215" s="15" t="s">
        <v>4147</v>
      </c>
      <c r="I215" s="10" t="s">
        <v>106</v>
      </c>
      <c r="J215" s="10" t="s">
        <v>4148</v>
      </c>
      <c r="K215" s="10" t="s">
        <v>4149</v>
      </c>
      <c r="L215" s="10">
        <v>2.608291849E9</v>
      </c>
      <c r="M215" s="10" t="s">
        <v>3337</v>
      </c>
      <c r="N215" s="10" t="s">
        <v>3338</v>
      </c>
      <c r="O215" s="10"/>
      <c r="P215" s="10"/>
      <c r="Q215" s="10" t="s">
        <v>77</v>
      </c>
      <c r="R215" s="10"/>
      <c r="S215" s="10" t="s">
        <v>868</v>
      </c>
      <c r="T215" s="10" t="s">
        <v>868</v>
      </c>
      <c r="U215" s="10" t="s">
        <v>322</v>
      </c>
      <c r="V215" s="10"/>
      <c r="W215" s="20" t="s">
        <v>56</v>
      </c>
      <c r="X215" s="18">
        <f>COUNTIF('간병인배정'!$B:$B,$A215)</f>
        <v>1</v>
      </c>
      <c r="Y215" s="18">
        <f>SUMIF('간병비지급'!$B:$B,$A215,'간병비지급'!$I:$I)</f>
        <v>1620000</v>
      </c>
      <c r="Z215" s="18">
        <f>COUNTIF('보험청구'!$B:$B,$A215)</f>
        <v>3</v>
      </c>
      <c r="AA215" s="18">
        <f>COUNTIFS('보험청구'!$B:$B,$A215,'보험청구'!$J:$J,"미확인")</f>
        <v>0</v>
      </c>
      <c r="AB215" s="18">
        <f>SUMIF('보험청구'!$B:$B,$A215,'보험청구'!$I:$I)</f>
        <v>1728000</v>
      </c>
      <c r="AC215" s="18">
        <f>SUMIF('보험청구'!$B:$B,$A215,'보험청구'!$L:$L)</f>
        <v>0</v>
      </c>
      <c r="AD215" s="30">
        <v>46240.0</v>
      </c>
      <c r="AE215" s="30">
        <v>46244.0</v>
      </c>
      <c r="AF215" s="10">
        <f t="shared" ref="AF215:AF234" si="8">IF($AE215="","",$AJ$1-$AE215)</f>
        <v>39</v>
      </c>
      <c r="AG215" s="10" t="str">
        <f t="shared" si="2"/>
        <v>정상</v>
      </c>
      <c r="AH215" s="34"/>
      <c r="AI215" s="10"/>
      <c r="AJ215" s="10"/>
    </row>
    <row r="216" ht="15.75" customHeight="1">
      <c r="A216" s="10" t="s">
        <v>2588</v>
      </c>
      <c r="B216" s="13" t="s">
        <v>4157</v>
      </c>
      <c r="C216" s="10" t="s">
        <v>212</v>
      </c>
      <c r="D216" s="14">
        <v>1.9660625E7</v>
      </c>
      <c r="E216" s="10" t="s">
        <v>4158</v>
      </c>
      <c r="F216" s="10" t="s">
        <v>126</v>
      </c>
      <c r="G216" s="13" t="s">
        <v>3901</v>
      </c>
      <c r="H216" s="15" t="s">
        <v>4159</v>
      </c>
      <c r="I216" s="10" t="s">
        <v>106</v>
      </c>
      <c r="J216" s="10" t="s">
        <v>4160</v>
      </c>
      <c r="K216" s="10" t="s">
        <v>4161</v>
      </c>
      <c r="L216" s="10">
        <v>2.608291933E9</v>
      </c>
      <c r="M216" s="10" t="s">
        <v>4162</v>
      </c>
      <c r="N216" s="10" t="s">
        <v>4163</v>
      </c>
      <c r="O216" s="10"/>
      <c r="P216" s="10"/>
      <c r="Q216" s="10" t="s">
        <v>77</v>
      </c>
      <c r="R216" s="10"/>
      <c r="S216" s="10" t="s">
        <v>868</v>
      </c>
      <c r="T216" s="10" t="s">
        <v>645</v>
      </c>
      <c r="U216" s="10" t="s">
        <v>322</v>
      </c>
      <c r="V216" s="10" t="s">
        <v>3398</v>
      </c>
      <c r="W216" s="20" t="s">
        <v>56</v>
      </c>
      <c r="X216" s="18">
        <f>COUNTIF('간병인배정'!$B:$B,$A216)</f>
        <v>1</v>
      </c>
      <c r="Y216" s="18">
        <f>SUMIF('간병비지급'!$B:$B,$A216,'간병비지급'!$I:$I)</f>
        <v>650000</v>
      </c>
      <c r="Z216" s="18">
        <f>COUNTIF('보험청구'!$B:$B,$A216)</f>
        <v>1</v>
      </c>
      <c r="AA216" s="18">
        <f>COUNTIFS('보험청구'!$B:$B,$A216,'보험청구'!$J:$J,"미확인")</f>
        <v>0</v>
      </c>
      <c r="AB216" s="18">
        <f>SUMIF('보험청구'!$B:$B,$A216,'보험청구'!$I:$I)</f>
        <v>0</v>
      </c>
      <c r="AC216" s="18">
        <f>SUMIF('보험청구'!$B:$B,$A216,'보험청구'!$L:$L)</f>
        <v>710000</v>
      </c>
      <c r="AD216" s="30">
        <v>46244.0</v>
      </c>
      <c r="AE216" s="30">
        <v>46248.0</v>
      </c>
      <c r="AF216" s="10">
        <f t="shared" si="8"/>
        <v>35</v>
      </c>
      <c r="AG216" s="10" t="str">
        <f t="shared" si="2"/>
        <v>정상</v>
      </c>
      <c r="AH216" s="34" t="s">
        <v>4168</v>
      </c>
      <c r="AI216" s="10"/>
      <c r="AJ216" s="10"/>
    </row>
    <row r="217" ht="15.75" customHeight="1">
      <c r="A217" s="10" t="s">
        <v>2598</v>
      </c>
      <c r="B217" s="13" t="s">
        <v>2830</v>
      </c>
      <c r="C217" s="10" t="s">
        <v>212</v>
      </c>
      <c r="D217" s="14">
        <v>1.9610628E7</v>
      </c>
      <c r="E217" s="10" t="s">
        <v>4169</v>
      </c>
      <c r="F217" s="10" t="s">
        <v>743</v>
      </c>
      <c r="G217" s="13" t="s">
        <v>744</v>
      </c>
      <c r="H217" s="15" t="s">
        <v>4170</v>
      </c>
      <c r="I217" s="10" t="s">
        <v>106</v>
      </c>
      <c r="J217" s="10"/>
      <c r="K217" s="10"/>
      <c r="L217" s="10"/>
      <c r="M217" s="10"/>
      <c r="N217" s="10"/>
      <c r="O217" s="10"/>
      <c r="P217" s="10"/>
      <c r="Q217" s="10" t="s">
        <v>77</v>
      </c>
      <c r="R217" s="10"/>
      <c r="S217" s="10" t="s">
        <v>868</v>
      </c>
      <c r="T217" s="10" t="s">
        <v>868</v>
      </c>
      <c r="U217" s="10" t="s">
        <v>322</v>
      </c>
      <c r="V217" s="10"/>
      <c r="W217" s="10" t="s">
        <v>178</v>
      </c>
      <c r="X217" s="18">
        <f>COUNTIF('간병인배정'!$B:$B,$A217)</f>
        <v>1</v>
      </c>
      <c r="Y217" s="18">
        <f>SUMIF('간병비지급'!$B:$B,$A217,'간병비지급'!$I:$I)</f>
        <v>0</v>
      </c>
      <c r="Z217" s="18">
        <f>COUNTIF('보험청구'!$B:$B,$A217)</f>
        <v>0</v>
      </c>
      <c r="AA217" s="18">
        <f>COUNTIFS('보험청구'!$B:$B,$A217,'보험청구'!$J:$J,"미확인")</f>
        <v>0</v>
      </c>
      <c r="AB217" s="18">
        <f>SUMIF('보험청구'!$B:$B,$A217,'보험청구'!$I:$I)</f>
        <v>0</v>
      </c>
      <c r="AC217" s="18">
        <f>SUMIF('보험청구'!$B:$B,$A217,'보험청구'!$L:$L)</f>
        <v>0</v>
      </c>
      <c r="AD217" s="30">
        <v>46241.0</v>
      </c>
      <c r="AE217" s="10"/>
      <c r="AF217" s="10" t="str">
        <f t="shared" si="8"/>
        <v/>
      </c>
      <c r="AG217" s="10" t="str">
        <f t="shared" si="2"/>
        <v>제외</v>
      </c>
      <c r="AH217" s="25" t="s">
        <v>4173</v>
      </c>
      <c r="AI217" s="10"/>
      <c r="AJ217" s="10"/>
    </row>
    <row r="218" ht="15.75" customHeight="1">
      <c r="A218" s="10" t="s">
        <v>2609</v>
      </c>
      <c r="B218" s="13" t="s">
        <v>4174</v>
      </c>
      <c r="C218" s="10" t="s">
        <v>212</v>
      </c>
      <c r="D218" s="14">
        <v>1.9720501E7</v>
      </c>
      <c r="E218" s="10" t="s">
        <v>4175</v>
      </c>
      <c r="F218" s="10" t="s">
        <v>168</v>
      </c>
      <c r="G218" s="13" t="s">
        <v>313</v>
      </c>
      <c r="H218" s="15" t="s">
        <v>4176</v>
      </c>
      <c r="I218" s="10" t="s">
        <v>106</v>
      </c>
      <c r="J218" s="10" t="s">
        <v>4177</v>
      </c>
      <c r="K218" s="10" t="s">
        <v>4178</v>
      </c>
      <c r="L218" s="10">
        <v>2.60836111E9</v>
      </c>
      <c r="M218" s="10" t="s">
        <v>4179</v>
      </c>
      <c r="N218" s="10" t="s">
        <v>4180</v>
      </c>
      <c r="O218" s="10"/>
      <c r="P218" s="10"/>
      <c r="Q218" s="10" t="s">
        <v>77</v>
      </c>
      <c r="R218" s="10"/>
      <c r="S218" s="10" t="s">
        <v>4058</v>
      </c>
      <c r="T218" s="10" t="s">
        <v>4058</v>
      </c>
      <c r="U218" s="10" t="s">
        <v>322</v>
      </c>
      <c r="V218" s="10"/>
      <c r="W218" s="20" t="s">
        <v>56</v>
      </c>
      <c r="X218" s="18">
        <f>COUNTIF('간병인배정'!$B:$B,$A218)</f>
        <v>1</v>
      </c>
      <c r="Y218" s="18">
        <f>SUMIF('간병비지급'!$B:$B,$A218,'간병비지급'!$I:$I)</f>
        <v>1690000</v>
      </c>
      <c r="Z218" s="18">
        <f>COUNTIF('보험청구'!$B:$B,$A218)</f>
        <v>3</v>
      </c>
      <c r="AA218" s="18">
        <f>COUNTIFS('보험청구'!$B:$B,$A218,'보험청구'!$J:$J,"미확인")</f>
        <v>0</v>
      </c>
      <c r="AB218" s="18">
        <f>SUMIF('보험청구'!$B:$B,$A218,'보험청구'!$I:$I)</f>
        <v>1890000</v>
      </c>
      <c r="AC218" s="18">
        <f>SUMIF('보험청구'!$B:$B,$A218,'보험청구'!$L:$L)</f>
        <v>0</v>
      </c>
      <c r="AD218" s="30">
        <v>46241.0</v>
      </c>
      <c r="AE218" s="39">
        <v>46258.0</v>
      </c>
      <c r="AF218" s="10">
        <f t="shared" si="8"/>
        <v>25</v>
      </c>
      <c r="AG218" s="10" t="str">
        <f t="shared" si="2"/>
        <v>정상</v>
      </c>
      <c r="AH218" s="32"/>
      <c r="AI218" s="10"/>
      <c r="AJ218" s="10"/>
    </row>
    <row r="219" ht="15.75" customHeight="1">
      <c r="A219" s="10" t="s">
        <v>2794</v>
      </c>
      <c r="B219" s="13" t="s">
        <v>4184</v>
      </c>
      <c r="C219" s="10" t="s">
        <v>66</v>
      </c>
      <c r="D219" s="14">
        <v>1.9750204E7</v>
      </c>
      <c r="E219" s="10" t="s">
        <v>4185</v>
      </c>
      <c r="F219" s="10" t="s">
        <v>245</v>
      </c>
      <c r="G219" s="13" t="s">
        <v>4187</v>
      </c>
      <c r="H219" s="86" t="s">
        <v>4188</v>
      </c>
      <c r="I219" s="20" t="s">
        <v>73</v>
      </c>
      <c r="J219" s="10" t="s">
        <v>4189</v>
      </c>
      <c r="K219" s="10" t="s">
        <v>3805</v>
      </c>
      <c r="L219" s="10">
        <v>2.608417681E9</v>
      </c>
      <c r="M219" s="10" t="s">
        <v>4190</v>
      </c>
      <c r="N219" s="10" t="s">
        <v>4191</v>
      </c>
      <c r="O219" s="10"/>
      <c r="P219" s="10"/>
      <c r="Q219" s="10" t="s">
        <v>77</v>
      </c>
      <c r="R219" s="10"/>
      <c r="S219" s="10" t="s">
        <v>645</v>
      </c>
      <c r="T219" s="10" t="s">
        <v>4192</v>
      </c>
      <c r="U219" s="10" t="s">
        <v>80</v>
      </c>
      <c r="V219" s="10" t="s">
        <v>4193</v>
      </c>
      <c r="W219" s="20" t="s">
        <v>56</v>
      </c>
      <c r="X219" s="18">
        <f>COUNTIF('간병인배정'!$B:$B,$A219)</f>
        <v>1</v>
      </c>
      <c r="Y219" s="18">
        <f>SUMIF('간병비지급'!$B:$B,$A219,'간병비지급'!$I:$I)</f>
        <v>560000</v>
      </c>
      <c r="Z219" s="18">
        <f>COUNTIF('보험청구'!$B:$B,$A219)</f>
        <v>1</v>
      </c>
      <c r="AA219" s="18">
        <f>COUNTIFS('보험청구'!$B:$B,$A219,'보험청구'!$J:$J,"미확인")</f>
        <v>0</v>
      </c>
      <c r="AB219" s="18">
        <f>SUMIF('보험청구'!$B:$B,$A219,'보험청구'!$I:$I)</f>
        <v>0</v>
      </c>
      <c r="AC219" s="18">
        <f>SUMIF('보험청구'!$B:$B,$A219,'보험청구'!$L:$L)</f>
        <v>602000</v>
      </c>
      <c r="AD219" s="39">
        <v>46247.0</v>
      </c>
      <c r="AE219" s="39">
        <v>46258.0</v>
      </c>
      <c r="AF219" s="10">
        <f t="shared" si="8"/>
        <v>25</v>
      </c>
      <c r="AG219" s="10" t="str">
        <f t="shared" si="2"/>
        <v>정상</v>
      </c>
      <c r="AH219" s="25"/>
      <c r="AI219" s="10"/>
      <c r="AJ219" s="10"/>
    </row>
    <row r="220" ht="15.75" customHeight="1">
      <c r="A220" s="10" t="s">
        <v>2618</v>
      </c>
      <c r="B220" s="13" t="s">
        <v>4196</v>
      </c>
      <c r="C220" s="10" t="s">
        <v>66</v>
      </c>
      <c r="D220" s="14">
        <v>1.9401105E7</v>
      </c>
      <c r="E220" s="20" t="s">
        <v>4197</v>
      </c>
      <c r="F220" s="10" t="s">
        <v>391</v>
      </c>
      <c r="G220" s="13" t="s">
        <v>4010</v>
      </c>
      <c r="H220" s="15" t="s">
        <v>4198</v>
      </c>
      <c r="I220" s="10" t="s">
        <v>106</v>
      </c>
      <c r="J220" s="10" t="s">
        <v>4199</v>
      </c>
      <c r="K220" s="10" t="s">
        <v>3078</v>
      </c>
      <c r="L220" s="10">
        <v>2.608453564E9</v>
      </c>
      <c r="M220" s="10" t="s">
        <v>4200</v>
      </c>
      <c r="N220" s="10" t="s">
        <v>4201</v>
      </c>
      <c r="O220" s="10"/>
      <c r="P220" s="10"/>
      <c r="Q220" s="10" t="s">
        <v>77</v>
      </c>
      <c r="R220" s="10"/>
      <c r="S220" s="10" t="s">
        <v>4192</v>
      </c>
      <c r="T220" s="10" t="s">
        <v>4192</v>
      </c>
      <c r="U220" s="10" t="s">
        <v>322</v>
      </c>
      <c r="V220" s="10" t="s">
        <v>4202</v>
      </c>
      <c r="W220" s="20" t="s">
        <v>56</v>
      </c>
      <c r="X220" s="18">
        <f>COUNTIF('간병인배정'!$B:$B,$A220)</f>
        <v>1</v>
      </c>
      <c r="Y220" s="18">
        <f>SUMIF('간병비지급'!$B:$B,$A220,'간병비지급'!$I:$I)</f>
        <v>1260000</v>
      </c>
      <c r="Z220" s="18">
        <f>COUNTIF('보험청구'!$B:$B,$A220)</f>
        <v>1</v>
      </c>
      <c r="AA220" s="18">
        <f>COUNTIFS('보험청구'!$B:$B,$A220,'보험청구'!$J:$J,"미확인")</f>
        <v>0</v>
      </c>
      <c r="AB220" s="18">
        <f>SUMIF('보험청구'!$B:$B,$A220,'보험청구'!$I:$I)</f>
        <v>0</v>
      </c>
      <c r="AC220" s="18">
        <f>SUMIF('보험청구'!$B:$B,$A220,'보험청구'!$L:$L)</f>
        <v>1278000</v>
      </c>
      <c r="AD220" s="30">
        <v>46245.0</v>
      </c>
      <c r="AE220" s="39">
        <v>46258.0</v>
      </c>
      <c r="AF220" s="10">
        <f t="shared" si="8"/>
        <v>25</v>
      </c>
      <c r="AG220" s="10" t="str">
        <f t="shared" si="2"/>
        <v>정상</v>
      </c>
      <c r="AH220" s="25"/>
      <c r="AI220" s="10"/>
      <c r="AJ220" s="10"/>
    </row>
    <row r="221" ht="15.75" customHeight="1">
      <c r="A221" s="10" t="s">
        <v>2631</v>
      </c>
      <c r="B221" s="13" t="s">
        <v>4207</v>
      </c>
      <c r="C221" s="10" t="s">
        <v>66</v>
      </c>
      <c r="D221" s="14">
        <v>1.977081E7</v>
      </c>
      <c r="E221" s="10" t="s">
        <v>4208</v>
      </c>
      <c r="F221" s="10" t="s">
        <v>168</v>
      </c>
      <c r="G221" s="13" t="s">
        <v>4209</v>
      </c>
      <c r="H221" s="15" t="s">
        <v>4210</v>
      </c>
      <c r="I221" s="10" t="s">
        <v>106</v>
      </c>
      <c r="J221" s="10" t="s">
        <v>4211</v>
      </c>
      <c r="K221" s="10" t="s">
        <v>4212</v>
      </c>
      <c r="L221" s="10">
        <v>2.608453742E9</v>
      </c>
      <c r="M221" s="10" t="s">
        <v>4213</v>
      </c>
      <c r="N221" s="10" t="s">
        <v>4214</v>
      </c>
      <c r="O221" s="20" t="s">
        <v>4215</v>
      </c>
      <c r="P221" s="10"/>
      <c r="Q221" s="10" t="s">
        <v>77</v>
      </c>
      <c r="R221" s="10"/>
      <c r="S221" s="10" t="s">
        <v>4192</v>
      </c>
      <c r="T221" s="10" t="s">
        <v>4192</v>
      </c>
      <c r="U221" s="10" t="s">
        <v>322</v>
      </c>
      <c r="V221" s="10" t="s">
        <v>3585</v>
      </c>
      <c r="W221" s="10" t="s">
        <v>65</v>
      </c>
      <c r="X221" s="18">
        <f>COUNTIF('간병인배정'!$B:$B,$A221)</f>
        <v>1</v>
      </c>
      <c r="Y221" s="18">
        <f>SUMIF('간병비지급'!$B:$B,$A221,'간병비지급'!$I:$I)</f>
        <v>5330000</v>
      </c>
      <c r="Z221" s="18">
        <f>COUNTIF('보험청구'!$B:$B,$A221)</f>
        <v>4</v>
      </c>
      <c r="AA221" s="18">
        <f>COUNTIFS('보험청구'!$B:$B,$A221,'보험청구'!$J:$J,"미확인")</f>
        <v>0</v>
      </c>
      <c r="AB221" s="18">
        <f>SUMIF('보험청구'!$B:$B,$A221,'보험청구'!$I:$I)</f>
        <v>2700000</v>
      </c>
      <c r="AC221" s="18">
        <f>SUMIF('보험청구'!$B:$B,$A221,'보험청구'!$L:$L)</f>
        <v>2982000</v>
      </c>
      <c r="AD221" s="39">
        <v>46254.0</v>
      </c>
      <c r="AE221" s="39">
        <v>46275.0</v>
      </c>
      <c r="AF221" s="10">
        <f t="shared" si="8"/>
        <v>8</v>
      </c>
      <c r="AG221" s="10" t="str">
        <f t="shared" si="2"/>
        <v>정상</v>
      </c>
      <c r="AH221" s="25"/>
      <c r="AI221" s="10"/>
      <c r="AJ221" s="10"/>
    </row>
    <row r="222" ht="15.75" customHeight="1">
      <c r="A222" s="10" t="s">
        <v>2644</v>
      </c>
      <c r="B222" s="13" t="s">
        <v>2867</v>
      </c>
      <c r="C222" s="10" t="s">
        <v>66</v>
      </c>
      <c r="D222" s="14">
        <v>1.9581127E7</v>
      </c>
      <c r="E222" s="10" t="s">
        <v>4221</v>
      </c>
      <c r="F222" s="10" t="s">
        <v>987</v>
      </c>
      <c r="G222" s="31" t="s">
        <v>4222</v>
      </c>
      <c r="H222" s="86" t="s">
        <v>989</v>
      </c>
      <c r="I222" s="10" t="s">
        <v>106</v>
      </c>
      <c r="J222" s="10" t="s">
        <v>4223</v>
      </c>
      <c r="K222" s="10" t="s">
        <v>4224</v>
      </c>
      <c r="L222" s="10">
        <v>2.608500493E9</v>
      </c>
      <c r="M222" s="10" t="s">
        <v>4225</v>
      </c>
      <c r="N222" s="20" t="s">
        <v>2500</v>
      </c>
      <c r="O222" s="10"/>
      <c r="P222" s="10"/>
      <c r="Q222" s="10" t="s">
        <v>77</v>
      </c>
      <c r="R222" s="10"/>
      <c r="S222" s="10" t="s">
        <v>2064</v>
      </c>
      <c r="T222" s="10" t="s">
        <v>3987</v>
      </c>
      <c r="U222" s="10" t="s">
        <v>322</v>
      </c>
      <c r="V222" s="10" t="s">
        <v>3585</v>
      </c>
      <c r="W222" s="20" t="s">
        <v>178</v>
      </c>
      <c r="X222" s="18">
        <f>COUNTIF('간병인배정'!$B:$B,$A222)</f>
        <v>4</v>
      </c>
      <c r="Y222" s="18">
        <f>SUMIF('간병비지급'!$B:$B,$A222,'간병비지급'!$I:$I)</f>
        <v>1540000</v>
      </c>
      <c r="Z222" s="18">
        <f>COUNTIF('보험청구'!$B:$B,$A222)</f>
        <v>2</v>
      </c>
      <c r="AA222" s="18">
        <f>COUNTIFS('보험청구'!$B:$B,$A222,'보험청구'!$J:$J,"미확인")</f>
        <v>0</v>
      </c>
      <c r="AB222" s="18">
        <f>SUMIF('보험청구'!$B:$B,$A222,'보험청구'!$I:$I)</f>
        <v>0</v>
      </c>
      <c r="AC222" s="18">
        <f>SUMIF('보험청구'!$B:$B,$A222,'보험청구'!$L:$L)</f>
        <v>1562000</v>
      </c>
      <c r="AD222" s="10"/>
      <c r="AE222" s="10"/>
      <c r="AF222" s="10" t="str">
        <f t="shared" si="8"/>
        <v/>
      </c>
      <c r="AG222" s="10" t="str">
        <f t="shared" si="2"/>
        <v>제외</v>
      </c>
      <c r="AH222" s="25" t="s">
        <v>4230</v>
      </c>
      <c r="AI222" s="10"/>
      <c r="AJ222" s="10"/>
    </row>
    <row r="223" ht="15.0" customHeight="1">
      <c r="A223" s="10" t="s">
        <v>2655</v>
      </c>
      <c r="B223" s="13" t="s">
        <v>3516</v>
      </c>
      <c r="C223" s="10" t="s">
        <v>66</v>
      </c>
      <c r="D223" s="14">
        <v>1.9490316E7</v>
      </c>
      <c r="E223" s="10" t="s">
        <v>3517</v>
      </c>
      <c r="F223" s="10" t="s">
        <v>168</v>
      </c>
      <c r="G223" s="13" t="s">
        <v>3529</v>
      </c>
      <c r="H223" s="15" t="s">
        <v>3530</v>
      </c>
      <c r="I223" s="10" t="s">
        <v>106</v>
      </c>
      <c r="J223" s="10" t="s">
        <v>3519</v>
      </c>
      <c r="K223" s="10" t="s">
        <v>3520</v>
      </c>
      <c r="L223" s="10">
        <v>2.606077176E9</v>
      </c>
      <c r="M223" s="10" t="s">
        <v>4231</v>
      </c>
      <c r="N223" s="10" t="s">
        <v>3523</v>
      </c>
      <c r="O223" s="10"/>
      <c r="P223" s="10"/>
      <c r="Q223" s="10" t="s">
        <v>77</v>
      </c>
      <c r="R223" s="10"/>
      <c r="S223" s="10" t="s">
        <v>4232</v>
      </c>
      <c r="T223" s="10" t="s">
        <v>3987</v>
      </c>
      <c r="U223" s="10" t="s">
        <v>322</v>
      </c>
      <c r="V223" s="10"/>
      <c r="W223" s="20" t="s">
        <v>56</v>
      </c>
      <c r="X223" s="18">
        <f>COUNTIF('간병인배정'!$B:$B,$A223)</f>
        <v>1</v>
      </c>
      <c r="Y223" s="18">
        <f>SUMIF('간병비지급'!$B:$B,$A223,'간병비지급'!$I:$I)</f>
        <v>2380000</v>
      </c>
      <c r="Z223" s="18">
        <f>COUNTIF('보험청구'!$B:$B,$A223)</f>
        <v>2</v>
      </c>
      <c r="AA223" s="18">
        <f>COUNTIFS('보험청구'!$B:$B,$A223,'보험청구'!$J:$J,"미확인")</f>
        <v>0</v>
      </c>
      <c r="AB223" s="18">
        <f>SUMIF('보험청구'!$B:$B,$A223,'보험청구'!$I:$I)</f>
        <v>1584000</v>
      </c>
      <c r="AC223" s="18">
        <f>SUMIF('보험청구'!$B:$B,$A223,'보험청구'!$L:$L)</f>
        <v>852000</v>
      </c>
      <c r="AD223" s="39">
        <v>46254.0</v>
      </c>
      <c r="AE223" s="39">
        <v>46272.0</v>
      </c>
      <c r="AF223" s="10">
        <f t="shared" si="8"/>
        <v>11</v>
      </c>
      <c r="AG223" s="10" t="str">
        <f t="shared" si="2"/>
        <v>정상</v>
      </c>
      <c r="AH223" s="26" t="s">
        <v>4238</v>
      </c>
      <c r="AI223" s="10"/>
      <c r="AJ223" s="10"/>
    </row>
    <row r="224" ht="15.75" customHeight="1">
      <c r="A224" s="10" t="s">
        <v>2663</v>
      </c>
      <c r="B224" s="13" t="s">
        <v>4239</v>
      </c>
      <c r="C224" s="10" t="s">
        <v>66</v>
      </c>
      <c r="D224" s="14">
        <v>1.9710825E7</v>
      </c>
      <c r="E224" s="10" t="s">
        <v>4240</v>
      </c>
      <c r="F224" s="10" t="s">
        <v>987</v>
      </c>
      <c r="G224" s="13" t="s">
        <v>4241</v>
      </c>
      <c r="H224" s="15" t="s">
        <v>4242</v>
      </c>
      <c r="I224" s="10" t="s">
        <v>106</v>
      </c>
      <c r="J224" s="20" t="s">
        <v>4243</v>
      </c>
      <c r="K224" s="20" t="s">
        <v>4244</v>
      </c>
      <c r="L224" s="20">
        <v>2.608633926E9</v>
      </c>
      <c r="M224" s="20" t="s">
        <v>3064</v>
      </c>
      <c r="N224" s="20" t="s">
        <v>4245</v>
      </c>
      <c r="O224" s="10"/>
      <c r="P224" s="10"/>
      <c r="Q224" s="10" t="s">
        <v>77</v>
      </c>
      <c r="R224" s="10"/>
      <c r="S224" s="10" t="s">
        <v>3932</v>
      </c>
      <c r="T224" s="10" t="s">
        <v>3987</v>
      </c>
      <c r="U224" s="10" t="s">
        <v>322</v>
      </c>
      <c r="V224" s="10" t="s">
        <v>400</v>
      </c>
      <c r="W224" s="20" t="s">
        <v>56</v>
      </c>
      <c r="X224" s="18">
        <f>COUNTIF('간병인배정'!$B:$B,$A224)</f>
        <v>1</v>
      </c>
      <c r="Y224" s="18">
        <f>SUMIF('간병비지급'!$B:$B,$A224,'간병비지급'!$I:$I)</f>
        <v>420000</v>
      </c>
      <c r="Z224" s="18">
        <f>COUNTIF('보험청구'!$B:$B,$A224)</f>
        <v>1</v>
      </c>
      <c r="AA224" s="18">
        <f>COUNTIFS('보험청구'!$B:$B,$A224,'보험청구'!$J:$J,"미확인")</f>
        <v>0</v>
      </c>
      <c r="AB224" s="18">
        <f>SUMIF('보험청구'!$B:$B,$A224,'보험청구'!$I:$I)</f>
        <v>0</v>
      </c>
      <c r="AC224" s="18">
        <f>SUMIF('보험청구'!$B:$B,$A224,'보험청구'!$L:$L)</f>
        <v>426000</v>
      </c>
      <c r="AD224" s="39">
        <v>46252.0</v>
      </c>
      <c r="AE224" s="39">
        <v>46255.0</v>
      </c>
      <c r="AF224" s="10">
        <f t="shared" si="8"/>
        <v>28</v>
      </c>
      <c r="AG224" s="10" t="str">
        <f t="shared" si="2"/>
        <v>정상</v>
      </c>
      <c r="AH224" s="26" t="s">
        <v>4252</v>
      </c>
      <c r="AI224" s="10"/>
      <c r="AJ224" s="10"/>
    </row>
    <row r="225" ht="15.75" customHeight="1">
      <c r="A225" s="10" t="s">
        <v>2673</v>
      </c>
      <c r="B225" s="13" t="s">
        <v>4254</v>
      </c>
      <c r="C225" s="10" t="s">
        <v>212</v>
      </c>
      <c r="D225" s="14">
        <v>1.9671208E7</v>
      </c>
      <c r="E225" s="10" t="s">
        <v>4255</v>
      </c>
      <c r="F225" s="10" t="s">
        <v>168</v>
      </c>
      <c r="G225" s="13" t="s">
        <v>4256</v>
      </c>
      <c r="H225" s="15" t="s">
        <v>3702</v>
      </c>
      <c r="I225" s="10" t="s">
        <v>106</v>
      </c>
      <c r="J225" s="10" t="s">
        <v>4257</v>
      </c>
      <c r="K225" s="10" t="s">
        <v>4258</v>
      </c>
      <c r="L225" s="10">
        <v>2.608634071E9</v>
      </c>
      <c r="M225" s="20" t="s">
        <v>4259</v>
      </c>
      <c r="N225" s="10" t="s">
        <v>4260</v>
      </c>
      <c r="O225" s="10"/>
      <c r="P225" s="10"/>
      <c r="Q225" s="10" t="s">
        <v>77</v>
      </c>
      <c r="R225" s="10"/>
      <c r="S225" s="10" t="s">
        <v>3932</v>
      </c>
      <c r="T225" s="10" t="s">
        <v>3932</v>
      </c>
      <c r="U225" s="10" t="s">
        <v>322</v>
      </c>
      <c r="V225" s="10" t="s">
        <v>2272</v>
      </c>
      <c r="W225" s="20" t="s">
        <v>56</v>
      </c>
      <c r="X225" s="18">
        <f>COUNTIF('간병인배정'!$B:$B,$A225)</f>
        <v>2</v>
      </c>
      <c r="Y225" s="18">
        <f>SUMIF('간병비지급'!$B:$B,$A225,'간병비지급'!$I:$I)</f>
        <v>1600000</v>
      </c>
      <c r="Z225" s="18">
        <f>COUNTIF('보험청구'!$B:$B,$A225)</f>
        <v>2</v>
      </c>
      <c r="AA225" s="18">
        <f>COUNTIFS('보험청구'!$B:$B,$A225,'보험청구'!$J:$J,"미확인")</f>
        <v>0</v>
      </c>
      <c r="AB225" s="18">
        <f>SUMIF('보험청구'!$B:$B,$A225,'보험청구'!$I:$I)</f>
        <v>1440000</v>
      </c>
      <c r="AC225" s="18">
        <f>SUMIF('보험청구'!$B:$B,$A225,'보험청구'!$L:$L)</f>
        <v>0</v>
      </c>
      <c r="AD225" s="10"/>
      <c r="AE225" s="10"/>
      <c r="AF225" s="10" t="str">
        <f t="shared" si="8"/>
        <v/>
      </c>
      <c r="AG225" s="10" t="str">
        <f t="shared" si="2"/>
        <v>정상</v>
      </c>
      <c r="AH225" s="25"/>
      <c r="AI225" s="10"/>
      <c r="AJ225" s="10"/>
    </row>
    <row r="226" ht="15.75" customHeight="1">
      <c r="A226" s="10" t="s">
        <v>2691</v>
      </c>
      <c r="B226" s="13" t="s">
        <v>2909</v>
      </c>
      <c r="C226" s="10" t="s">
        <v>212</v>
      </c>
      <c r="D226" s="14">
        <v>1.9521117E7</v>
      </c>
      <c r="E226" s="10" t="s">
        <v>1779</v>
      </c>
      <c r="F226" s="64" t="s">
        <v>4264</v>
      </c>
      <c r="G226" s="13" t="s">
        <v>468</v>
      </c>
      <c r="H226" s="15" t="s">
        <v>4266</v>
      </c>
      <c r="I226" s="10" t="s">
        <v>106</v>
      </c>
      <c r="J226" s="10" t="s">
        <v>1781</v>
      </c>
      <c r="K226" s="10" t="s">
        <v>1783</v>
      </c>
      <c r="L226" s="10"/>
      <c r="M226" s="10"/>
      <c r="N226" s="10"/>
      <c r="O226" s="10"/>
      <c r="P226" s="10"/>
      <c r="Q226" s="10" t="s">
        <v>77</v>
      </c>
      <c r="R226" s="10"/>
      <c r="S226" s="10" t="s">
        <v>4269</v>
      </c>
      <c r="T226" s="10" t="s">
        <v>3987</v>
      </c>
      <c r="U226" s="10" t="s">
        <v>322</v>
      </c>
      <c r="V226" s="10" t="s">
        <v>4270</v>
      </c>
      <c r="W226" s="10" t="s">
        <v>178</v>
      </c>
      <c r="X226" s="18">
        <f>COUNTIF('간병인배정'!$B:$B,$A226)</f>
        <v>2</v>
      </c>
      <c r="Y226" s="18">
        <f>SUMIF('간병비지급'!$B:$B,$A226,'간병비지급'!$I:$I)</f>
        <v>0</v>
      </c>
      <c r="Z226" s="18">
        <f>COUNTIF('보험청구'!$B:$B,$A226)</f>
        <v>0</v>
      </c>
      <c r="AA226" s="18">
        <f>COUNTIFS('보험청구'!$B:$B,$A226,'보험청구'!$J:$J,"미확인")</f>
        <v>0</v>
      </c>
      <c r="AB226" s="18">
        <f>SUMIF('보험청구'!$B:$B,$A226,'보험청구'!$I:$I)</f>
        <v>0</v>
      </c>
      <c r="AC226" s="18">
        <f>SUMIF('보험청구'!$B:$B,$A226,'보험청구'!$L:$L)</f>
        <v>0</v>
      </c>
      <c r="AD226" s="30">
        <v>46203.0</v>
      </c>
      <c r="AE226" s="30">
        <v>46217.0</v>
      </c>
      <c r="AF226" s="10">
        <f t="shared" si="8"/>
        <v>66</v>
      </c>
      <c r="AG226" s="10" t="str">
        <f t="shared" si="2"/>
        <v>제외</v>
      </c>
      <c r="AH226" s="25" t="s">
        <v>4274</v>
      </c>
      <c r="AI226" s="10"/>
      <c r="AJ226" s="10"/>
    </row>
    <row r="227" ht="15.75" customHeight="1">
      <c r="A227" s="10" t="s">
        <v>2713</v>
      </c>
      <c r="B227" s="64" t="s">
        <v>2817</v>
      </c>
      <c r="C227" s="64" t="s">
        <v>212</v>
      </c>
      <c r="D227" s="64">
        <v>1.9640403E7</v>
      </c>
      <c r="E227" s="64" t="s">
        <v>2726</v>
      </c>
      <c r="F227" s="64" t="s">
        <v>126</v>
      </c>
      <c r="G227" s="64" t="s">
        <v>2441</v>
      </c>
      <c r="H227" s="83" t="s">
        <v>4275</v>
      </c>
      <c r="I227" s="10" t="s">
        <v>106</v>
      </c>
      <c r="J227" s="20" t="s">
        <v>4277</v>
      </c>
      <c r="K227" s="20" t="s">
        <v>4279</v>
      </c>
      <c r="L227" s="83">
        <v>2.608784922E9</v>
      </c>
      <c r="M227" s="64" t="s">
        <v>4281</v>
      </c>
      <c r="N227" s="64" t="s">
        <v>4282</v>
      </c>
      <c r="O227" s="85"/>
      <c r="P227" s="85"/>
      <c r="Q227" s="83" t="s">
        <v>77</v>
      </c>
      <c r="R227" s="90"/>
      <c r="S227" s="20" t="s">
        <v>4003</v>
      </c>
      <c r="T227" s="20" t="s">
        <v>4003</v>
      </c>
      <c r="U227" s="83" t="s">
        <v>322</v>
      </c>
      <c r="V227" s="10" t="s">
        <v>4270</v>
      </c>
      <c r="W227" s="20" t="s">
        <v>56</v>
      </c>
      <c r="X227" s="18">
        <f>COUNTIF('간병인배정'!$B:$B,$A227)</f>
        <v>2</v>
      </c>
      <c r="Y227" s="18">
        <f>SUMIF('간병비지급'!$B:$B,$A227,'간병비지급'!$I:$I)</f>
        <v>675000</v>
      </c>
      <c r="Z227" s="18">
        <f>COUNTIF('보험청구'!$B:$B,$A227)</f>
        <v>2</v>
      </c>
      <c r="AA227" s="18">
        <f>COUNTIFS('보험청구'!$B:$B,$A227,'보험청구'!$J:$J,"미확인")</f>
        <v>0</v>
      </c>
      <c r="AB227" s="18">
        <f>SUMIF('보험청구'!$B:$B,$A227,'보험청구'!$I:$I)</f>
        <v>0</v>
      </c>
      <c r="AC227" s="18">
        <f>SUMIF('보험청구'!$B:$B,$A227,'보험청구'!$L:$L)</f>
        <v>845000</v>
      </c>
      <c r="AD227" s="39">
        <v>46254.0</v>
      </c>
      <c r="AE227" s="39">
        <v>46259.0</v>
      </c>
      <c r="AF227" s="10">
        <f t="shared" si="8"/>
        <v>24</v>
      </c>
      <c r="AG227" s="10" t="str">
        <f t="shared" si="2"/>
        <v>정상</v>
      </c>
      <c r="AH227" s="91"/>
      <c r="AI227" s="85"/>
      <c r="AJ227" s="85"/>
    </row>
    <row r="228" ht="15.75" customHeight="1">
      <c r="A228" s="10" t="s">
        <v>2748</v>
      </c>
      <c r="B228" s="64" t="s">
        <v>4287</v>
      </c>
      <c r="C228" s="64" t="s">
        <v>212</v>
      </c>
      <c r="D228" s="64">
        <v>1.9530909E7</v>
      </c>
      <c r="E228" s="64" t="s">
        <v>4288</v>
      </c>
      <c r="F228" s="64" t="s">
        <v>4289</v>
      </c>
      <c r="G228" s="64" t="s">
        <v>4290</v>
      </c>
      <c r="H228" s="83" t="s">
        <v>4291</v>
      </c>
      <c r="I228" s="10" t="s">
        <v>106</v>
      </c>
      <c r="J228" s="20" t="s">
        <v>4292</v>
      </c>
      <c r="K228" s="20" t="s">
        <v>4293</v>
      </c>
      <c r="L228" s="83">
        <v>2.60873716E9</v>
      </c>
      <c r="M228" s="64" t="s">
        <v>3736</v>
      </c>
      <c r="N228" s="83" t="s">
        <v>3737</v>
      </c>
      <c r="O228" s="85"/>
      <c r="P228" s="85"/>
      <c r="Q228" s="83" t="s">
        <v>77</v>
      </c>
      <c r="R228" s="90"/>
      <c r="S228" s="20" t="s">
        <v>4005</v>
      </c>
      <c r="T228" s="20" t="s">
        <v>4005</v>
      </c>
      <c r="U228" s="83" t="s">
        <v>322</v>
      </c>
      <c r="V228" s="64" t="s">
        <v>4294</v>
      </c>
      <c r="W228" s="20" t="s">
        <v>56</v>
      </c>
      <c r="X228" s="18">
        <f>COUNTIF('간병인배정'!$B:$B,$A228)</f>
        <v>1</v>
      </c>
      <c r="Y228" s="18">
        <f>SUMIF('간병비지급'!$B:$B,$A228,'간병비지급'!$I:$I)</f>
        <v>2100000</v>
      </c>
      <c r="Z228" s="18">
        <f>COUNTIF('보험청구'!$B:$B,$A228)</f>
        <v>1</v>
      </c>
      <c r="AA228" s="18">
        <f>COUNTIFS('보험청구'!$B:$B,$A228,'보험청구'!$J:$J,"미확인")</f>
        <v>0</v>
      </c>
      <c r="AB228" s="18">
        <f>SUMIF('보험청구'!$B:$B,$A228,'보험청구'!$I:$I)</f>
        <v>0</v>
      </c>
      <c r="AC228" s="18">
        <f>SUMIF('보험청구'!$B:$B,$A228,'보험청구'!$L:$L)</f>
        <v>2130000</v>
      </c>
      <c r="AD228" s="39">
        <v>46254.0</v>
      </c>
      <c r="AE228" s="39">
        <v>46268.0</v>
      </c>
      <c r="AF228" s="10">
        <f t="shared" si="8"/>
        <v>15</v>
      </c>
      <c r="AG228" s="10" t="str">
        <f t="shared" si="2"/>
        <v>정상</v>
      </c>
      <c r="AH228" s="71" t="s">
        <v>4298</v>
      </c>
      <c r="AI228" s="85"/>
      <c r="AJ228" s="85"/>
    </row>
    <row r="229" ht="15.75" customHeight="1">
      <c r="A229" s="10" t="s">
        <v>2802</v>
      </c>
      <c r="B229" s="64" t="s">
        <v>4300</v>
      </c>
      <c r="C229" s="64" t="s">
        <v>66</v>
      </c>
      <c r="D229" s="64">
        <v>1.9870219E7</v>
      </c>
      <c r="E229" s="64" t="s">
        <v>4301</v>
      </c>
      <c r="F229" s="64" t="s">
        <v>391</v>
      </c>
      <c r="G229" s="64" t="s">
        <v>4302</v>
      </c>
      <c r="H229" s="83" t="s">
        <v>4303</v>
      </c>
      <c r="I229" s="10" t="s">
        <v>106</v>
      </c>
      <c r="J229" s="20" t="s">
        <v>4304</v>
      </c>
      <c r="K229" s="20" t="s">
        <v>4305</v>
      </c>
      <c r="L229" s="83" t="s">
        <v>4306</v>
      </c>
      <c r="M229" s="64" t="s">
        <v>2830</v>
      </c>
      <c r="N229" s="83" t="s">
        <v>2831</v>
      </c>
      <c r="O229" s="85"/>
      <c r="P229" s="85"/>
      <c r="Q229" s="83" t="s">
        <v>77</v>
      </c>
      <c r="R229" s="90"/>
      <c r="S229" s="20" t="s">
        <v>4307</v>
      </c>
      <c r="T229" s="20" t="s">
        <v>4307</v>
      </c>
      <c r="U229" s="83" t="s">
        <v>322</v>
      </c>
      <c r="V229" s="64" t="s">
        <v>4308</v>
      </c>
      <c r="W229" s="64" t="s">
        <v>56</v>
      </c>
      <c r="X229" s="18">
        <f>COUNTIF('간병인배정'!$B:$B,$A229)</f>
        <v>1</v>
      </c>
      <c r="Y229" s="18">
        <f>SUMIF('간병비지급'!$B:$B,$A229,'간병비지급'!$I:$I)</f>
        <v>270000</v>
      </c>
      <c r="Z229" s="18">
        <f>COUNTIF('보험청구'!$B:$B,$A229)</f>
        <v>1</v>
      </c>
      <c r="AA229" s="18">
        <f>COUNTIFS('보험청구'!$B:$B,$A229,'보험청구'!$J:$J,"미확인")</f>
        <v>0</v>
      </c>
      <c r="AB229" s="18">
        <f>SUMIF('보험청구'!$B:$B,$A229,'보험청구'!$I:$I)</f>
        <v>432000</v>
      </c>
      <c r="AC229" s="18">
        <f>SUMIF('보험청구'!$B:$B,$A229,'보험청구'!$L:$L)</f>
        <v>0</v>
      </c>
      <c r="AD229" s="39">
        <v>46258.0</v>
      </c>
      <c r="AE229" s="39">
        <v>46260.0</v>
      </c>
      <c r="AF229" s="10">
        <f t="shared" si="8"/>
        <v>23</v>
      </c>
      <c r="AG229" s="10" t="str">
        <f t="shared" si="2"/>
        <v>정상</v>
      </c>
      <c r="AH229" s="71" t="s">
        <v>4315</v>
      </c>
      <c r="AI229" s="85"/>
      <c r="AJ229" s="85"/>
    </row>
    <row r="230" ht="15.75" customHeight="1">
      <c r="A230" s="10" t="s">
        <v>2702</v>
      </c>
      <c r="B230" s="64" t="s">
        <v>2704</v>
      </c>
      <c r="C230" s="64" t="s">
        <v>212</v>
      </c>
      <c r="D230" s="64">
        <v>1.9760225E7</v>
      </c>
      <c r="E230" s="59" t="s">
        <v>2706</v>
      </c>
      <c r="F230" s="64" t="s">
        <v>1976</v>
      </c>
      <c r="G230" s="64" t="s">
        <v>4316</v>
      </c>
      <c r="H230" s="83" t="s">
        <v>4317</v>
      </c>
      <c r="I230" s="10" t="s">
        <v>106</v>
      </c>
      <c r="J230" s="20" t="s">
        <v>4318</v>
      </c>
      <c r="K230" s="20" t="s">
        <v>2744</v>
      </c>
      <c r="L230" s="83">
        <v>2.608785016E9</v>
      </c>
      <c r="M230" s="64" t="s">
        <v>4319</v>
      </c>
      <c r="N230" s="83" t="s">
        <v>4320</v>
      </c>
      <c r="O230" s="85"/>
      <c r="P230" s="85"/>
      <c r="Q230" s="83" t="s">
        <v>77</v>
      </c>
      <c r="R230" s="90"/>
      <c r="S230" s="20" t="s">
        <v>4321</v>
      </c>
      <c r="T230" s="64" t="s">
        <v>4005</v>
      </c>
      <c r="U230" s="83" t="s">
        <v>322</v>
      </c>
      <c r="V230" s="64" t="s">
        <v>4322</v>
      </c>
      <c r="W230" s="64" t="s">
        <v>56</v>
      </c>
      <c r="X230" s="18">
        <f>COUNTIF('간병인배정'!$B:$B,$A230)</f>
        <v>2</v>
      </c>
      <c r="Y230" s="18">
        <f>SUMIF('간병비지급'!$B:$B,$A230,'간병비지급'!$I:$I)</f>
        <v>840000</v>
      </c>
      <c r="Z230" s="18">
        <f>COUNTIF('보험청구'!$B:$B,$A230)</f>
        <v>2</v>
      </c>
      <c r="AA230" s="18">
        <f>COUNTIFS('보험청구'!$B:$B,$A230,'보험청구'!$J:$J,"미확인")</f>
        <v>0</v>
      </c>
      <c r="AB230" s="18">
        <f>SUMIF('보험청구'!$B:$B,$A230,'보험청구'!$I:$I)</f>
        <v>0</v>
      </c>
      <c r="AC230" s="18">
        <f>SUMIF('보험청구'!$B:$B,$A230,'보험청구'!$L:$L)</f>
        <v>852000</v>
      </c>
      <c r="AD230" s="39">
        <v>46253.0</v>
      </c>
      <c r="AE230" s="39">
        <v>46255.0</v>
      </c>
      <c r="AF230" s="10">
        <f t="shared" si="8"/>
        <v>28</v>
      </c>
      <c r="AG230" s="10" t="str">
        <f t="shared" si="2"/>
        <v>정상</v>
      </c>
      <c r="AH230" s="71" t="s">
        <v>4327</v>
      </c>
      <c r="AI230" s="85"/>
      <c r="AJ230" s="85"/>
    </row>
    <row r="231" ht="15.75" customHeight="1">
      <c r="A231" s="10" t="s">
        <v>4328</v>
      </c>
      <c r="B231" s="64" t="s">
        <v>4008</v>
      </c>
      <c r="C231" s="64" t="s">
        <v>212</v>
      </c>
      <c r="D231" s="14">
        <v>1.9550715E7</v>
      </c>
      <c r="E231" s="10" t="s">
        <v>4009</v>
      </c>
      <c r="F231" s="10" t="s">
        <v>391</v>
      </c>
      <c r="G231" s="64" t="s">
        <v>4329</v>
      </c>
      <c r="H231" s="83" t="s">
        <v>4330</v>
      </c>
      <c r="I231" s="10" t="s">
        <v>106</v>
      </c>
      <c r="J231" s="20" t="s">
        <v>4013</v>
      </c>
      <c r="K231" s="20" t="s">
        <v>4014</v>
      </c>
      <c r="L231" s="83">
        <v>2.608785107E9</v>
      </c>
      <c r="M231" s="64" t="s">
        <v>893</v>
      </c>
      <c r="N231" s="90" t="s">
        <v>803</v>
      </c>
      <c r="O231" s="85"/>
      <c r="P231" s="85"/>
      <c r="Q231" s="83" t="s">
        <v>77</v>
      </c>
      <c r="R231" s="90"/>
      <c r="S231" s="20" t="s">
        <v>4331</v>
      </c>
      <c r="T231" s="64" t="s">
        <v>4332</v>
      </c>
      <c r="U231" s="83" t="s">
        <v>322</v>
      </c>
      <c r="V231" s="65"/>
      <c r="W231" s="64" t="s">
        <v>178</v>
      </c>
      <c r="X231" s="18">
        <f>COUNTIF('간병인배정'!$B:$B,$A231)</f>
        <v>0</v>
      </c>
      <c r="Y231" s="18">
        <f>SUMIF('간병비지급'!$B:$B,$A231,'간병비지급'!$I:$I)</f>
        <v>0</v>
      </c>
      <c r="Z231" s="18">
        <f>COUNTIF('보험청구'!$B:$B,$A231)</f>
        <v>0</v>
      </c>
      <c r="AA231" s="18">
        <f>COUNTIFS('보험청구'!$B:$B,$A231,'보험청구'!$J:$J,"미확인")</f>
        <v>0</v>
      </c>
      <c r="AB231" s="18">
        <f>SUMIF('보험청구'!$B:$B,$A231,'보험청구'!$I:$I)</f>
        <v>0</v>
      </c>
      <c r="AC231" s="18">
        <f>SUMIF('보험청구'!$B:$B,$A231,'보험청구'!$L:$L)</f>
        <v>0</v>
      </c>
      <c r="AD231" s="85"/>
      <c r="AE231" s="85"/>
      <c r="AF231" s="10" t="str">
        <f t="shared" si="8"/>
        <v/>
      </c>
      <c r="AG231" s="10" t="str">
        <f t="shared" si="2"/>
        <v>제외</v>
      </c>
      <c r="AH231" s="25" t="s">
        <v>4018</v>
      </c>
      <c r="AI231" s="85"/>
      <c r="AJ231" s="85"/>
    </row>
    <row r="232" ht="15.75" customHeight="1">
      <c r="A232" s="10" t="s">
        <v>2840</v>
      </c>
      <c r="B232" s="64" t="s">
        <v>2842</v>
      </c>
      <c r="C232" s="64" t="s">
        <v>212</v>
      </c>
      <c r="D232" s="64">
        <v>1.9761128E7</v>
      </c>
      <c r="E232" s="64" t="s">
        <v>4337</v>
      </c>
      <c r="F232" s="64" t="s">
        <v>743</v>
      </c>
      <c r="G232" s="64" t="s">
        <v>744</v>
      </c>
      <c r="H232" s="83" t="s">
        <v>4338</v>
      </c>
      <c r="I232" s="10" t="s">
        <v>106</v>
      </c>
      <c r="J232" s="20" t="s">
        <v>4339</v>
      </c>
      <c r="K232" s="64" t="s">
        <v>4340</v>
      </c>
      <c r="L232" s="83">
        <v>2.60896888E9</v>
      </c>
      <c r="M232" s="64" t="s">
        <v>4341</v>
      </c>
      <c r="N232" s="83" t="s">
        <v>4342</v>
      </c>
      <c r="O232" s="85"/>
      <c r="P232" s="85"/>
      <c r="Q232" s="83" t="s">
        <v>77</v>
      </c>
      <c r="R232" s="90"/>
      <c r="S232" s="20" t="s">
        <v>1053</v>
      </c>
      <c r="T232" s="20" t="s">
        <v>1053</v>
      </c>
      <c r="U232" s="83" t="s">
        <v>322</v>
      </c>
      <c r="V232" s="64" t="s">
        <v>4294</v>
      </c>
      <c r="W232" s="64" t="s">
        <v>56</v>
      </c>
      <c r="X232" s="18">
        <f>COUNTIF('간병인배정'!$B:$B,$A232)</f>
        <v>1</v>
      </c>
      <c r="Y232" s="18">
        <f>SUMIF('간병비지급'!$B:$B,$A232,'간병비지급'!$I:$I)</f>
        <v>1930000</v>
      </c>
      <c r="Z232" s="18">
        <f>COUNTIF('보험청구'!$B:$B,$A232)</f>
        <v>2</v>
      </c>
      <c r="AA232" s="18">
        <f>COUNTIFS('보험청구'!$B:$B,$A232,'보험청구'!$J:$J,"미확인")</f>
        <v>0</v>
      </c>
      <c r="AB232" s="18">
        <f>SUMIF('보험청구'!$B:$B,$A232,'보험청구'!$I:$I)</f>
        <v>0</v>
      </c>
      <c r="AC232" s="18">
        <f>SUMIF('보험청구'!$B:$B,$A232,'보험청구'!$L:$L)</f>
        <v>1988000</v>
      </c>
      <c r="AD232" s="39">
        <v>46259.0</v>
      </c>
      <c r="AE232" s="39">
        <v>46273.0</v>
      </c>
      <c r="AF232" s="10">
        <f t="shared" si="8"/>
        <v>10</v>
      </c>
      <c r="AG232" s="10" t="str">
        <f t="shared" si="2"/>
        <v>정상</v>
      </c>
      <c r="AH232" s="91"/>
      <c r="AI232" s="85"/>
      <c r="AJ232" s="85"/>
    </row>
    <row r="233" ht="15.75" customHeight="1">
      <c r="A233" s="10" t="s">
        <v>2850</v>
      </c>
      <c r="B233" s="64" t="s">
        <v>2851</v>
      </c>
      <c r="C233" s="64" t="s">
        <v>212</v>
      </c>
      <c r="D233" s="64">
        <v>1.9790224E7</v>
      </c>
      <c r="E233" s="64" t="s">
        <v>4346</v>
      </c>
      <c r="F233" s="64" t="s">
        <v>4347</v>
      </c>
      <c r="G233" s="64" t="s">
        <v>392</v>
      </c>
      <c r="H233" s="83" t="s">
        <v>3891</v>
      </c>
      <c r="I233" s="10" t="s">
        <v>106</v>
      </c>
      <c r="J233" s="20" t="s">
        <v>4348</v>
      </c>
      <c r="K233" s="64" t="s">
        <v>4349</v>
      </c>
      <c r="L233" s="83">
        <v>2.608969069E9</v>
      </c>
      <c r="M233" s="64" t="s">
        <v>4350</v>
      </c>
      <c r="N233" s="83" t="s">
        <v>4351</v>
      </c>
      <c r="O233" s="85"/>
      <c r="P233" s="85"/>
      <c r="Q233" s="83" t="s">
        <v>77</v>
      </c>
      <c r="R233" s="90"/>
      <c r="S233" s="20" t="s">
        <v>4352</v>
      </c>
      <c r="T233" s="20" t="s">
        <v>4164</v>
      </c>
      <c r="U233" s="83" t="s">
        <v>322</v>
      </c>
      <c r="V233" s="64" t="s">
        <v>3585</v>
      </c>
      <c r="W233" s="64" t="s">
        <v>56</v>
      </c>
      <c r="X233" s="18">
        <f>COUNTIF('간병인배정'!$B:$B,$A233)</f>
        <v>1</v>
      </c>
      <c r="Y233" s="18">
        <f>SUMIF('간병비지급'!$B:$B,$A233,'간병비지급'!$I:$I)</f>
        <v>135000</v>
      </c>
      <c r="Z233" s="18">
        <f>COUNTIF('보험청구'!$B:$B,$A233)</f>
        <v>1</v>
      </c>
      <c r="AA233" s="18">
        <f>COUNTIFS('보험청구'!$B:$B,$A233,'보험청구'!$J:$J,"미확인")</f>
        <v>0</v>
      </c>
      <c r="AB233" s="18">
        <f>SUMIF('보험청구'!$B:$B,$A233,'보험청구'!$I:$I)</f>
        <v>0</v>
      </c>
      <c r="AC233" s="18">
        <f>SUMIF('보험청구'!$B:$B,$A233,'보험청구'!$L:$L)</f>
        <v>140000</v>
      </c>
      <c r="AD233" s="39">
        <v>46261.0</v>
      </c>
      <c r="AE233" s="39">
        <v>46262.0</v>
      </c>
      <c r="AF233" s="10">
        <f t="shared" si="8"/>
        <v>21</v>
      </c>
      <c r="AG233" s="10" t="str">
        <f t="shared" si="2"/>
        <v>정상</v>
      </c>
      <c r="AH233" s="71" t="s">
        <v>4355</v>
      </c>
      <c r="AI233" s="85"/>
      <c r="AJ233" s="85"/>
    </row>
    <row r="234" ht="15.75" customHeight="1">
      <c r="A234" s="10" t="s">
        <v>2858</v>
      </c>
      <c r="B234" s="64" t="s">
        <v>2859</v>
      </c>
      <c r="C234" s="64" t="s">
        <v>212</v>
      </c>
      <c r="D234" s="64">
        <v>1.968111E7</v>
      </c>
      <c r="E234" s="64" t="s">
        <v>4356</v>
      </c>
      <c r="F234" s="64" t="s">
        <v>4347</v>
      </c>
      <c r="G234" s="64" t="s">
        <v>1804</v>
      </c>
      <c r="H234" s="83" t="s">
        <v>4358</v>
      </c>
      <c r="I234" s="10" t="s">
        <v>106</v>
      </c>
      <c r="J234" s="20" t="s">
        <v>4359</v>
      </c>
      <c r="K234" s="97">
        <v>44502.0</v>
      </c>
      <c r="L234" s="83">
        <v>2.608969204E9</v>
      </c>
      <c r="M234" s="64" t="s">
        <v>552</v>
      </c>
      <c r="N234" s="83" t="s">
        <v>553</v>
      </c>
      <c r="O234" s="85"/>
      <c r="P234" s="85"/>
      <c r="Q234" s="83" t="s">
        <v>77</v>
      </c>
      <c r="R234" s="90"/>
      <c r="S234" s="20" t="s">
        <v>4361</v>
      </c>
      <c r="T234" s="20" t="s">
        <v>4164</v>
      </c>
      <c r="U234" s="83" t="s">
        <v>322</v>
      </c>
      <c r="V234" s="64" t="s">
        <v>4294</v>
      </c>
      <c r="W234" s="64" t="s">
        <v>56</v>
      </c>
      <c r="X234" s="18">
        <f>COUNTIF('간병인배정'!$B:$B,$A234)</f>
        <v>1</v>
      </c>
      <c r="Y234" s="18">
        <f>SUMIF('간병비지급'!$B:$B,$A234,'간병비지급'!$I:$I)</f>
        <v>405000</v>
      </c>
      <c r="Z234" s="18">
        <f>COUNTIF('보험청구'!$B:$B,$A234)</f>
        <v>1</v>
      </c>
      <c r="AA234" s="18">
        <f>COUNTIFS('보험청구'!$B:$B,$A234,'보험청구'!$J:$J,"미확인")</f>
        <v>0</v>
      </c>
      <c r="AB234" s="18">
        <f>SUMIF('보험청구'!$B:$B,$A234,'보험청구'!$I:$I)</f>
        <v>0</v>
      </c>
      <c r="AC234" s="18">
        <f>SUMIF('보험청구'!$B:$B,$A234,'보험청구'!$L:$L)</f>
        <v>426000</v>
      </c>
      <c r="AD234" s="39">
        <v>46261.0</v>
      </c>
      <c r="AE234" s="39">
        <v>46264.0</v>
      </c>
      <c r="AF234" s="10">
        <f t="shared" si="8"/>
        <v>19</v>
      </c>
      <c r="AG234" s="10" t="str">
        <f t="shared" si="2"/>
        <v>정상</v>
      </c>
      <c r="AH234" s="91"/>
      <c r="AI234" s="85"/>
      <c r="AJ234" s="85"/>
    </row>
    <row r="235" ht="15.75" customHeight="1">
      <c r="A235" s="10" t="s">
        <v>4247</v>
      </c>
      <c r="B235" s="64" t="s">
        <v>2867</v>
      </c>
      <c r="C235" s="64" t="s">
        <v>66</v>
      </c>
      <c r="D235" s="64">
        <v>1.9581127E7</v>
      </c>
      <c r="E235" s="64" t="s">
        <v>4365</v>
      </c>
      <c r="F235" s="64" t="s">
        <v>4366</v>
      </c>
      <c r="G235" s="64" t="s">
        <v>4367</v>
      </c>
      <c r="H235" s="83" t="s">
        <v>4368</v>
      </c>
      <c r="I235" s="10" t="s">
        <v>106</v>
      </c>
      <c r="J235" s="20" t="s">
        <v>4223</v>
      </c>
      <c r="K235" s="64" t="s">
        <v>4224</v>
      </c>
      <c r="L235" s="64" t="s">
        <v>4369</v>
      </c>
      <c r="M235" s="64" t="s">
        <v>4370</v>
      </c>
      <c r="N235" s="83" t="s">
        <v>4371</v>
      </c>
      <c r="O235" s="85"/>
      <c r="P235" s="85"/>
      <c r="Q235" s="83" t="s">
        <v>77</v>
      </c>
      <c r="R235" s="90"/>
      <c r="S235" s="20" t="s">
        <v>4372</v>
      </c>
      <c r="T235" s="64" t="s">
        <v>4216</v>
      </c>
      <c r="U235" s="83" t="s">
        <v>322</v>
      </c>
      <c r="V235" s="64" t="s">
        <v>4294</v>
      </c>
      <c r="W235" s="64" t="s">
        <v>56</v>
      </c>
      <c r="X235" s="18">
        <f>COUNTIF('간병인배정'!$B:$B,$A235)</f>
        <v>0</v>
      </c>
      <c r="Y235" s="18">
        <f>SUMIF('간병비지급'!$B:$B,$A235,'간병비지급'!$I:$I)</f>
        <v>1960000</v>
      </c>
      <c r="Z235" s="18">
        <f>COUNTIF('보험청구'!$B:$B,$A235)</f>
        <v>4</v>
      </c>
      <c r="AA235" s="18">
        <f>COUNTIFS('보험청구'!$B:$B,$A235,'보험청구'!$J:$J,"미확인")</f>
        <v>0</v>
      </c>
      <c r="AB235" s="18">
        <f>SUMIF('보험청구'!$B:$B,$A235,'보험청구'!$I:$I)</f>
        <v>0</v>
      </c>
      <c r="AC235" s="18">
        <f>SUMIF('보험청구'!$B:$B,$A235,'보험청구'!$L:$L)</f>
        <v>1136000</v>
      </c>
      <c r="AD235" s="39">
        <v>46260.0</v>
      </c>
      <c r="AE235" s="39">
        <v>46268.0</v>
      </c>
      <c r="AF235" s="10"/>
      <c r="AG235" s="10" t="str">
        <f t="shared" si="2"/>
        <v>정상</v>
      </c>
      <c r="AH235" s="71" t="s">
        <v>4380</v>
      </c>
      <c r="AI235" s="85"/>
      <c r="AJ235" s="85"/>
    </row>
    <row r="236" ht="15.75" customHeight="1">
      <c r="A236" s="10" t="s">
        <v>4378</v>
      </c>
      <c r="B236" s="58" t="s">
        <v>2704</v>
      </c>
      <c r="C236" s="64" t="s">
        <v>212</v>
      </c>
      <c r="D236" s="64">
        <v>1.9760225E7</v>
      </c>
      <c r="E236" s="59" t="s">
        <v>2706</v>
      </c>
      <c r="F236" s="64" t="s">
        <v>1976</v>
      </c>
      <c r="G236" s="64" t="s">
        <v>4316</v>
      </c>
      <c r="H236" s="83" t="s">
        <v>4317</v>
      </c>
      <c r="I236" s="10" t="s">
        <v>106</v>
      </c>
      <c r="J236" s="20" t="s">
        <v>4318</v>
      </c>
      <c r="K236" s="20" t="s">
        <v>2744</v>
      </c>
      <c r="L236" s="83">
        <v>2.608785016E9</v>
      </c>
      <c r="M236" s="64" t="s">
        <v>4319</v>
      </c>
      <c r="N236" s="83" t="s">
        <v>4320</v>
      </c>
      <c r="O236" s="85"/>
      <c r="P236" s="85"/>
      <c r="Q236" s="83" t="s">
        <v>77</v>
      </c>
      <c r="R236" s="90"/>
      <c r="S236" s="20"/>
      <c r="T236" s="65"/>
      <c r="U236" s="83" t="s">
        <v>322</v>
      </c>
      <c r="V236" s="65"/>
      <c r="W236" s="64" t="s">
        <v>56</v>
      </c>
      <c r="X236" s="18">
        <f>COUNTIF('간병인배정'!$B:$B,$A236)</f>
        <v>0</v>
      </c>
      <c r="Y236" s="18">
        <f>SUMIF('간병비지급'!$B:$B,$A236,'간병비지급'!$I:$I)</f>
        <v>560000</v>
      </c>
      <c r="Z236" s="18">
        <f>COUNTIF('보험청구'!$B:$B,$A236)</f>
        <v>1</v>
      </c>
      <c r="AA236" s="18">
        <f>COUNTIFS('보험청구'!$B:$B,$A236,'보험청구'!$J:$J,"미확인")</f>
        <v>0</v>
      </c>
      <c r="AB236" s="18">
        <f>SUMIF('보험청구'!$B:$B,$A236,'보험청구'!$I:$I)</f>
        <v>0</v>
      </c>
      <c r="AC236" s="18">
        <f>SUMIF('보험청구'!$B:$B,$A236,'보험청구'!$L:$L)</f>
        <v>568000</v>
      </c>
      <c r="AD236" s="39">
        <v>46260.0</v>
      </c>
      <c r="AE236" s="39">
        <v>46269.0</v>
      </c>
      <c r="AF236" s="10">
        <f t="shared" ref="AF236:AF250" si="9">IF($AE236="","",$AJ$1-$AE236)</f>
        <v>14</v>
      </c>
      <c r="AG236" s="10" t="str">
        <f t="shared" si="2"/>
        <v>정상</v>
      </c>
      <c r="AH236" s="91"/>
      <c r="AI236" s="85"/>
      <c r="AJ236" s="85"/>
    </row>
    <row r="237" ht="15.75" customHeight="1">
      <c r="A237" s="10" t="s">
        <v>2888</v>
      </c>
      <c r="B237" s="64" t="s">
        <v>4386</v>
      </c>
      <c r="C237" s="64" t="s">
        <v>66</v>
      </c>
      <c r="D237" s="64">
        <v>1.9420508E7</v>
      </c>
      <c r="E237" s="64" t="s">
        <v>4387</v>
      </c>
      <c r="F237" s="64" t="s">
        <v>391</v>
      </c>
      <c r="G237" s="64" t="s">
        <v>4388</v>
      </c>
      <c r="H237" s="71" t="s">
        <v>4389</v>
      </c>
      <c r="I237" s="10" t="s">
        <v>106</v>
      </c>
      <c r="J237" s="20" t="s">
        <v>4390</v>
      </c>
      <c r="K237" s="64" t="s">
        <v>4391</v>
      </c>
      <c r="L237" s="64" t="s">
        <v>4392</v>
      </c>
      <c r="M237" s="64" t="s">
        <v>4393</v>
      </c>
      <c r="N237" s="64" t="s">
        <v>4394</v>
      </c>
      <c r="O237" s="65"/>
      <c r="P237" s="65"/>
      <c r="Q237" s="83" t="s">
        <v>77</v>
      </c>
      <c r="R237" s="90"/>
      <c r="S237" s="20" t="s">
        <v>4307</v>
      </c>
      <c r="T237" s="64" t="s">
        <v>3908</v>
      </c>
      <c r="U237" s="83" t="s">
        <v>322</v>
      </c>
      <c r="V237" s="65"/>
      <c r="W237" s="64" t="s">
        <v>56</v>
      </c>
      <c r="X237" s="18">
        <f>COUNTIF('간병인배정'!$B:$B,$A237)</f>
        <v>1</v>
      </c>
      <c r="Y237" s="18">
        <f>SUMIF('간병비지급'!$B:$B,$A237,'간병비지급'!$I:$I)</f>
        <v>650000</v>
      </c>
      <c r="Z237" s="18">
        <f>COUNTIF('보험청구'!$B:$B,$A237)</f>
        <v>1</v>
      </c>
      <c r="AA237" s="18">
        <f>COUNTIFS('보험청구'!$B:$B,$A237,'보험청구'!$J:$J,"미확인")</f>
        <v>0</v>
      </c>
      <c r="AB237" s="18">
        <f>SUMIF('보험청구'!$B:$B,$A237,'보험청구'!$I:$I)</f>
        <v>495000</v>
      </c>
      <c r="AC237" s="18">
        <f>SUMIF('보험청구'!$B:$B,$A237,'보험청구'!$L:$L)</f>
        <v>710000</v>
      </c>
      <c r="AD237" s="39">
        <v>46262.0</v>
      </c>
      <c r="AE237" s="39">
        <v>46266.0</v>
      </c>
      <c r="AF237" s="10">
        <f t="shared" si="9"/>
        <v>17</v>
      </c>
      <c r="AG237" s="10" t="str">
        <f t="shared" si="2"/>
        <v>정상</v>
      </c>
      <c r="AH237" s="71" t="s">
        <v>4402</v>
      </c>
      <c r="AI237" s="85"/>
      <c r="AJ237" s="85"/>
    </row>
    <row r="238" ht="15.75" customHeight="1">
      <c r="A238" s="10" t="s">
        <v>4403</v>
      </c>
      <c r="B238" s="13" t="s">
        <v>2909</v>
      </c>
      <c r="C238" s="64" t="s">
        <v>212</v>
      </c>
      <c r="D238" s="14">
        <v>1.9521117E7</v>
      </c>
      <c r="E238" s="10" t="s">
        <v>1779</v>
      </c>
      <c r="F238" s="64" t="s">
        <v>4404</v>
      </c>
      <c r="G238" s="64" t="s">
        <v>489</v>
      </c>
      <c r="H238" s="71" t="s">
        <v>4266</v>
      </c>
      <c r="I238" s="10" t="s">
        <v>106</v>
      </c>
      <c r="J238" s="10" t="s">
        <v>1781</v>
      </c>
      <c r="K238" s="10" t="s">
        <v>1783</v>
      </c>
      <c r="L238" s="20">
        <v>2.609033837E9</v>
      </c>
      <c r="M238" s="20" t="s">
        <v>3271</v>
      </c>
      <c r="N238" s="20" t="s">
        <v>3272</v>
      </c>
      <c r="O238" s="65"/>
      <c r="P238" s="65"/>
      <c r="Q238" s="83" t="s">
        <v>77</v>
      </c>
      <c r="R238" s="90"/>
      <c r="S238" s="20" t="s">
        <v>4406</v>
      </c>
      <c r="T238" s="20" t="s">
        <v>4406</v>
      </c>
      <c r="U238" s="83" t="s">
        <v>322</v>
      </c>
      <c r="V238" s="64" t="s">
        <v>4407</v>
      </c>
      <c r="W238" s="64" t="s">
        <v>65</v>
      </c>
      <c r="X238" s="18">
        <f>COUNTIF('간병인배정'!$B:$B,$A238)</f>
        <v>0</v>
      </c>
      <c r="Y238" s="18">
        <f>SUMIF('간병비지급'!$B:$B,$A238,'간병비지급'!$I:$I)</f>
        <v>560000</v>
      </c>
      <c r="Z238" s="18">
        <f>COUNTIF('보험청구'!$B:$B,$A238)</f>
        <v>1</v>
      </c>
      <c r="AA238" s="18">
        <f>COUNTIFS('보험청구'!$B:$B,$A238,'보험청구'!$J:$J,"미확인")</f>
        <v>0</v>
      </c>
      <c r="AB238" s="18">
        <f>SUMIF('보험청구'!$B:$B,$A238,'보험청구'!$I:$I)</f>
        <v>0</v>
      </c>
      <c r="AC238" s="18">
        <f>SUMIF('보험청구'!$B:$B,$A238,'보험청구'!$L:$L)</f>
        <v>568000</v>
      </c>
      <c r="AD238" s="39">
        <v>46265.0</v>
      </c>
      <c r="AE238" s="39">
        <v>46276.0</v>
      </c>
      <c r="AF238" s="10">
        <f t="shared" si="9"/>
        <v>7</v>
      </c>
      <c r="AG238" s="10" t="str">
        <f t="shared" si="2"/>
        <v>정상</v>
      </c>
      <c r="AH238" s="91"/>
      <c r="AI238" s="85"/>
      <c r="AJ238" s="85"/>
    </row>
    <row r="239" ht="15.75" customHeight="1">
      <c r="A239" s="10" t="s">
        <v>4414</v>
      </c>
      <c r="B239" s="64" t="s">
        <v>4415</v>
      </c>
      <c r="C239" s="64" t="s">
        <v>212</v>
      </c>
      <c r="D239" s="64">
        <v>1.9571121E7</v>
      </c>
      <c r="E239" s="64" t="s">
        <v>4416</v>
      </c>
      <c r="F239" s="64" t="s">
        <v>4417</v>
      </c>
      <c r="G239" s="64" t="s">
        <v>4418</v>
      </c>
      <c r="H239" s="71" t="s">
        <v>3096</v>
      </c>
      <c r="I239" s="10" t="s">
        <v>106</v>
      </c>
      <c r="J239" s="20" t="s">
        <v>4419</v>
      </c>
      <c r="K239" s="64" t="s">
        <v>4420</v>
      </c>
      <c r="L239" s="64" t="s">
        <v>4421</v>
      </c>
      <c r="M239" s="64" t="s">
        <v>4122</v>
      </c>
      <c r="N239" s="64" t="s">
        <v>4123</v>
      </c>
      <c r="O239" s="65"/>
      <c r="P239" s="65"/>
      <c r="Q239" s="83" t="s">
        <v>77</v>
      </c>
      <c r="R239" s="90"/>
      <c r="S239" s="20" t="s">
        <v>4307</v>
      </c>
      <c r="T239" s="20" t="s">
        <v>4332</v>
      </c>
      <c r="U239" s="83" t="s">
        <v>322</v>
      </c>
      <c r="V239" s="65"/>
      <c r="W239" s="64" t="s">
        <v>178</v>
      </c>
      <c r="X239" s="18">
        <f>COUNTIF('간병인배정'!$B:$B,$A239)</f>
        <v>0</v>
      </c>
      <c r="Y239" s="18">
        <f>SUMIF('간병비지급'!$B:$B,$A239,'간병비지급'!$I:$I)</f>
        <v>0</v>
      </c>
      <c r="Z239" s="18">
        <f>COUNTIF('보험청구'!$B:$B,$A239)</f>
        <v>0</v>
      </c>
      <c r="AA239" s="18">
        <f>COUNTIFS('보험청구'!$B:$B,$A239,'보험청구'!$J:$J,"미확인")</f>
        <v>0</v>
      </c>
      <c r="AB239" s="18">
        <f>SUMIF('보험청구'!$B:$B,$A239,'보험청구'!$I:$I)</f>
        <v>0</v>
      </c>
      <c r="AC239" s="18">
        <f>SUMIF('보험청구'!$B:$B,$A239,'보험청구'!$L:$L)</f>
        <v>0</v>
      </c>
      <c r="AD239" s="85"/>
      <c r="AE239" s="85"/>
      <c r="AF239" s="10" t="str">
        <f t="shared" si="9"/>
        <v/>
      </c>
      <c r="AG239" s="10" t="str">
        <f t="shared" si="2"/>
        <v>제외</v>
      </c>
      <c r="AH239" s="71" t="s">
        <v>4429</v>
      </c>
      <c r="AI239" s="85"/>
      <c r="AJ239" s="85"/>
    </row>
    <row r="240" ht="15.75" customHeight="1">
      <c r="A240" s="10" t="s">
        <v>4430</v>
      </c>
      <c r="B240" s="64" t="s">
        <v>4084</v>
      </c>
      <c r="C240" s="64" t="s">
        <v>66</v>
      </c>
      <c r="D240" s="64">
        <v>1.9630622E7</v>
      </c>
      <c r="E240" s="64" t="s">
        <v>4431</v>
      </c>
      <c r="F240" s="64" t="s">
        <v>126</v>
      </c>
      <c r="G240" s="64" t="s">
        <v>127</v>
      </c>
      <c r="H240" s="71" t="s">
        <v>4432</v>
      </c>
      <c r="I240" s="10" t="s">
        <v>106</v>
      </c>
      <c r="J240" s="64" t="s">
        <v>4087</v>
      </c>
      <c r="K240" s="97">
        <v>45824.0</v>
      </c>
      <c r="L240" s="64" t="s">
        <v>4089</v>
      </c>
      <c r="M240" s="64" t="s">
        <v>4090</v>
      </c>
      <c r="N240" s="64" t="s">
        <v>3101</v>
      </c>
      <c r="O240" s="65"/>
      <c r="P240" s="65"/>
      <c r="Q240" s="83" t="s">
        <v>77</v>
      </c>
      <c r="R240" s="104"/>
      <c r="S240" s="10" t="s">
        <v>2504</v>
      </c>
      <c r="T240" s="10" t="s">
        <v>2504</v>
      </c>
      <c r="U240" s="83" t="s">
        <v>322</v>
      </c>
      <c r="V240" s="65"/>
      <c r="W240" s="64" t="s">
        <v>56</v>
      </c>
      <c r="X240" s="18">
        <f>COUNTIF('간병인배정'!$B:$B,$A240)</f>
        <v>0</v>
      </c>
      <c r="Y240" s="18">
        <f>SUMIF('간병비지급'!$B:$B,$A240,'간병비지급'!$I:$I)</f>
        <v>0</v>
      </c>
      <c r="Z240" s="18">
        <f>COUNTIF('보험청구'!$B:$B,$A240)</f>
        <v>1</v>
      </c>
      <c r="AA240" s="18">
        <f>COUNTIFS('보험청구'!$B:$B,$A240,'보험청구'!$J:$J,"미확인")</f>
        <v>0</v>
      </c>
      <c r="AB240" s="18">
        <f>SUMIF('보험청구'!$B:$B,$A240,'보험청구'!$I:$I)</f>
        <v>1440000</v>
      </c>
      <c r="AC240" s="18">
        <f>SUMIF('보험청구'!$B:$B,$A240,'보험청구'!$L:$L)</f>
        <v>0</v>
      </c>
      <c r="AD240" s="39">
        <v>46233.0</v>
      </c>
      <c r="AE240" s="39">
        <v>46265.0</v>
      </c>
      <c r="AF240" s="10">
        <f t="shared" si="9"/>
        <v>18</v>
      </c>
      <c r="AG240" s="10" t="str">
        <f t="shared" si="2"/>
        <v>정상</v>
      </c>
      <c r="AH240" s="71" t="s">
        <v>4437</v>
      </c>
      <c r="AI240" s="85"/>
      <c r="AJ240" s="85"/>
    </row>
    <row r="241" ht="15.75" customHeight="1">
      <c r="A241" s="10" t="s">
        <v>4438</v>
      </c>
      <c r="B241" s="56" t="s">
        <v>4439</v>
      </c>
      <c r="C241" s="64" t="s">
        <v>66</v>
      </c>
      <c r="D241" s="65"/>
      <c r="E241" s="56" t="s">
        <v>4440</v>
      </c>
      <c r="F241" s="64" t="s">
        <v>4441</v>
      </c>
      <c r="G241" s="64" t="s">
        <v>3507</v>
      </c>
      <c r="H241" s="40" t="s">
        <v>4442</v>
      </c>
      <c r="I241" s="10" t="s">
        <v>106</v>
      </c>
      <c r="J241" s="83" t="s">
        <v>4443</v>
      </c>
      <c r="K241" s="65"/>
      <c r="L241" s="65"/>
      <c r="M241" s="65"/>
      <c r="N241" s="65"/>
      <c r="O241" s="65"/>
      <c r="P241" s="65"/>
      <c r="Q241" s="83" t="s">
        <v>77</v>
      </c>
      <c r="R241" s="65"/>
      <c r="S241" s="65"/>
      <c r="T241" s="65"/>
      <c r="U241" s="83" t="s">
        <v>322</v>
      </c>
      <c r="V241" s="65"/>
      <c r="W241" s="64" t="s">
        <v>178</v>
      </c>
      <c r="X241" s="18">
        <f>COUNTIF('간병인배정'!$B:$B,$A241)</f>
        <v>0</v>
      </c>
      <c r="Y241" s="18">
        <f>SUMIF('간병비지급'!$B:$B,$A241,'간병비지급'!$I:$I)</f>
        <v>0</v>
      </c>
      <c r="Z241" s="18">
        <f>COUNTIF('보험청구'!$B:$B,$A241)</f>
        <v>0</v>
      </c>
      <c r="AA241" s="18">
        <f>COUNTIFS('보험청구'!$B:$B,$A241,'보험청구'!$J:$J,"미확인")</f>
        <v>0</v>
      </c>
      <c r="AB241" s="18">
        <f>SUMIF('보험청구'!$B:$B,$A241,'보험청구'!$I:$I)</f>
        <v>0</v>
      </c>
      <c r="AC241" s="18">
        <f>SUMIF('보험청구'!$B:$B,$A241,'보험청구'!$L:$L)</f>
        <v>0</v>
      </c>
      <c r="AD241" s="85"/>
      <c r="AE241" s="85"/>
      <c r="AF241" s="10" t="str">
        <f t="shared" si="9"/>
        <v/>
      </c>
      <c r="AG241" s="10" t="str">
        <f t="shared" si="2"/>
        <v>제외</v>
      </c>
      <c r="AH241" s="71" t="s">
        <v>4447</v>
      </c>
      <c r="AI241" s="85"/>
      <c r="AJ241" s="85"/>
    </row>
    <row r="242" ht="15.75" customHeight="1">
      <c r="A242" s="10" t="s">
        <v>4448</v>
      </c>
      <c r="B242" s="64" t="s">
        <v>1278</v>
      </c>
      <c r="C242" s="64" t="s">
        <v>66</v>
      </c>
      <c r="D242" s="65"/>
      <c r="E242" s="106" t="s">
        <v>4450</v>
      </c>
      <c r="F242" s="64" t="s">
        <v>391</v>
      </c>
      <c r="G242" s="64" t="s">
        <v>4451</v>
      </c>
      <c r="H242" s="107" t="s">
        <v>4452</v>
      </c>
      <c r="I242" s="10" t="s">
        <v>106</v>
      </c>
      <c r="J242" s="83" t="s">
        <v>4443</v>
      </c>
      <c r="K242" s="65"/>
      <c r="L242" s="65"/>
      <c r="M242" s="65"/>
      <c r="N242" s="65"/>
      <c r="O242" s="65"/>
      <c r="P242" s="65"/>
      <c r="Q242" s="83" t="s">
        <v>77</v>
      </c>
      <c r="R242" s="65"/>
      <c r="S242" s="65"/>
      <c r="T242" s="65"/>
      <c r="U242" s="83" t="s">
        <v>322</v>
      </c>
      <c r="V242" s="65"/>
      <c r="W242" s="64" t="s">
        <v>178</v>
      </c>
      <c r="X242" s="18">
        <f>COUNTIF('간병인배정'!$B:$B,$A242)</f>
        <v>0</v>
      </c>
      <c r="Y242" s="18">
        <f>SUMIF('간병비지급'!$B:$B,$A242,'간병비지급'!$I:$I)</f>
        <v>0</v>
      </c>
      <c r="Z242" s="18">
        <f>COUNTIF('보험청구'!$B:$B,$A242)</f>
        <v>0</v>
      </c>
      <c r="AA242" s="18">
        <f>COUNTIFS('보험청구'!$B:$B,$A242,'보험청구'!$J:$J,"미확인")</f>
        <v>0</v>
      </c>
      <c r="AB242" s="18">
        <f>SUMIF('보험청구'!$B:$B,$A242,'보험청구'!$I:$I)</f>
        <v>0</v>
      </c>
      <c r="AC242" s="18">
        <f>SUMIF('보험청구'!$B:$B,$A242,'보험청구'!$L:$L)</f>
        <v>0</v>
      </c>
      <c r="AD242" s="85"/>
      <c r="AE242" s="85"/>
      <c r="AF242" s="10" t="str">
        <f t="shared" si="9"/>
        <v/>
      </c>
      <c r="AG242" s="10" t="str">
        <f t="shared" si="2"/>
        <v>제외</v>
      </c>
      <c r="AH242" s="71" t="s">
        <v>4456</v>
      </c>
      <c r="AI242" s="85"/>
      <c r="AJ242" s="85"/>
    </row>
    <row r="243" ht="15.75" customHeight="1">
      <c r="A243" s="10" t="s">
        <v>2918</v>
      </c>
      <c r="B243" s="64" t="s">
        <v>2919</v>
      </c>
      <c r="C243" s="64" t="s">
        <v>212</v>
      </c>
      <c r="D243" s="64">
        <v>1.9590612E7</v>
      </c>
      <c r="E243" s="64" t="s">
        <v>4457</v>
      </c>
      <c r="F243" s="64" t="s">
        <v>4458</v>
      </c>
      <c r="G243" s="64" t="s">
        <v>3616</v>
      </c>
      <c r="H243" s="71" t="s">
        <v>4459</v>
      </c>
      <c r="I243" s="10" t="s">
        <v>106</v>
      </c>
      <c r="J243" s="64" t="s">
        <v>4460</v>
      </c>
      <c r="K243" s="64" t="s">
        <v>4461</v>
      </c>
      <c r="L243" s="64">
        <v>2.609121636E9</v>
      </c>
      <c r="M243" s="64" t="s">
        <v>4462</v>
      </c>
      <c r="N243" s="64" t="s">
        <v>4463</v>
      </c>
      <c r="O243" s="65"/>
      <c r="P243" s="85"/>
      <c r="Q243" s="83" t="s">
        <v>77</v>
      </c>
      <c r="R243" s="90"/>
      <c r="S243" s="20" t="s">
        <v>4464</v>
      </c>
      <c r="T243" s="64" t="s">
        <v>4465</v>
      </c>
      <c r="U243" s="83" t="s">
        <v>322</v>
      </c>
      <c r="V243" s="65"/>
      <c r="W243" s="64" t="s">
        <v>56</v>
      </c>
      <c r="X243" s="18">
        <f>COUNTIF('간병인배정'!$B:$B,$A243)</f>
        <v>1</v>
      </c>
      <c r="Y243" s="18">
        <f>SUMIF('간병비지급'!$B:$B,$A243,'간병비지급'!$I:$I)</f>
        <v>840000</v>
      </c>
      <c r="Z243" s="18">
        <f>COUNTIF('보험청구'!$B:$B,$A243)</f>
        <v>1</v>
      </c>
      <c r="AA243" s="18">
        <f>COUNTIFS('보험청구'!$B:$B,$A243,'보험청구'!$J:$J,"미확인")</f>
        <v>0</v>
      </c>
      <c r="AB243" s="18">
        <f>SUMIF('보험청구'!$B:$B,$A243,'보험청구'!$I:$I)</f>
        <v>0</v>
      </c>
      <c r="AC243" s="18">
        <f>SUMIF('보험청구'!$B:$B,$A243,'보험청구'!$L:$L)</f>
        <v>852000</v>
      </c>
      <c r="AD243" s="39">
        <v>46266.0</v>
      </c>
      <c r="AE243" s="39">
        <v>46272.0</v>
      </c>
      <c r="AF243" s="10">
        <f t="shared" si="9"/>
        <v>11</v>
      </c>
      <c r="AG243" s="10" t="str">
        <f t="shared" si="2"/>
        <v>정상</v>
      </c>
      <c r="AH243" s="71"/>
      <c r="AI243" s="85"/>
      <c r="AJ243" s="85"/>
    </row>
    <row r="244" ht="15.75" customHeight="1">
      <c r="A244" s="10" t="s">
        <v>2946</v>
      </c>
      <c r="B244" s="31" t="s">
        <v>2947</v>
      </c>
      <c r="C244" s="64" t="s">
        <v>212</v>
      </c>
      <c r="D244" s="64">
        <v>1.9550923E7</v>
      </c>
      <c r="E244" s="64" t="s">
        <v>4467</v>
      </c>
      <c r="F244" s="64" t="s">
        <v>4289</v>
      </c>
      <c r="G244" s="64" t="s">
        <v>4468</v>
      </c>
      <c r="H244" s="83" t="s">
        <v>4469</v>
      </c>
      <c r="I244" s="20" t="s">
        <v>106</v>
      </c>
      <c r="J244" s="64" t="s">
        <v>4470</v>
      </c>
      <c r="K244" s="20" t="s">
        <v>4077</v>
      </c>
      <c r="L244" s="83">
        <v>2.609449429E9</v>
      </c>
      <c r="M244" s="64" t="s">
        <v>4471</v>
      </c>
      <c r="N244" s="64" t="s">
        <v>4472</v>
      </c>
      <c r="O244" s="85"/>
      <c r="P244" s="85"/>
      <c r="Q244" s="83" t="s">
        <v>77</v>
      </c>
      <c r="R244" s="90"/>
      <c r="S244" s="20" t="s">
        <v>4473</v>
      </c>
      <c r="T244" s="20" t="s">
        <v>4474</v>
      </c>
      <c r="U244" s="83" t="s">
        <v>322</v>
      </c>
      <c r="V244" s="64" t="s">
        <v>4294</v>
      </c>
      <c r="W244" s="64" t="s">
        <v>65</v>
      </c>
      <c r="X244" s="18">
        <f>COUNTIF('간병인배정'!$B:$B,$A244)</f>
        <v>1</v>
      </c>
      <c r="Y244" s="18">
        <f>SUMIF('간병비지급'!$B:$B,$A244,'간병비지급'!$I:$I)</f>
        <v>1680000</v>
      </c>
      <c r="Z244" s="18">
        <f>COUNTIF('보험청구'!$B:$B,$A244)</f>
        <v>2</v>
      </c>
      <c r="AA244" s="18">
        <f>COUNTIFS('보험청구'!$B:$B,$A244,'보험청구'!$J:$J,"미확인")</f>
        <v>0</v>
      </c>
      <c r="AB244" s="18">
        <f>SUMIF('보험청구'!$B:$B,$A244,'보험청구'!$I:$I)</f>
        <v>0</v>
      </c>
      <c r="AC244" s="18">
        <f>SUMIF('보험청구'!$B:$B,$A244,'보험청구'!$L:$L)</f>
        <v>1704000</v>
      </c>
      <c r="AD244" s="39">
        <v>46269.0</v>
      </c>
      <c r="AE244" s="39">
        <v>46276.0</v>
      </c>
      <c r="AF244" s="10">
        <f t="shared" si="9"/>
        <v>7</v>
      </c>
      <c r="AG244" s="10" t="str">
        <f t="shared" si="2"/>
        <v>정상</v>
      </c>
      <c r="AH244" s="71"/>
      <c r="AI244" s="85"/>
      <c r="AJ244" s="85"/>
    </row>
    <row r="245" ht="15.75" customHeight="1">
      <c r="A245" s="10" t="s">
        <v>2959</v>
      </c>
      <c r="B245" s="64" t="s">
        <v>2960</v>
      </c>
      <c r="C245" s="64" t="s">
        <v>212</v>
      </c>
      <c r="D245" s="64">
        <v>1.9750507E7</v>
      </c>
      <c r="E245" s="64" t="s">
        <v>4477</v>
      </c>
      <c r="F245" s="64" t="s">
        <v>391</v>
      </c>
      <c r="G245" s="64" t="s">
        <v>4478</v>
      </c>
      <c r="H245" s="83" t="s">
        <v>4479</v>
      </c>
      <c r="I245" s="20" t="s">
        <v>109</v>
      </c>
      <c r="J245" s="109">
        <v>5.262187327E13</v>
      </c>
      <c r="K245" s="109" t="s">
        <v>4155</v>
      </c>
      <c r="L245" s="85"/>
      <c r="M245" s="85"/>
      <c r="N245" s="85"/>
      <c r="O245" s="85"/>
      <c r="P245" s="85"/>
      <c r="Q245" s="83" t="s">
        <v>77</v>
      </c>
      <c r="R245" s="90"/>
      <c r="S245" s="20" t="s">
        <v>4480</v>
      </c>
      <c r="T245" s="20" t="s">
        <v>4481</v>
      </c>
      <c r="U245" s="83" t="s">
        <v>322</v>
      </c>
      <c r="V245" s="65"/>
      <c r="W245" s="64" t="s">
        <v>56</v>
      </c>
      <c r="X245" s="18">
        <f>COUNTIF('간병인배정'!$B:$B,$A245)</f>
        <v>1</v>
      </c>
      <c r="Y245" s="18">
        <f>SUMIF('간병비지급'!$B:$B,$A245,'간병비지급'!$I:$I)</f>
        <v>390000</v>
      </c>
      <c r="Z245" s="18">
        <f>COUNTIF('보험청구'!$B:$B,$A245)</f>
        <v>3</v>
      </c>
      <c r="AA245" s="18">
        <f>COUNTIFS('보험청구'!$B:$B,$A245,'보험청구'!$J:$J,"미확인")</f>
        <v>0</v>
      </c>
      <c r="AB245" s="18">
        <f>SUMIF('보험청구'!$B:$B,$A245,'보험청구'!$I:$I)</f>
        <v>0</v>
      </c>
      <c r="AC245" s="18">
        <f>SUMIF('보험청구'!$B:$B,$A245,'보험청구'!$L:$L)</f>
        <v>1293000</v>
      </c>
      <c r="AD245" s="39">
        <v>46268.0</v>
      </c>
      <c r="AE245" s="85"/>
      <c r="AF245" s="10" t="str">
        <f t="shared" si="9"/>
        <v/>
      </c>
      <c r="AG245" s="10" t="str">
        <f t="shared" si="2"/>
        <v>정상</v>
      </c>
      <c r="AH245" s="71" t="s">
        <v>4483</v>
      </c>
      <c r="AI245" s="85"/>
      <c r="AJ245" s="85"/>
    </row>
    <row r="246" ht="15.75" customHeight="1">
      <c r="A246" s="10" t="s">
        <v>2988</v>
      </c>
      <c r="B246" s="64" t="s">
        <v>2989</v>
      </c>
      <c r="C246" s="64" t="s">
        <v>66</v>
      </c>
      <c r="D246" s="64">
        <v>1.9570509E7</v>
      </c>
      <c r="E246" s="64" t="s">
        <v>4486</v>
      </c>
      <c r="F246" s="64" t="s">
        <v>1104</v>
      </c>
      <c r="G246" s="64" t="s">
        <v>4487</v>
      </c>
      <c r="H246" s="83" t="s">
        <v>4488</v>
      </c>
      <c r="I246" s="20" t="s">
        <v>109</v>
      </c>
      <c r="J246" s="109">
        <v>5.262175587E13</v>
      </c>
      <c r="K246" s="109" t="s">
        <v>4155</v>
      </c>
      <c r="L246" s="85"/>
      <c r="M246" s="83"/>
      <c r="N246" s="85"/>
      <c r="O246" s="85"/>
      <c r="P246" s="85"/>
      <c r="Q246" s="83" t="s">
        <v>77</v>
      </c>
      <c r="R246" s="90"/>
      <c r="S246" s="20" t="s">
        <v>4489</v>
      </c>
      <c r="T246" s="64" t="s">
        <v>4490</v>
      </c>
      <c r="U246" s="83" t="s">
        <v>322</v>
      </c>
      <c r="V246" s="65"/>
      <c r="W246" s="64" t="s">
        <v>65</v>
      </c>
      <c r="X246" s="18">
        <f>COUNTIF('간병인배정'!$B:$B,$A246)</f>
        <v>1</v>
      </c>
      <c r="Y246" s="18">
        <f>SUMIF('간병비지급'!$B:$B,$A246,'간병비지급'!$I:$I)</f>
        <v>2100000</v>
      </c>
      <c r="Z246" s="18">
        <f>COUNTIF('보험청구'!$B:$B,$A246)</f>
        <v>2</v>
      </c>
      <c r="AA246" s="18">
        <f>COUNTIFS('보험청구'!$B:$B,$A246,'보험청구'!$J:$J,"미확인")</f>
        <v>0</v>
      </c>
      <c r="AB246" s="18">
        <f>SUMIF('보험청구'!$B:$B,$A246,'보험청구'!$I:$I)</f>
        <v>0</v>
      </c>
      <c r="AC246" s="18">
        <f>SUMIF('보험청구'!$B:$B,$A246,'보험청구'!$L:$L)</f>
        <v>2205000</v>
      </c>
      <c r="AD246" s="39">
        <v>46270.0</v>
      </c>
      <c r="AE246" s="39">
        <v>46275.0</v>
      </c>
      <c r="AF246" s="10">
        <f t="shared" si="9"/>
        <v>8</v>
      </c>
      <c r="AG246" s="10" t="str">
        <f t="shared" si="2"/>
        <v>정상</v>
      </c>
      <c r="AH246" s="71" t="s">
        <v>4492</v>
      </c>
      <c r="AI246" s="85"/>
      <c r="AJ246" s="85"/>
    </row>
    <row r="247" ht="15.75" customHeight="1">
      <c r="A247" s="10" t="s">
        <v>2976</v>
      </c>
      <c r="B247" s="109" t="s">
        <v>2978</v>
      </c>
      <c r="C247" s="64" t="s">
        <v>66</v>
      </c>
      <c r="D247" s="110">
        <v>1.9470323E7</v>
      </c>
      <c r="E247" s="109" t="s">
        <v>4493</v>
      </c>
      <c r="F247" s="64" t="s">
        <v>391</v>
      </c>
      <c r="G247" s="64" t="s">
        <v>4494</v>
      </c>
      <c r="H247" s="83" t="s">
        <v>4495</v>
      </c>
      <c r="I247" s="20" t="s">
        <v>109</v>
      </c>
      <c r="J247" s="109">
        <v>5.262221812E13</v>
      </c>
      <c r="K247" s="109" t="s">
        <v>4216</v>
      </c>
      <c r="L247" s="85"/>
      <c r="M247" s="85"/>
      <c r="N247" s="85"/>
      <c r="O247" s="85"/>
      <c r="P247" s="85"/>
      <c r="Q247" s="83" t="s">
        <v>77</v>
      </c>
      <c r="R247" s="90"/>
      <c r="S247" s="20" t="s">
        <v>4496</v>
      </c>
      <c r="T247" s="20" t="s">
        <v>2984</v>
      </c>
      <c r="U247" s="83" t="s">
        <v>322</v>
      </c>
      <c r="V247" s="64" t="s">
        <v>400</v>
      </c>
      <c r="W247" s="64" t="s">
        <v>72</v>
      </c>
      <c r="X247" s="18">
        <f>COUNTIF('간병인배정'!$B:$B,$A247)</f>
        <v>1</v>
      </c>
      <c r="Y247" s="18">
        <f>SUMIF('간병비지급'!$B:$B,$A247,'간병비지급'!$I:$I)</f>
        <v>520000</v>
      </c>
      <c r="Z247" s="18">
        <f>COUNTIF('보험청구'!$B:$B,$A247)</f>
        <v>1</v>
      </c>
      <c r="AA247" s="18">
        <f>COUNTIFS('보험청구'!$B:$B,$A247,'보험청구'!$J:$J,"미확인")</f>
        <v>0</v>
      </c>
      <c r="AB247" s="18">
        <f>SUMIF('보험청구'!$B:$B,$A247,'보험청구'!$I:$I)</f>
        <v>0</v>
      </c>
      <c r="AC247" s="18">
        <f>SUMIF('보험청구'!$B:$B,$A247,'보험청구'!$L:$L)</f>
        <v>568000</v>
      </c>
      <c r="AD247" s="39">
        <v>46271.0</v>
      </c>
      <c r="AE247" s="39">
        <v>46274.0</v>
      </c>
      <c r="AF247" s="10">
        <f t="shared" si="9"/>
        <v>9</v>
      </c>
      <c r="AG247" s="20" t="s">
        <v>4503</v>
      </c>
      <c r="AH247" s="91"/>
      <c r="AI247" s="85"/>
      <c r="AJ247" s="85"/>
    </row>
    <row r="248" ht="15.75" customHeight="1">
      <c r="A248" s="10" t="s">
        <v>4504</v>
      </c>
      <c r="B248" s="64" t="s">
        <v>4505</v>
      </c>
      <c r="C248" s="64" t="s">
        <v>66</v>
      </c>
      <c r="D248" s="64">
        <v>1.9660501E7</v>
      </c>
      <c r="E248" s="64" t="s">
        <v>4506</v>
      </c>
      <c r="F248" s="64" t="s">
        <v>126</v>
      </c>
      <c r="G248" s="64" t="s">
        <v>4507</v>
      </c>
      <c r="H248" s="83" t="s">
        <v>4508</v>
      </c>
      <c r="I248" s="20" t="s">
        <v>109</v>
      </c>
      <c r="J248" s="83" t="s">
        <v>4509</v>
      </c>
      <c r="K248" s="85"/>
      <c r="L248" s="85"/>
      <c r="M248" s="85"/>
      <c r="N248" s="85"/>
      <c r="O248" s="85"/>
      <c r="P248" s="85"/>
      <c r="Q248" s="83" t="s">
        <v>77</v>
      </c>
      <c r="R248" s="64"/>
      <c r="S248" s="64" t="s">
        <v>4510</v>
      </c>
      <c r="T248" s="85"/>
      <c r="U248" s="83" t="s">
        <v>322</v>
      </c>
      <c r="V248" s="65"/>
      <c r="W248" s="64" t="s">
        <v>178</v>
      </c>
      <c r="X248" s="18">
        <f>COUNTIF('간병인배정'!$B:$B,$A248)</f>
        <v>0</v>
      </c>
      <c r="Y248" s="18">
        <f>SUMIF('간병비지급'!$B:$B,$A248,'간병비지급'!$I:$I)</f>
        <v>0</v>
      </c>
      <c r="Z248" s="18">
        <f>COUNTIF('보험청구'!$B:$B,$A248)</f>
        <v>0</v>
      </c>
      <c r="AA248" s="18">
        <f>COUNTIFS('보험청구'!$B:$B,$A248,'보험청구'!$J:$J,"미확인")</f>
        <v>0</v>
      </c>
      <c r="AB248" s="18">
        <f>SUMIF('보험청구'!$B:$B,$A248,'보험청구'!$I:$I)</f>
        <v>0</v>
      </c>
      <c r="AC248" s="18">
        <f>SUMIF('보험청구'!$B:$B,$A248,'보험청구'!$L:$L)</f>
        <v>0</v>
      </c>
      <c r="AD248" s="85"/>
      <c r="AE248" s="85"/>
      <c r="AF248" s="10" t="str">
        <f t="shared" si="9"/>
        <v/>
      </c>
      <c r="AG248" s="10" t="str">
        <f t="shared" ref="AG248:AG251" si="10">IF(OR($W248="서비스 취소",$W248="서비스취소",$W248="미해당",$W248="예정",$W248=""),"제외",IF(AND($W248="완료",$Z248=0),"미청구(완료·무청구)",IF(AND($W248="진행중",$Z248=0,$AD248&lt;&gt;"",$AJ$1-$AD248&gt;=10),"미청구(청구시작안됨)",IF(AND($W248="진행중",$Z248&gt;0,$AJ$1-$AE248&gt;=10),"미청구(청구지연)","정상"))))</f>
        <v>제외</v>
      </c>
      <c r="AH248" s="71" t="s">
        <v>4443</v>
      </c>
      <c r="AI248" s="85"/>
      <c r="AJ248" s="85"/>
    </row>
    <row r="249" ht="15.75" customHeight="1">
      <c r="A249" s="10" t="s">
        <v>2995</v>
      </c>
      <c r="B249" s="64" t="s">
        <v>2996</v>
      </c>
      <c r="C249" s="64" t="s">
        <v>66</v>
      </c>
      <c r="D249" s="64">
        <v>1.960033E7</v>
      </c>
      <c r="E249" s="64" t="s">
        <v>4519</v>
      </c>
      <c r="F249" s="64" t="s">
        <v>574</v>
      </c>
      <c r="G249" s="64" t="s">
        <v>4520</v>
      </c>
      <c r="H249" s="83" t="s">
        <v>4521</v>
      </c>
      <c r="I249" s="20" t="s">
        <v>109</v>
      </c>
      <c r="J249" s="109">
        <v>5.262198891E13</v>
      </c>
      <c r="K249" s="64" t="s">
        <v>4092</v>
      </c>
      <c r="L249" s="85"/>
      <c r="M249" s="85"/>
      <c r="N249" s="85"/>
      <c r="O249" s="85"/>
      <c r="P249" s="85"/>
      <c r="Q249" s="83" t="s">
        <v>77</v>
      </c>
      <c r="R249" s="64"/>
      <c r="S249" s="64" t="s">
        <v>4522</v>
      </c>
      <c r="T249" s="64" t="s">
        <v>4490</v>
      </c>
      <c r="U249" s="83" t="s">
        <v>322</v>
      </c>
      <c r="V249" s="64">
        <v>5.0</v>
      </c>
      <c r="W249" s="64" t="s">
        <v>56</v>
      </c>
      <c r="X249" s="18">
        <f>COUNTIF('간병인배정'!$B:$B,$A249)</f>
        <v>1</v>
      </c>
      <c r="Y249" s="18">
        <f>SUMIF('간병비지급'!$B:$B,$A249,'간병비지급'!$I:$I)</f>
        <v>435000</v>
      </c>
      <c r="Z249" s="18">
        <f>COUNTIF('보험청구'!$B:$B,$A249)</f>
        <v>1</v>
      </c>
      <c r="AA249" s="18">
        <f>COUNTIFS('보험청구'!$B:$B,$A249,'보험청구'!$J:$J,"미확인")</f>
        <v>0</v>
      </c>
      <c r="AB249" s="18">
        <f>SUMIF('보험청구'!$B:$B,$A249,'보험청구'!$I:$I)</f>
        <v>0</v>
      </c>
      <c r="AC249" s="18">
        <f>SUMIF('보험청구'!$B:$B,$A249,'보험청구'!$L:$L)</f>
        <v>426000</v>
      </c>
      <c r="AD249" s="39">
        <v>46270.0</v>
      </c>
      <c r="AE249" s="39">
        <v>46274.0</v>
      </c>
      <c r="AF249" s="10">
        <f t="shared" si="9"/>
        <v>9</v>
      </c>
      <c r="AG249" s="10" t="str">
        <f t="shared" si="10"/>
        <v>정상</v>
      </c>
      <c r="AH249" s="91"/>
      <c r="AI249" s="85"/>
      <c r="AJ249" s="85"/>
    </row>
    <row r="250" ht="15.75" customHeight="1">
      <c r="A250" s="10" t="s">
        <v>3005</v>
      </c>
      <c r="B250" s="64" t="s">
        <v>3006</v>
      </c>
      <c r="C250" s="64" t="s">
        <v>212</v>
      </c>
      <c r="D250" s="110">
        <v>1.9600322E7</v>
      </c>
      <c r="E250" s="110" t="s">
        <v>4528</v>
      </c>
      <c r="F250" s="64" t="s">
        <v>4441</v>
      </c>
      <c r="G250" s="64" t="s">
        <v>516</v>
      </c>
      <c r="H250" s="40" t="s">
        <v>4529</v>
      </c>
      <c r="I250" s="20" t="s">
        <v>109</v>
      </c>
      <c r="J250" s="109">
        <v>5.262270769E13</v>
      </c>
      <c r="K250" s="109">
        <v>2.0260831E7</v>
      </c>
      <c r="L250" s="85"/>
      <c r="M250" s="85"/>
      <c r="N250" s="85"/>
      <c r="O250" s="85"/>
      <c r="P250" s="85"/>
      <c r="Q250" s="83" t="s">
        <v>132</v>
      </c>
      <c r="R250" s="90"/>
      <c r="S250" s="20" t="s">
        <v>3007</v>
      </c>
      <c r="T250" s="20" t="s">
        <v>4530</v>
      </c>
      <c r="U250" s="83" t="s">
        <v>322</v>
      </c>
      <c r="V250" s="64">
        <v>3.0</v>
      </c>
      <c r="W250" s="64" t="s">
        <v>65</v>
      </c>
      <c r="X250" s="18">
        <f>COUNTIF('간병인배정'!$B:$B,$A250)</f>
        <v>1</v>
      </c>
      <c r="Y250" s="18">
        <f>SUMIF('간병비지급'!$B:$B,$A250,'간병비지급'!$I:$I)</f>
        <v>1690000</v>
      </c>
      <c r="Z250" s="18">
        <f>COUNTIF('보험청구'!$B:$B,$A250)</f>
        <v>2</v>
      </c>
      <c r="AA250" s="18">
        <f>COUNTIFS('보험청구'!$B:$B,$A250,'보험청구'!$J:$J,"미확인")</f>
        <v>0</v>
      </c>
      <c r="AB250" s="18">
        <f>SUMIF('보험청구'!$B:$B,$A250,'보험청구'!$I:$I)</f>
        <v>0</v>
      </c>
      <c r="AC250" s="18">
        <f>SUMIF('보험청구'!$B:$B,$A250,'보험청구'!$L:$L)</f>
        <v>1911000</v>
      </c>
      <c r="AD250" s="39">
        <v>46272.0</v>
      </c>
      <c r="AE250" s="39">
        <v>46275.0</v>
      </c>
      <c r="AF250" s="10">
        <f t="shared" si="9"/>
        <v>8</v>
      </c>
      <c r="AG250" s="10" t="str">
        <f t="shared" si="10"/>
        <v>정상</v>
      </c>
      <c r="AH250" s="71" t="s">
        <v>4536</v>
      </c>
      <c r="AI250" s="85"/>
      <c r="AJ250" s="85"/>
    </row>
    <row r="251" ht="15.75" customHeight="1">
      <c r="A251" s="10" t="s">
        <v>3010</v>
      </c>
      <c r="B251" s="64" t="s">
        <v>3011</v>
      </c>
      <c r="C251" s="64" t="s">
        <v>66</v>
      </c>
      <c r="D251" s="110">
        <v>1.9590815E7</v>
      </c>
      <c r="E251" s="110" t="s">
        <v>4537</v>
      </c>
      <c r="F251" s="64" t="s">
        <v>4538</v>
      </c>
      <c r="G251" s="64" t="s">
        <v>4539</v>
      </c>
      <c r="H251" s="83" t="s">
        <v>4540</v>
      </c>
      <c r="I251" s="20" t="s">
        <v>109</v>
      </c>
      <c r="J251" s="109">
        <v>5.262256968E13</v>
      </c>
      <c r="K251" s="109">
        <v>2.0260828E7</v>
      </c>
      <c r="L251" s="83"/>
      <c r="M251" s="85"/>
      <c r="N251" s="85"/>
      <c r="O251" s="85"/>
      <c r="P251" s="85"/>
      <c r="Q251" s="83" t="s">
        <v>77</v>
      </c>
      <c r="R251" s="90"/>
      <c r="S251" s="20" t="s">
        <v>4543</v>
      </c>
      <c r="T251" s="20" t="s">
        <v>4544</v>
      </c>
      <c r="U251" s="83" t="s">
        <v>322</v>
      </c>
      <c r="V251" s="64">
        <v>5.0</v>
      </c>
      <c r="W251" s="64" t="s">
        <v>65</v>
      </c>
      <c r="X251" s="18">
        <f>COUNTIF('간병인배정'!$B:$B,$A251)</f>
        <v>1</v>
      </c>
      <c r="Y251" s="18">
        <f>SUMIF('간병비지급'!$B:$B,$A251,'간병비지급'!$I:$I)</f>
        <v>960000</v>
      </c>
      <c r="Z251" s="18">
        <f>COUNTIF('보험청구'!$B:$B,$A251)</f>
        <v>1</v>
      </c>
      <c r="AA251" s="18">
        <f>COUNTIFS('보험청구'!$B:$B,$A251,'보험청구'!$J:$J,"미확인")</f>
        <v>0</v>
      </c>
      <c r="AB251" s="18">
        <f>SUMIF('보험청구'!$B:$B,$A251,'보험청구'!$I:$I)</f>
        <v>0</v>
      </c>
      <c r="AC251" s="18">
        <f>SUMIF('보험청구'!$B:$B,$A251,'보험청구'!$L:$L)</f>
        <v>1029000</v>
      </c>
      <c r="AD251" s="39">
        <v>46273.0</v>
      </c>
      <c r="AE251" s="39">
        <v>46275.0</v>
      </c>
      <c r="AF251" s="10"/>
      <c r="AG251" s="10" t="str">
        <f t="shared" si="10"/>
        <v>정상</v>
      </c>
      <c r="AH251" s="71"/>
      <c r="AI251" s="85"/>
      <c r="AJ251" s="85"/>
    </row>
    <row r="252" ht="15.75" customHeight="1">
      <c r="A252" s="10" t="s">
        <v>3022</v>
      </c>
      <c r="B252" s="64" t="s">
        <v>3023</v>
      </c>
      <c r="C252" s="64" t="s">
        <v>66</v>
      </c>
      <c r="D252" s="64">
        <v>1.9680213E7</v>
      </c>
      <c r="E252" s="64" t="s">
        <v>4550</v>
      </c>
      <c r="F252" s="64" t="s">
        <v>4289</v>
      </c>
      <c r="G252" s="64" t="s">
        <v>4551</v>
      </c>
      <c r="H252" s="83" t="s">
        <v>4552</v>
      </c>
      <c r="I252" s="20" t="s">
        <v>106</v>
      </c>
      <c r="J252" s="64" t="s">
        <v>4553</v>
      </c>
      <c r="K252" s="64" t="s">
        <v>4554</v>
      </c>
      <c r="L252" s="64">
        <v>2.609444234E9</v>
      </c>
      <c r="M252" s="64" t="s">
        <v>4555</v>
      </c>
      <c r="N252" s="64" t="s">
        <v>4556</v>
      </c>
      <c r="O252" s="85"/>
      <c r="P252" s="85"/>
      <c r="Q252" s="83" t="s">
        <v>77</v>
      </c>
      <c r="R252" s="90"/>
      <c r="S252" s="20" t="s">
        <v>4557</v>
      </c>
      <c r="T252" s="20" t="s">
        <v>4558</v>
      </c>
      <c r="U252" s="83" t="s">
        <v>322</v>
      </c>
      <c r="V252" s="65"/>
      <c r="W252" s="64" t="s">
        <v>65</v>
      </c>
      <c r="X252" s="18">
        <f>COUNTIF('간병인배정'!$B:$B,$A252)</f>
        <v>1</v>
      </c>
      <c r="Y252" s="18">
        <f>SUMIF('간병비지급'!$B:$B,$A252,'간병비지급'!$I:$I)</f>
        <v>140000</v>
      </c>
      <c r="Z252" s="18">
        <f>COUNTIF('보험청구'!$B:$B,$A252)</f>
        <v>1</v>
      </c>
      <c r="AA252" s="18">
        <f>COUNTIFS('보험청구'!$B:$B,$A252,'보험청구'!$J:$J,"미확인")</f>
        <v>0</v>
      </c>
      <c r="AB252" s="18">
        <f>SUMIF('보험청구'!$B:$B,$A252,'보험청구'!$I:$I)</f>
        <v>0</v>
      </c>
      <c r="AC252" s="18">
        <f>SUMIF('보험청구'!$B:$B,$A252,'보험청구'!$L:$L)</f>
        <v>142000</v>
      </c>
      <c r="AD252" s="39">
        <v>46273.0</v>
      </c>
      <c r="AE252" s="39">
        <v>46273.0</v>
      </c>
      <c r="AF252" s="113"/>
      <c r="AG252" s="68" t="str">
        <f>IF(OR($W252="서비스 취소",$W252="서비스취소",$W252="미해당",$W252="예정",$W252=""),"제외",IF(AND($W252="완료",$Z252=0),"미청구(완료·무청구)",IF(AND($W252="진행중",$Z252=0,$AD252&lt;&gt;"",$AJ$1-$AD252&gt;=10),"미청구(청구시작안됨)",IF(AND($W252="진행중",$Z252&gt;0,$AJ$1-$AE252&gt;=10),"미청구(청구지연)","정상"))))</f>
        <v>미청구(청구지연)</v>
      </c>
      <c r="AH252" s="114" t="s">
        <v>4565</v>
      </c>
      <c r="AI252" s="85"/>
      <c r="AJ252" s="85"/>
    </row>
    <row r="253" ht="15.75" customHeight="1">
      <c r="A253" s="10" t="s">
        <v>4567</v>
      </c>
      <c r="B253" s="64" t="s">
        <v>4568</v>
      </c>
      <c r="C253" s="64" t="s">
        <v>66</v>
      </c>
      <c r="D253" s="64">
        <v>1.9541129E7</v>
      </c>
      <c r="E253" s="64" t="s">
        <v>4569</v>
      </c>
      <c r="F253" s="64" t="s">
        <v>1976</v>
      </c>
      <c r="G253" s="64" t="s">
        <v>4570</v>
      </c>
      <c r="H253" s="83" t="s">
        <v>4571</v>
      </c>
      <c r="I253" s="20" t="s">
        <v>109</v>
      </c>
      <c r="J253" s="83" t="s">
        <v>4443</v>
      </c>
      <c r="K253" s="85"/>
      <c r="L253" s="85"/>
      <c r="M253" s="85"/>
      <c r="N253" s="85"/>
      <c r="O253" s="85"/>
      <c r="P253" s="85"/>
      <c r="Q253" s="83" t="s">
        <v>77</v>
      </c>
      <c r="R253" s="85"/>
      <c r="S253" s="85"/>
      <c r="T253" s="85"/>
      <c r="U253" s="83" t="s">
        <v>322</v>
      </c>
      <c r="V253" s="65"/>
      <c r="W253" s="64" t="s">
        <v>178</v>
      </c>
      <c r="X253" s="18">
        <f>COUNTIF('간병인배정'!$B:$B,$A253)</f>
        <v>0</v>
      </c>
      <c r="Y253" s="18">
        <f>SUMIF('간병비지급'!$B:$B,$A253,'간병비지급'!$I:$I)</f>
        <v>0</v>
      </c>
      <c r="Z253" s="18">
        <f>COUNTIF('보험청구'!$B:$B,$A253)</f>
        <v>0</v>
      </c>
      <c r="AA253" s="18">
        <f>COUNTIFS('보험청구'!$B:$B,$A253,'보험청구'!$J:$J,"미확인")</f>
        <v>0</v>
      </c>
      <c r="AB253" s="18">
        <f>SUMIF('보험청구'!$B:$B,$A253,'보험청구'!$I:$I)</f>
        <v>0</v>
      </c>
      <c r="AC253" s="18">
        <f>SUMIF('보험청구'!$B:$B,$A253,'보험청구'!$L:$L)</f>
        <v>0</v>
      </c>
      <c r="AD253" s="39"/>
      <c r="AE253" s="85"/>
      <c r="AF253" s="85"/>
      <c r="AG253" s="10" t="str">
        <f t="shared" ref="AG253:AG254" si="11">IF(OR($W253="서비스 취소",$W253="서비스취소",$W253="미해당",$W253="예정",$W253=""),"제외",IF(AND($W253="완료",$Z253=0),"미청구(완료·무청구)",IF(AND($W253="진행중",$Z253=0,$AD253&lt;&gt;"",$AJ$1-$AD253&gt;=10),"미청구(청구시작안됨)",IF(AND($W253="진행중",$Z253&gt;0,$AJ$1-$AE253&gt;=10),"미청구(청구지연)","정상"))))</f>
        <v>제외</v>
      </c>
      <c r="AH253" s="71" t="s">
        <v>4578</v>
      </c>
      <c r="AI253" s="85"/>
      <c r="AJ253" s="85"/>
    </row>
    <row r="254" ht="15.75" customHeight="1">
      <c r="A254" s="10" t="s">
        <v>4579</v>
      </c>
      <c r="B254" s="64" t="s">
        <v>4580</v>
      </c>
      <c r="C254" s="64" t="s">
        <v>212</v>
      </c>
      <c r="D254" s="65"/>
      <c r="E254" s="64" t="s">
        <v>4581</v>
      </c>
      <c r="F254" s="64" t="s">
        <v>168</v>
      </c>
      <c r="G254" s="64" t="s">
        <v>4583</v>
      </c>
      <c r="H254" s="40" t="s">
        <v>4584</v>
      </c>
      <c r="I254" s="20" t="s">
        <v>109</v>
      </c>
      <c r="J254" s="83" t="s">
        <v>4443</v>
      </c>
      <c r="K254" s="85"/>
      <c r="L254" s="85"/>
      <c r="M254" s="85"/>
      <c r="N254" s="85"/>
      <c r="O254" s="85"/>
      <c r="P254" s="85"/>
      <c r="Q254" s="83" t="s">
        <v>77</v>
      </c>
      <c r="R254" s="85"/>
      <c r="S254" s="85"/>
      <c r="T254" s="85"/>
      <c r="U254" s="83" t="s">
        <v>322</v>
      </c>
      <c r="V254" s="65"/>
      <c r="W254" s="64" t="s">
        <v>178</v>
      </c>
      <c r="X254" s="18">
        <f>COUNTIF('간병인배정'!$B:$B,$A254)</f>
        <v>0</v>
      </c>
      <c r="Y254" s="18">
        <f>SUMIF('간병비지급'!$B:$B,$A254,'간병비지급'!$I:$I)</f>
        <v>0</v>
      </c>
      <c r="Z254" s="18">
        <f>COUNTIF('보험청구'!$B:$B,$A254)</f>
        <v>0</v>
      </c>
      <c r="AA254" s="18">
        <f>COUNTIFS('보험청구'!$B:$B,$A254,'보험청구'!$J:$J,"미확인")</f>
        <v>0</v>
      </c>
      <c r="AB254" s="18">
        <f>SUMIF('보험청구'!$B:$B,$A254,'보험청구'!$I:$I)</f>
        <v>0</v>
      </c>
      <c r="AC254" s="18">
        <f>SUMIF('보험청구'!$B:$B,$A254,'보험청구'!$L:$L)</f>
        <v>0</v>
      </c>
      <c r="AD254" s="39"/>
      <c r="AE254" s="85"/>
      <c r="AF254" s="85"/>
      <c r="AG254" s="10" t="str">
        <f t="shared" si="11"/>
        <v>제외</v>
      </c>
      <c r="AH254" s="71" t="s">
        <v>4578</v>
      </c>
      <c r="AI254" s="85"/>
      <c r="AJ254" s="85"/>
    </row>
    <row r="255" ht="15.75" customHeight="1">
      <c r="A255" s="10" t="s">
        <v>3056</v>
      </c>
      <c r="B255" s="64" t="s">
        <v>3057</v>
      </c>
      <c r="C255" s="64" t="s">
        <v>212</v>
      </c>
      <c r="D255" s="64">
        <v>1.9590615E7</v>
      </c>
      <c r="E255" s="64" t="s">
        <v>4594</v>
      </c>
      <c r="F255" s="64" t="s">
        <v>126</v>
      </c>
      <c r="G255" s="64" t="s">
        <v>1804</v>
      </c>
      <c r="H255" s="83" t="s">
        <v>4358</v>
      </c>
      <c r="I255" s="20" t="s">
        <v>106</v>
      </c>
      <c r="J255" s="64" t="s">
        <v>4595</v>
      </c>
      <c r="K255" s="64" t="s">
        <v>3631</v>
      </c>
      <c r="L255" s="64">
        <v>2.609495158E9</v>
      </c>
      <c r="M255" s="64" t="s">
        <v>4596</v>
      </c>
      <c r="N255" s="64" t="s">
        <v>4597</v>
      </c>
      <c r="O255" s="85"/>
      <c r="P255" s="85"/>
      <c r="Q255" s="83" t="s">
        <v>77</v>
      </c>
      <c r="R255" s="90"/>
      <c r="S255" s="20" t="s">
        <v>4598</v>
      </c>
      <c r="T255" s="20" t="s">
        <v>4598</v>
      </c>
      <c r="U255" s="83" t="s">
        <v>322</v>
      </c>
      <c r="V255" s="64">
        <v>3.0</v>
      </c>
      <c r="W255" s="64" t="s">
        <v>56</v>
      </c>
      <c r="X255" s="18">
        <f>COUNTIF('간병인배정'!$B:$B,$A255)</f>
        <v>1</v>
      </c>
      <c r="Y255" s="18">
        <f>SUMIF('간병비지급'!$B:$B,$A255,'간병비지급'!$I:$I)</f>
        <v>420000</v>
      </c>
      <c r="Z255" s="18">
        <f>COUNTIF('보험청구'!$B:$B,$A255)</f>
        <v>0</v>
      </c>
      <c r="AA255" s="18">
        <f>COUNTIFS('보험청구'!$B:$B,$A255,'보험청구'!$J:$J,"미확인")</f>
        <v>0</v>
      </c>
      <c r="AB255" s="18">
        <f>SUMIF('보험청구'!$B:$B,$A255,'보험청구'!$I:$I)</f>
        <v>0</v>
      </c>
      <c r="AC255" s="18">
        <f>SUMIF('보험청구'!$B:$B,$A255,'보험청구'!$L:$L)</f>
        <v>0</v>
      </c>
      <c r="AD255" s="20" t="s">
        <v>4598</v>
      </c>
      <c r="AE255" s="20" t="s">
        <v>4602</v>
      </c>
      <c r="AF255" s="85"/>
      <c r="AG255" s="20" t="s">
        <v>4603</v>
      </c>
      <c r="AH255" s="71"/>
      <c r="AI255" s="85"/>
      <c r="AJ255" s="85"/>
    </row>
    <row r="256" ht="15.75" customHeight="1">
      <c r="A256" s="10" t="s">
        <v>3029</v>
      </c>
      <c r="B256" s="64" t="s">
        <v>3030</v>
      </c>
      <c r="C256" s="64" t="s">
        <v>212</v>
      </c>
      <c r="D256" s="64">
        <v>1.9750601E7</v>
      </c>
      <c r="E256" s="64" t="s">
        <v>4604</v>
      </c>
      <c r="F256" s="64" t="s">
        <v>4441</v>
      </c>
      <c r="G256" s="64" t="s">
        <v>516</v>
      </c>
      <c r="H256" s="40" t="s">
        <v>4605</v>
      </c>
      <c r="I256" s="20" t="s">
        <v>109</v>
      </c>
      <c r="J256" s="110">
        <v>5.262296089E13</v>
      </c>
      <c r="K256" s="110">
        <v>2.0260902E7</v>
      </c>
      <c r="L256" s="85"/>
      <c r="M256" s="85"/>
      <c r="N256" s="85"/>
      <c r="O256" s="85"/>
      <c r="P256" s="85"/>
      <c r="Q256" s="83" t="s">
        <v>77</v>
      </c>
      <c r="R256" s="90"/>
      <c r="S256" s="20" t="s">
        <v>4606</v>
      </c>
      <c r="T256" s="20" t="s">
        <v>4607</v>
      </c>
      <c r="U256" s="83" t="s">
        <v>322</v>
      </c>
      <c r="V256" s="64" t="s">
        <v>3585</v>
      </c>
      <c r="W256" s="64" t="s">
        <v>65</v>
      </c>
      <c r="X256" s="18">
        <f>COUNTIF('간병인배정'!$B:$B,$A256)</f>
        <v>2</v>
      </c>
      <c r="Y256" s="18">
        <f>SUMIF('간병비지급'!$B:$B,$A256,'간병비지급'!$I:$I)</f>
        <v>1490000</v>
      </c>
      <c r="Z256" s="18">
        <f>COUNTIF('보험청구'!$B:$B,$A256)</f>
        <v>0</v>
      </c>
      <c r="AA256" s="18">
        <f>COUNTIFS('보험청구'!$B:$B,$A256,'보험청구'!$J:$J,"미확인")</f>
        <v>0</v>
      </c>
      <c r="AB256" s="18">
        <f>SUMIF('보험청구'!$B:$B,$A256,'보험청구'!$I:$I)</f>
        <v>0</v>
      </c>
      <c r="AC256" s="18">
        <f>SUMIF('보험청구'!$B:$B,$A256,'보험청구'!$L:$L)</f>
        <v>0</v>
      </c>
      <c r="AD256" s="115">
        <v>46275.0</v>
      </c>
      <c r="AE256" s="85"/>
      <c r="AF256" s="85"/>
      <c r="AG256" s="10" t="str">
        <f t="shared" ref="AG256:AG258" si="12">IF(OR($W256="서비스 취소",$W256="서비스취소",$W256="미해당",$W256="예정",$W256=""),"제외",IF(AND($W256="완료",$Z256=0),"미청구(완료·무청구)",IF(AND($W256="진행중",$Z256=0,$AD256&lt;&gt;"",$AJ$1-$AD256&gt;=10),"미청구(청구시작안됨)",IF(AND($W256="진행중",$Z256&gt;0,$AJ$1-$AE256&gt;=10),"미청구(청구지연)","정상"))))</f>
        <v>정상</v>
      </c>
      <c r="AH256" s="91"/>
      <c r="AI256" s="85"/>
      <c r="AJ256" s="85"/>
    </row>
    <row r="257" ht="15.75" customHeight="1">
      <c r="A257" s="10" t="s">
        <v>4614</v>
      </c>
      <c r="B257" s="64" t="s">
        <v>4615</v>
      </c>
      <c r="C257" s="64" t="s">
        <v>212</v>
      </c>
      <c r="D257" s="64">
        <v>1.9540702E7</v>
      </c>
      <c r="E257" s="64" t="s">
        <v>4616</v>
      </c>
      <c r="F257" s="64" t="s">
        <v>126</v>
      </c>
      <c r="G257" s="64" t="s">
        <v>1804</v>
      </c>
      <c r="H257" s="83" t="s">
        <v>4358</v>
      </c>
      <c r="I257" s="20" t="s">
        <v>106</v>
      </c>
      <c r="J257" s="83" t="s">
        <v>4443</v>
      </c>
      <c r="K257" s="85"/>
      <c r="L257" s="85"/>
      <c r="M257" s="85"/>
      <c r="N257" s="85"/>
      <c r="O257" s="85"/>
      <c r="P257" s="85"/>
      <c r="Q257" s="83" t="s">
        <v>77</v>
      </c>
      <c r="R257" s="85"/>
      <c r="S257" s="85"/>
      <c r="T257" s="85"/>
      <c r="U257" s="83"/>
      <c r="V257" s="65"/>
      <c r="W257" s="64" t="s">
        <v>178</v>
      </c>
      <c r="X257" s="18">
        <f>COUNTIF('간병인배정'!$B:$B,$A257)</f>
        <v>0</v>
      </c>
      <c r="Y257" s="18">
        <f>SUMIF('간병비지급'!$B:$B,$A257,'간병비지급'!$I:$I)</f>
        <v>0</v>
      </c>
      <c r="Z257" s="18">
        <f>COUNTIF('보험청구'!$B:$B,$A257)</f>
        <v>0</v>
      </c>
      <c r="AA257" s="18">
        <f>COUNTIFS('보험청구'!$B:$B,$A257,'보험청구'!$J:$J,"미확인")</f>
        <v>0</v>
      </c>
      <c r="AB257" s="18">
        <f>SUMIF('보험청구'!$B:$B,$A257,'보험청구'!$I:$I)</f>
        <v>0</v>
      </c>
      <c r="AC257" s="18">
        <f>SUMIF('보험청구'!$B:$B,$A257,'보험청구'!$L:$L)</f>
        <v>0</v>
      </c>
      <c r="AD257" s="39"/>
      <c r="AE257" s="85"/>
      <c r="AF257" s="85"/>
      <c r="AG257" s="10" t="str">
        <f t="shared" si="12"/>
        <v>제외</v>
      </c>
      <c r="AH257" s="71" t="s">
        <v>4578</v>
      </c>
      <c r="AI257" s="85"/>
      <c r="AJ257" s="85"/>
    </row>
    <row r="258" ht="15.75" customHeight="1">
      <c r="A258" s="10" t="s">
        <v>3045</v>
      </c>
      <c r="B258" s="64" t="s">
        <v>3046</v>
      </c>
      <c r="C258" s="64" t="s">
        <v>66</v>
      </c>
      <c r="D258" s="110">
        <v>1.9650715E7</v>
      </c>
      <c r="E258" s="110" t="s">
        <v>4622</v>
      </c>
      <c r="F258" s="64" t="s">
        <v>4623</v>
      </c>
      <c r="G258" s="64" t="s">
        <v>4624</v>
      </c>
      <c r="H258" s="83" t="s">
        <v>4625</v>
      </c>
      <c r="I258" s="20" t="s">
        <v>109</v>
      </c>
      <c r="J258" s="110">
        <v>5.262297435E13</v>
      </c>
      <c r="K258" s="110">
        <v>2.0260902E7</v>
      </c>
      <c r="L258" s="85"/>
      <c r="M258" s="85"/>
      <c r="N258" s="85"/>
      <c r="O258" s="85"/>
      <c r="P258" s="85"/>
      <c r="Q258" s="83" t="s">
        <v>77</v>
      </c>
      <c r="R258" s="90"/>
      <c r="S258" s="20" t="s">
        <v>4626</v>
      </c>
      <c r="T258" s="20" t="s">
        <v>4607</v>
      </c>
      <c r="U258" s="83" t="s">
        <v>322</v>
      </c>
      <c r="V258" s="64" t="s">
        <v>4308</v>
      </c>
      <c r="W258" s="64" t="s">
        <v>65</v>
      </c>
      <c r="X258" s="18">
        <f>COUNTIF('간병인배정'!$B:$B,$A258)</f>
        <v>1</v>
      </c>
      <c r="Y258" s="18">
        <f>SUMIF('간병비지급'!$B:$B,$A258,'간병비지급'!$I:$I)</f>
        <v>700000</v>
      </c>
      <c r="Z258" s="18">
        <f>COUNTIF('보험청구'!$B:$B,$A258)</f>
        <v>1</v>
      </c>
      <c r="AA258" s="18">
        <f>COUNTIFS('보험청구'!$B:$B,$A258,'보험청구'!$J:$J,"미확인")</f>
        <v>0</v>
      </c>
      <c r="AB258" s="18">
        <f>SUMIF('보험청구'!$B:$B,$A258,'보험청구'!$I:$I)</f>
        <v>0</v>
      </c>
      <c r="AC258" s="18">
        <f>SUMIF('보험청구'!$B:$B,$A258,'보험청구'!$L:$L)</f>
        <v>735000</v>
      </c>
      <c r="AD258" s="115">
        <v>46276.0</v>
      </c>
      <c r="AE258" s="115">
        <v>46280.0</v>
      </c>
      <c r="AF258" s="85"/>
      <c r="AG258" s="10" t="str">
        <f t="shared" si="12"/>
        <v>정상</v>
      </c>
      <c r="AH258" s="91"/>
      <c r="AI258" s="85"/>
      <c r="AJ258" s="85"/>
    </row>
    <row r="259" ht="15.75" customHeight="1">
      <c r="A259" s="10" t="s">
        <v>3063</v>
      </c>
      <c r="B259" s="64" t="s">
        <v>3064</v>
      </c>
      <c r="C259" s="64" t="s">
        <v>66</v>
      </c>
      <c r="D259" s="64">
        <v>1.9780308E7</v>
      </c>
      <c r="E259" s="64" t="s">
        <v>4630</v>
      </c>
      <c r="F259" s="64" t="s">
        <v>4631</v>
      </c>
      <c r="G259" s="64" t="s">
        <v>4632</v>
      </c>
      <c r="H259" s="83" t="s">
        <v>4633</v>
      </c>
      <c r="I259" s="20" t="s">
        <v>106</v>
      </c>
      <c r="J259" s="64" t="s">
        <v>4634</v>
      </c>
      <c r="K259" s="97">
        <v>44285.0</v>
      </c>
      <c r="L259" s="83">
        <v>2.609621603E9</v>
      </c>
      <c r="M259" s="64" t="s">
        <v>4032</v>
      </c>
      <c r="N259" s="64" t="s">
        <v>4033</v>
      </c>
      <c r="O259" s="85"/>
      <c r="P259" s="85"/>
      <c r="Q259" s="83" t="s">
        <v>77</v>
      </c>
      <c r="R259" s="90"/>
      <c r="S259" s="20" t="s">
        <v>4635</v>
      </c>
      <c r="T259" s="20" t="s">
        <v>4636</v>
      </c>
      <c r="U259" s="83" t="s">
        <v>322</v>
      </c>
      <c r="V259" s="64">
        <v>3.0</v>
      </c>
      <c r="W259" s="64" t="s">
        <v>56</v>
      </c>
      <c r="X259" s="18">
        <f>COUNTIF('간병인배정'!$B:$B,$A259)</f>
        <v>1</v>
      </c>
      <c r="Y259" s="18">
        <f>SUMIF('간병비지급'!$B:$B,$A259,'간병비지급'!$I:$I)</f>
        <v>420000</v>
      </c>
      <c r="Z259" s="18">
        <f>COUNTIF('보험청구'!$B:$B,$A259)</f>
        <v>1</v>
      </c>
      <c r="AA259" s="18">
        <f>COUNTIFS('보험청구'!$B:$B,$A259,'보험청구'!$J:$J,"미확인")</f>
        <v>0</v>
      </c>
      <c r="AB259" s="18">
        <f>SUMIF('보험청구'!$B:$B,$A259,'보험청구'!$I:$I)</f>
        <v>0</v>
      </c>
      <c r="AC259" s="18">
        <f>SUMIF('보험청구'!$B:$B,$A259,'보험청구'!$L:$L)</f>
        <v>426000</v>
      </c>
      <c r="AD259" s="115">
        <v>46276.0</v>
      </c>
      <c r="AE259" s="115">
        <v>46280.0</v>
      </c>
      <c r="AF259" s="64">
        <v>2.0</v>
      </c>
      <c r="AG259" s="20" t="s">
        <v>4503</v>
      </c>
      <c r="AH259" s="91"/>
      <c r="AI259" s="85"/>
      <c r="AJ259" s="85"/>
    </row>
    <row r="260" ht="15.75" customHeight="1">
      <c r="A260" s="10" t="s">
        <v>3081</v>
      </c>
      <c r="B260" s="64" t="s">
        <v>3082</v>
      </c>
      <c r="C260" s="64" t="s">
        <v>66</v>
      </c>
      <c r="D260" s="64">
        <v>1.9580305E7</v>
      </c>
      <c r="E260" s="64" t="s">
        <v>4641</v>
      </c>
      <c r="F260" s="64" t="s">
        <v>126</v>
      </c>
      <c r="G260" s="64" t="s">
        <v>4642</v>
      </c>
      <c r="H260" s="83" t="s">
        <v>4643</v>
      </c>
      <c r="I260" s="20" t="s">
        <v>106</v>
      </c>
      <c r="J260" s="64" t="s">
        <v>4644</v>
      </c>
      <c r="K260" s="97">
        <v>44643.0</v>
      </c>
      <c r="L260" s="83">
        <v>2.60962183E9</v>
      </c>
      <c r="M260" s="64" t="s">
        <v>4645</v>
      </c>
      <c r="N260" s="64" t="s">
        <v>4646</v>
      </c>
      <c r="O260" s="85"/>
      <c r="P260" s="85"/>
      <c r="Q260" s="83" t="s">
        <v>77</v>
      </c>
      <c r="R260" s="90"/>
      <c r="S260" s="20" t="s">
        <v>4647</v>
      </c>
      <c r="T260" s="20" t="s">
        <v>4648</v>
      </c>
      <c r="U260" s="83" t="s">
        <v>322</v>
      </c>
      <c r="V260" s="64" t="s">
        <v>4649</v>
      </c>
      <c r="W260" s="64" t="s">
        <v>72</v>
      </c>
      <c r="X260" s="18">
        <f>COUNTIF('간병인배정'!$B:$B,$A260)</f>
        <v>1</v>
      </c>
      <c r="Y260" s="18">
        <f>SUMIF('간병비지급'!$B:$B,$A260,'간병비지급'!$I:$I)</f>
        <v>0</v>
      </c>
      <c r="Z260" s="18">
        <f>COUNTIF('보험청구'!$B:$B,$A260)</f>
        <v>0</v>
      </c>
      <c r="AA260" s="18">
        <f>COUNTIFS('보험청구'!$B:$B,$A260,'보험청구'!$J:$J,"미확인")</f>
        <v>0</v>
      </c>
      <c r="AB260" s="18">
        <f>SUMIF('보험청구'!$B:$B,$A260,'보험청구'!$I:$I)</f>
        <v>0</v>
      </c>
      <c r="AC260" s="18">
        <f>SUMIF('보험청구'!$B:$B,$A260,'보험청구'!$L:$L)</f>
        <v>0</v>
      </c>
      <c r="AD260" s="115">
        <v>46293.0</v>
      </c>
      <c r="AE260" s="85"/>
      <c r="AF260" s="85"/>
      <c r="AG260" s="10" t="str">
        <f t="shared" ref="AG260:AG272" si="13">IF(OR($W260="서비스 취소",$W260="서비스취소",$W260="미해당",$W260="예정",$W260=""),"제외",IF(AND($W260="완료",$Z260=0),"미청구(완료·무청구)",IF(AND($W260="진행중",$Z260=0,$AD260&lt;&gt;"",$AJ$1-$AD260&gt;=10),"미청구(청구시작안됨)",IF(AND($W260="진행중",$Z260&gt;0,$AJ$1-$AE260&gt;=10),"미청구(청구지연)","정상"))))</f>
        <v>제외</v>
      </c>
      <c r="AH260" s="91"/>
      <c r="AI260" s="85"/>
      <c r="AJ260" s="85"/>
    </row>
    <row r="261" ht="15.75" customHeight="1">
      <c r="A261" s="10" t="s">
        <v>3070</v>
      </c>
      <c r="B261" s="64" t="s">
        <v>3071</v>
      </c>
      <c r="C261" s="64" t="s">
        <v>66</v>
      </c>
      <c r="D261" s="64">
        <v>1.960113E7</v>
      </c>
      <c r="E261" s="64" t="s">
        <v>4652</v>
      </c>
      <c r="F261" s="64" t="s">
        <v>4653</v>
      </c>
      <c r="G261" s="64" t="s">
        <v>2961</v>
      </c>
      <c r="H261" s="83" t="s">
        <v>3334</v>
      </c>
      <c r="I261" s="20" t="s">
        <v>109</v>
      </c>
      <c r="J261" s="110">
        <v>5.262301268E13</v>
      </c>
      <c r="K261" s="110">
        <v>2.0260902E7</v>
      </c>
      <c r="L261" s="85"/>
      <c r="M261" s="85"/>
      <c r="N261" s="85"/>
      <c r="O261" s="85"/>
      <c r="P261" s="85"/>
      <c r="Q261" s="83" t="s">
        <v>77</v>
      </c>
      <c r="R261" s="90"/>
      <c r="S261" s="20" t="s">
        <v>3074</v>
      </c>
      <c r="T261" s="20" t="s">
        <v>3075</v>
      </c>
      <c r="U261" s="83" t="s">
        <v>322</v>
      </c>
      <c r="V261" s="64">
        <v>7.0</v>
      </c>
      <c r="W261" s="64" t="s">
        <v>65</v>
      </c>
      <c r="X261" s="18">
        <f>COUNTIF('간병인배정'!$B:$B,$A261)</f>
        <v>2</v>
      </c>
      <c r="Y261" s="18">
        <f>SUMIF('간병비지급'!$B:$B,$A261,'간병비지급'!$I:$I)</f>
        <v>840000</v>
      </c>
      <c r="Z261" s="18">
        <f>COUNTIF('보험청구'!$B:$B,$A261)</f>
        <v>1</v>
      </c>
      <c r="AA261" s="18">
        <f>COUNTIFS('보험청구'!$B:$B,$A261,'보험청구'!$J:$J,"미확인")</f>
        <v>0</v>
      </c>
      <c r="AB261" s="18">
        <f>SUMIF('보험청구'!$B:$B,$A261,'보험청구'!$I:$I)</f>
        <v>0</v>
      </c>
      <c r="AC261" s="18">
        <f>SUMIF('보험청구'!$B:$B,$A261,'보험청구'!$L:$L)</f>
        <v>294000</v>
      </c>
      <c r="AD261" s="115">
        <v>46276.0</v>
      </c>
      <c r="AE261" s="115">
        <v>46280.0</v>
      </c>
      <c r="AF261" s="85"/>
      <c r="AG261" s="10" t="str">
        <f t="shared" si="13"/>
        <v>정상</v>
      </c>
      <c r="AH261" s="91"/>
      <c r="AI261" s="85"/>
      <c r="AJ261" s="85"/>
    </row>
    <row r="262" ht="15.75" customHeight="1">
      <c r="A262" s="10" t="s">
        <v>4659</v>
      </c>
      <c r="B262" s="64" t="s">
        <v>4660</v>
      </c>
      <c r="C262" s="64" t="s">
        <v>212</v>
      </c>
      <c r="D262" s="64">
        <v>1.961022E7</v>
      </c>
      <c r="E262" s="64" t="s">
        <v>4661</v>
      </c>
      <c r="F262" s="64" t="s">
        <v>168</v>
      </c>
      <c r="G262" s="64" t="s">
        <v>3641</v>
      </c>
      <c r="H262" s="83" t="s">
        <v>4662</v>
      </c>
      <c r="I262" s="20" t="s">
        <v>109</v>
      </c>
      <c r="J262" s="110">
        <v>5.262174095E13</v>
      </c>
      <c r="K262" s="110">
        <v>2.0260821E7</v>
      </c>
      <c r="L262" s="83" t="s">
        <v>4663</v>
      </c>
      <c r="M262" s="85"/>
      <c r="N262" s="85"/>
      <c r="O262" s="85"/>
      <c r="P262" s="85"/>
      <c r="Q262" s="83" t="s">
        <v>77</v>
      </c>
      <c r="R262" s="85"/>
      <c r="S262" s="85"/>
      <c r="T262" s="85"/>
      <c r="U262" s="83" t="s">
        <v>322</v>
      </c>
      <c r="V262" s="65"/>
      <c r="W262" s="64" t="s">
        <v>178</v>
      </c>
      <c r="X262" s="18">
        <f>COUNTIF('간병인배정'!$B:$B,$A262)</f>
        <v>0</v>
      </c>
      <c r="Y262" s="18">
        <f>SUMIF('간병비지급'!$B:$B,$A262,'간병비지급'!$I:$I)</f>
        <v>0</v>
      </c>
      <c r="Z262" s="18">
        <f>COUNTIF('보험청구'!$B:$B,$A262)</f>
        <v>0</v>
      </c>
      <c r="AA262" s="18">
        <f>COUNTIFS('보험청구'!$B:$B,$A262,'보험청구'!$J:$J,"미확인")</f>
        <v>0</v>
      </c>
      <c r="AB262" s="18">
        <f>SUMIF('보험청구'!$B:$B,$A262,'보험청구'!$I:$I)</f>
        <v>0</v>
      </c>
      <c r="AC262" s="18">
        <f>SUMIF('보험청구'!$B:$B,$A262,'보험청구'!$L:$L)</f>
        <v>0</v>
      </c>
      <c r="AD262" s="85"/>
      <c r="AE262" s="85"/>
      <c r="AF262" s="85"/>
      <c r="AG262" s="10" t="str">
        <f t="shared" si="13"/>
        <v>제외</v>
      </c>
      <c r="AH262" s="71" t="s">
        <v>4672</v>
      </c>
      <c r="AI262" s="85"/>
      <c r="AJ262" s="85"/>
    </row>
    <row r="263" ht="15.75" customHeight="1">
      <c r="A263" s="10" t="s">
        <v>3103</v>
      </c>
      <c r="B263" s="64" t="s">
        <v>3104</v>
      </c>
      <c r="C263" s="64" t="s">
        <v>66</v>
      </c>
      <c r="D263" s="64">
        <v>1.9640225E7</v>
      </c>
      <c r="E263" s="64" t="s">
        <v>4674</v>
      </c>
      <c r="F263" s="64" t="s">
        <v>4538</v>
      </c>
      <c r="G263" s="64" t="s">
        <v>1589</v>
      </c>
      <c r="H263" s="83" t="s">
        <v>4675</v>
      </c>
      <c r="I263" s="20" t="s">
        <v>109</v>
      </c>
      <c r="J263" s="110">
        <v>5.262189188E13</v>
      </c>
      <c r="K263" s="110">
        <v>2.0260821E7</v>
      </c>
      <c r="L263" s="85"/>
      <c r="M263" s="85"/>
      <c r="N263" s="85"/>
      <c r="O263" s="85"/>
      <c r="P263" s="85"/>
      <c r="Q263" s="83" t="s">
        <v>77</v>
      </c>
      <c r="R263" s="90"/>
      <c r="S263" s="20" t="s">
        <v>4677</v>
      </c>
      <c r="T263" s="85"/>
      <c r="U263" s="83" t="s">
        <v>322</v>
      </c>
      <c r="V263" s="65"/>
      <c r="W263" s="64" t="s">
        <v>65</v>
      </c>
      <c r="X263" s="18">
        <f>COUNTIF('간병인배정'!$B:$B,$A263)</f>
        <v>1</v>
      </c>
      <c r="Y263" s="18">
        <f>SUMIF('간병비지급'!$B:$B,$A263,'간병비지급'!$I:$I)</f>
        <v>520000</v>
      </c>
      <c r="Z263" s="18">
        <f>COUNTIF('보험청구'!$B:$B,$A263)</f>
        <v>0</v>
      </c>
      <c r="AA263" s="18">
        <f>COUNTIFS('보험청구'!$B:$B,$A263,'보험청구'!$J:$J,"미확인")</f>
        <v>0</v>
      </c>
      <c r="AB263" s="18">
        <f>SUMIF('보험청구'!$B:$B,$A263,'보험청구'!$I:$I)</f>
        <v>0</v>
      </c>
      <c r="AC263" s="18">
        <f>SUMIF('보험청구'!$B:$B,$A263,'보험청구'!$L:$L)</f>
        <v>0</v>
      </c>
      <c r="AD263" s="115">
        <v>46279.0</v>
      </c>
      <c r="AE263" s="97">
        <v>46283.0</v>
      </c>
      <c r="AF263" s="85"/>
      <c r="AG263" s="10" t="str">
        <f t="shared" si="13"/>
        <v>정상</v>
      </c>
      <c r="AH263" s="71"/>
      <c r="AI263" s="85"/>
      <c r="AJ263" s="85"/>
    </row>
    <row r="264" ht="15.75" customHeight="1">
      <c r="A264" s="10" t="s">
        <v>4687</v>
      </c>
      <c r="B264" s="56" t="s">
        <v>4688</v>
      </c>
      <c r="C264" s="64" t="s">
        <v>212</v>
      </c>
      <c r="D264" s="64">
        <v>1.9641211E7</v>
      </c>
      <c r="E264" s="64" t="s">
        <v>3113</v>
      </c>
      <c r="F264" s="64" t="s">
        <v>1104</v>
      </c>
      <c r="G264" s="64" t="s">
        <v>4689</v>
      </c>
      <c r="H264" s="40" t="s">
        <v>4690</v>
      </c>
      <c r="I264" s="20" t="s">
        <v>109</v>
      </c>
      <c r="J264" s="83" t="s">
        <v>4443</v>
      </c>
      <c r="K264" s="85"/>
      <c r="L264" s="85"/>
      <c r="M264" s="85"/>
      <c r="N264" s="85"/>
      <c r="O264" s="85"/>
      <c r="P264" s="85"/>
      <c r="Q264" s="83" t="s">
        <v>77</v>
      </c>
      <c r="R264" s="90"/>
      <c r="S264" s="20" t="s">
        <v>4677</v>
      </c>
      <c r="T264" s="85"/>
      <c r="U264" s="83" t="s">
        <v>322</v>
      </c>
      <c r="V264" s="65"/>
      <c r="W264" s="64" t="s">
        <v>178</v>
      </c>
      <c r="X264" s="18">
        <f>COUNTIF('간병인배정'!$B:$B,$A264)</f>
        <v>0</v>
      </c>
      <c r="Y264" s="18">
        <f>SUMIF('간병비지급'!$B:$B,$A264,'간병비지급'!$I:$I)</f>
        <v>0</v>
      </c>
      <c r="Z264" s="18">
        <f>COUNTIF('보험청구'!$B:$B,$A264)</f>
        <v>0</v>
      </c>
      <c r="AA264" s="18">
        <f>COUNTIFS('보험청구'!$B:$B,$A264,'보험청구'!$J:$J,"미확인")</f>
        <v>0</v>
      </c>
      <c r="AB264" s="18">
        <f>SUMIF('보험청구'!$B:$B,$A264,'보험청구'!$I:$I)</f>
        <v>0</v>
      </c>
      <c r="AC264" s="18">
        <f>SUMIF('보험청구'!$B:$B,$A264,'보험청구'!$L:$L)</f>
        <v>0</v>
      </c>
      <c r="AD264" s="115"/>
      <c r="AE264" s="85"/>
      <c r="AF264" s="85"/>
      <c r="AG264" s="10" t="str">
        <f t="shared" si="13"/>
        <v>제외</v>
      </c>
      <c r="AH264" s="91"/>
      <c r="AI264" s="85"/>
      <c r="AJ264" s="85"/>
    </row>
    <row r="265" ht="15.75" customHeight="1">
      <c r="A265" s="10" t="s">
        <v>3111</v>
      </c>
      <c r="B265" s="64" t="s">
        <v>3112</v>
      </c>
      <c r="C265" s="64" t="s">
        <v>212</v>
      </c>
      <c r="D265" s="110">
        <v>1.9620311E7</v>
      </c>
      <c r="E265" s="64" t="s">
        <v>3113</v>
      </c>
      <c r="F265" s="64" t="s">
        <v>4623</v>
      </c>
      <c r="G265" s="64" t="s">
        <v>1534</v>
      </c>
      <c r="H265" s="40" t="s">
        <v>4699</v>
      </c>
      <c r="I265" s="20" t="s">
        <v>109</v>
      </c>
      <c r="J265" s="110">
        <v>5.262206392E13</v>
      </c>
      <c r="K265" s="110">
        <v>2.0260825E7</v>
      </c>
      <c r="L265" s="83" t="s">
        <v>4663</v>
      </c>
      <c r="M265" s="85"/>
      <c r="N265" s="85"/>
      <c r="O265" s="85"/>
      <c r="P265" s="85"/>
      <c r="Q265" s="83" t="s">
        <v>77</v>
      </c>
      <c r="R265" s="90"/>
      <c r="S265" s="20" t="s">
        <v>4701</v>
      </c>
      <c r="T265" s="20" t="s">
        <v>4701</v>
      </c>
      <c r="U265" s="83" t="s">
        <v>322</v>
      </c>
      <c r="V265" s="64">
        <v>7.0</v>
      </c>
      <c r="W265" s="64" t="s">
        <v>65</v>
      </c>
      <c r="X265" s="18">
        <f>COUNTIF('간병인배정'!$B:$B,$A265)</f>
        <v>1</v>
      </c>
      <c r="Y265" s="18">
        <f>SUMIF('간병비지급'!$B:$B,$A265,'간병비지급'!$I:$I)</f>
        <v>0</v>
      </c>
      <c r="Z265" s="18">
        <f>COUNTIF('보험청구'!$B:$B,$A265)</f>
        <v>0</v>
      </c>
      <c r="AA265" s="18">
        <f>COUNTIFS('보험청구'!$B:$B,$A265,'보험청구'!$J:$J,"미확인")</f>
        <v>0</v>
      </c>
      <c r="AB265" s="18">
        <f>SUMIF('보험청구'!$B:$B,$A265,'보험청구'!$I:$I)</f>
        <v>0</v>
      </c>
      <c r="AC265" s="18">
        <f>SUMIF('보험청구'!$B:$B,$A265,'보험청구'!$L:$L)</f>
        <v>0</v>
      </c>
      <c r="AD265" s="115">
        <v>46280.0</v>
      </c>
      <c r="AE265" s="85"/>
      <c r="AF265" s="85"/>
      <c r="AG265" s="10" t="str">
        <f t="shared" si="13"/>
        <v>정상</v>
      </c>
      <c r="AH265" s="71" t="s">
        <v>4706</v>
      </c>
      <c r="AI265" s="85"/>
      <c r="AJ265" s="85"/>
    </row>
    <row r="266" ht="15.75" customHeight="1">
      <c r="A266" s="10" t="s">
        <v>3118</v>
      </c>
      <c r="B266" s="13" t="s">
        <v>64</v>
      </c>
      <c r="C266" s="64" t="s">
        <v>66</v>
      </c>
      <c r="D266" s="64">
        <v>1.966123E7</v>
      </c>
      <c r="E266" s="64" t="s">
        <v>68</v>
      </c>
      <c r="F266" s="64" t="s">
        <v>69</v>
      </c>
      <c r="G266" s="64" t="s">
        <v>4707</v>
      </c>
      <c r="H266" s="83" t="s">
        <v>4708</v>
      </c>
      <c r="I266" s="20" t="s">
        <v>73</v>
      </c>
      <c r="J266" s="10" t="s">
        <v>74</v>
      </c>
      <c r="K266" s="10" t="s">
        <v>75</v>
      </c>
      <c r="L266" s="10">
        <v>2.604303152E9</v>
      </c>
      <c r="M266" s="10" t="s">
        <v>1352</v>
      </c>
      <c r="N266" s="10" t="s">
        <v>1353</v>
      </c>
      <c r="O266" s="85"/>
      <c r="P266" s="85"/>
      <c r="Q266" s="83" t="s">
        <v>77</v>
      </c>
      <c r="R266" s="90"/>
      <c r="S266" s="20" t="s">
        <v>4709</v>
      </c>
      <c r="T266" s="85"/>
      <c r="U266" s="83" t="s">
        <v>80</v>
      </c>
      <c r="V266" s="64">
        <v>2.0</v>
      </c>
      <c r="W266" s="64" t="s">
        <v>72</v>
      </c>
      <c r="X266" s="18">
        <f>COUNTIF('간병인배정'!$B:$B,$A266)</f>
        <v>1</v>
      </c>
      <c r="Y266" s="18">
        <f>SUMIF('간병비지급'!$B:$B,$A266,'간병비지급'!$I:$I)</f>
        <v>0</v>
      </c>
      <c r="Z266" s="18">
        <f>COUNTIF('보험청구'!$B:$B,$A266)</f>
        <v>0</v>
      </c>
      <c r="AA266" s="18">
        <f>COUNTIFS('보험청구'!$B:$B,$A266,'보험청구'!$J:$J,"미확인")</f>
        <v>0</v>
      </c>
      <c r="AB266" s="18">
        <f>SUMIF('보험청구'!$B:$B,$A266,'보험청구'!$I:$I)</f>
        <v>0</v>
      </c>
      <c r="AC266" s="18">
        <f>SUMIF('보험청구'!$B:$B,$A266,'보험청구'!$L:$L)</f>
        <v>0</v>
      </c>
      <c r="AD266" s="97">
        <v>46283.0</v>
      </c>
      <c r="AE266" s="85"/>
      <c r="AF266" s="85"/>
      <c r="AG266" s="10" t="str">
        <f t="shared" si="13"/>
        <v>제외</v>
      </c>
      <c r="AH266" s="71" t="s">
        <v>4715</v>
      </c>
      <c r="AI266" s="85"/>
      <c r="AJ266" s="85"/>
    </row>
    <row r="267" ht="15.75" customHeight="1">
      <c r="A267" s="10" t="s">
        <v>3123</v>
      </c>
      <c r="B267" s="64" t="s">
        <v>898</v>
      </c>
      <c r="C267" s="64" t="s">
        <v>66</v>
      </c>
      <c r="D267" s="64">
        <v>1.9400707E7</v>
      </c>
      <c r="E267" s="64" t="s">
        <v>4716</v>
      </c>
      <c r="F267" s="64" t="s">
        <v>4623</v>
      </c>
      <c r="G267" s="64" t="s">
        <v>4717</v>
      </c>
      <c r="H267" s="83" t="s">
        <v>4718</v>
      </c>
      <c r="I267" s="20" t="s">
        <v>73</v>
      </c>
      <c r="J267" s="20" t="s">
        <v>4719</v>
      </c>
      <c r="K267" s="97">
        <v>45931.0</v>
      </c>
      <c r="L267" s="83">
        <v>2.609664575E9</v>
      </c>
      <c r="M267" s="64" t="s">
        <v>4720</v>
      </c>
      <c r="N267" s="64" t="s">
        <v>4721</v>
      </c>
      <c r="O267" s="85"/>
      <c r="P267" s="85"/>
      <c r="Q267" s="83" t="s">
        <v>77</v>
      </c>
      <c r="R267" s="85"/>
      <c r="S267" s="85"/>
      <c r="T267" s="85"/>
      <c r="U267" s="83" t="s">
        <v>80</v>
      </c>
      <c r="V267" s="64">
        <v>45.0</v>
      </c>
      <c r="W267" s="64" t="s">
        <v>72</v>
      </c>
      <c r="X267" s="18">
        <f>COUNTIF('간병인배정'!$B:$B,$A267)</f>
        <v>1</v>
      </c>
      <c r="Y267" s="18">
        <f>SUMIF('간병비지급'!$B:$B,$A267,'간병비지급'!$I:$I)</f>
        <v>0</v>
      </c>
      <c r="Z267" s="18">
        <f>COUNTIF('보험청구'!$B:$B,$A267)</f>
        <v>0</v>
      </c>
      <c r="AA267" s="18">
        <f>COUNTIFS('보험청구'!$B:$B,$A267,'보험청구'!$J:$J,"미확인")</f>
        <v>0</v>
      </c>
      <c r="AB267" s="18">
        <f>SUMIF('보험청구'!$B:$B,$A267,'보험청구'!$I:$I)</f>
        <v>0</v>
      </c>
      <c r="AC267" s="18">
        <f>SUMIF('보험청구'!$B:$B,$A267,'보험청구'!$L:$L)</f>
        <v>0</v>
      </c>
      <c r="AD267" s="97">
        <v>46282.0</v>
      </c>
      <c r="AE267" s="85"/>
      <c r="AF267" s="85"/>
      <c r="AG267" s="10" t="str">
        <f t="shared" si="13"/>
        <v>제외</v>
      </c>
      <c r="AH267" s="91"/>
      <c r="AI267" s="85"/>
      <c r="AJ267" s="85"/>
    </row>
    <row r="268" ht="15.75" customHeight="1">
      <c r="A268" s="10" t="s">
        <v>3130</v>
      </c>
      <c r="B268" s="64" t="s">
        <v>3131</v>
      </c>
      <c r="C268" s="64" t="s">
        <v>66</v>
      </c>
      <c r="D268" s="64">
        <v>1.942093E7</v>
      </c>
      <c r="E268" s="64" t="s">
        <v>3539</v>
      </c>
      <c r="F268" s="64" t="s">
        <v>4631</v>
      </c>
      <c r="G268" s="64" t="s">
        <v>4722</v>
      </c>
      <c r="H268" s="83" t="s">
        <v>4723</v>
      </c>
      <c r="I268" s="20" t="s">
        <v>106</v>
      </c>
      <c r="J268" s="83" t="s">
        <v>4725</v>
      </c>
      <c r="K268" s="97">
        <v>44586.0</v>
      </c>
      <c r="L268" s="83">
        <v>2.609683222E9</v>
      </c>
      <c r="M268" s="64" t="s">
        <v>369</v>
      </c>
      <c r="N268" s="64" t="s">
        <v>371</v>
      </c>
      <c r="O268" s="85"/>
      <c r="P268" s="85"/>
      <c r="Q268" s="83" t="s">
        <v>77</v>
      </c>
      <c r="R268" s="90"/>
      <c r="S268" s="20" t="s">
        <v>4727</v>
      </c>
      <c r="T268" s="20" t="s">
        <v>4728</v>
      </c>
      <c r="U268" s="83" t="s">
        <v>322</v>
      </c>
      <c r="V268" s="64">
        <v>16.0</v>
      </c>
      <c r="W268" s="64" t="s">
        <v>65</v>
      </c>
      <c r="X268" s="18">
        <f>COUNTIF('간병인배정'!$B:$B,$A268)</f>
        <v>1</v>
      </c>
      <c r="Y268" s="18">
        <f>SUMIF('간병비지급'!$B:$B,$A268,'간병비지급'!$I:$I)</f>
        <v>0</v>
      </c>
      <c r="Z268" s="18">
        <f>COUNTIF('보험청구'!$B:$B,$A268)</f>
        <v>0</v>
      </c>
      <c r="AA268" s="18">
        <f>COUNTIFS('보험청구'!$B:$B,$A268,'보험청구'!$J:$J,"미확인")</f>
        <v>0</v>
      </c>
      <c r="AB268" s="18">
        <f>SUMIF('보험청구'!$B:$B,$A268,'보험청구'!$I:$I)</f>
        <v>0</v>
      </c>
      <c r="AC268" s="18">
        <f>SUMIF('보험청구'!$B:$B,$A268,'보험청구'!$L:$L)</f>
        <v>0</v>
      </c>
      <c r="AD268" s="115">
        <v>46280.0</v>
      </c>
      <c r="AE268" s="97">
        <v>46283.0</v>
      </c>
      <c r="AF268" s="85"/>
      <c r="AG268" s="10" t="str">
        <f t="shared" si="13"/>
        <v>정상</v>
      </c>
      <c r="AH268" s="91"/>
      <c r="AI268" s="85"/>
      <c r="AJ268" s="85"/>
    </row>
    <row r="269" ht="15.75" customHeight="1">
      <c r="A269" s="10" t="s">
        <v>3147</v>
      </c>
      <c r="B269" s="64" t="s">
        <v>3148</v>
      </c>
      <c r="C269" s="64" t="s">
        <v>66</v>
      </c>
      <c r="D269" s="110">
        <v>1.9460714E7</v>
      </c>
      <c r="E269" s="118" t="s">
        <v>4729</v>
      </c>
      <c r="F269" s="64" t="s">
        <v>4289</v>
      </c>
      <c r="G269" s="64" t="s">
        <v>4717</v>
      </c>
      <c r="H269" s="83" t="s">
        <v>4731</v>
      </c>
      <c r="I269" s="20" t="s">
        <v>109</v>
      </c>
      <c r="J269" s="110">
        <v>5.262154659E13</v>
      </c>
      <c r="K269" s="110">
        <v>2.0260819E7</v>
      </c>
      <c r="L269" s="85"/>
      <c r="M269" s="85"/>
      <c r="N269" s="85"/>
      <c r="O269" s="85"/>
      <c r="P269" s="85"/>
      <c r="Q269" s="83" t="s">
        <v>77</v>
      </c>
      <c r="R269" s="90"/>
      <c r="S269" s="20" t="s">
        <v>4733</v>
      </c>
      <c r="T269" s="20" t="s">
        <v>4733</v>
      </c>
      <c r="U269" s="83" t="s">
        <v>322</v>
      </c>
      <c r="V269" s="64">
        <v>14.0</v>
      </c>
      <c r="W269" s="64" t="s">
        <v>65</v>
      </c>
      <c r="X269" s="18">
        <f>COUNTIF('간병인배정'!$B:$B,$A269)</f>
        <v>1</v>
      </c>
      <c r="Y269" s="18">
        <f>SUMIF('간병비지급'!$B:$B,$A269,'간병비지급'!$I:$I)</f>
        <v>0</v>
      </c>
      <c r="Z269" s="18">
        <f>COUNTIF('보험청구'!$B:$B,$A269)</f>
        <v>0</v>
      </c>
      <c r="AA269" s="18">
        <f>COUNTIFS('보험청구'!$B:$B,$A269,'보험청구'!$J:$J,"미확인")</f>
        <v>0</v>
      </c>
      <c r="AB269" s="18">
        <f>SUMIF('보험청구'!$B:$B,$A269,'보험청구'!$I:$I)</f>
        <v>0</v>
      </c>
      <c r="AC269" s="18">
        <f>SUMIF('보험청구'!$B:$B,$A269,'보험청구'!$L:$L)</f>
        <v>0</v>
      </c>
      <c r="AD269" s="115">
        <v>46281.0</v>
      </c>
      <c r="AE269" s="97">
        <v>46283.0</v>
      </c>
      <c r="AF269" s="85"/>
      <c r="AG269" s="10" t="str">
        <f t="shared" si="13"/>
        <v>정상</v>
      </c>
      <c r="AH269" s="91"/>
      <c r="AI269" s="85"/>
      <c r="AJ269" s="85"/>
    </row>
    <row r="270" ht="15.75" customHeight="1">
      <c r="A270" s="10" t="s">
        <v>3155</v>
      </c>
      <c r="B270" s="64" t="s">
        <v>3157</v>
      </c>
      <c r="C270" s="64" t="s">
        <v>66</v>
      </c>
      <c r="D270" s="110">
        <v>1.9561017E7</v>
      </c>
      <c r="E270" s="64" t="s">
        <v>4735</v>
      </c>
      <c r="F270" s="64" t="s">
        <v>126</v>
      </c>
      <c r="G270" s="64" t="s">
        <v>1804</v>
      </c>
      <c r="H270" s="83" t="s">
        <v>4736</v>
      </c>
      <c r="I270" s="20" t="s">
        <v>109</v>
      </c>
      <c r="J270" s="110">
        <v>5.262330448E13</v>
      </c>
      <c r="K270" s="110">
        <v>2.0260904E7</v>
      </c>
      <c r="L270" s="85"/>
      <c r="M270" s="85"/>
      <c r="N270" s="85"/>
      <c r="O270" s="85"/>
      <c r="P270" s="85"/>
      <c r="Q270" s="83" t="s">
        <v>77</v>
      </c>
      <c r="R270" s="85"/>
      <c r="S270" s="85"/>
      <c r="T270" s="85"/>
      <c r="U270" s="83" t="s">
        <v>322</v>
      </c>
      <c r="V270" s="64">
        <v>7.0</v>
      </c>
      <c r="W270" s="64" t="s">
        <v>65</v>
      </c>
      <c r="X270" s="18">
        <f>COUNTIF('간병인배정'!$B:$B,$A270)</f>
        <v>1</v>
      </c>
      <c r="Y270" s="18">
        <f>SUMIF('간병비지급'!$B:$B,$A270,'간병비지급'!$I:$I)</f>
        <v>280000</v>
      </c>
      <c r="Z270" s="18">
        <f>COUNTIF('보험청구'!$B:$B,$A270)</f>
        <v>0</v>
      </c>
      <c r="AA270" s="18">
        <f>COUNTIFS('보험청구'!$B:$B,$A270,'보험청구'!$J:$J,"미확인")</f>
        <v>0</v>
      </c>
      <c r="AB270" s="18">
        <f>SUMIF('보험청구'!$B:$B,$A270,'보험청구'!$I:$I)</f>
        <v>0</v>
      </c>
      <c r="AC270" s="18">
        <f>SUMIF('보험청구'!$B:$B,$A270,'보험청구'!$L:$L)</f>
        <v>0</v>
      </c>
      <c r="AD270" s="115">
        <v>46281.0</v>
      </c>
      <c r="AE270" s="115">
        <v>46282.0</v>
      </c>
      <c r="AF270" s="85"/>
      <c r="AG270" s="10" t="str">
        <f t="shared" si="13"/>
        <v>정상</v>
      </c>
      <c r="AH270" s="91"/>
      <c r="AI270" s="85"/>
      <c r="AJ270" s="85"/>
    </row>
    <row r="271" ht="15.75" customHeight="1">
      <c r="A271" s="10" t="s">
        <v>4743</v>
      </c>
      <c r="B271" s="64" t="s">
        <v>4744</v>
      </c>
      <c r="C271" s="64" t="s">
        <v>66</v>
      </c>
      <c r="D271" s="110">
        <v>1.961051E7</v>
      </c>
      <c r="E271" s="64" t="s">
        <v>4745</v>
      </c>
      <c r="F271" s="64" t="s">
        <v>4441</v>
      </c>
      <c r="G271" s="64" t="s">
        <v>4746</v>
      </c>
      <c r="H271" s="83" t="s">
        <v>1563</v>
      </c>
      <c r="I271" s="20" t="s">
        <v>109</v>
      </c>
      <c r="J271" s="110">
        <v>5.262274981E13</v>
      </c>
      <c r="K271" s="110">
        <v>2.0260831E7</v>
      </c>
      <c r="L271" s="83" t="s">
        <v>4748</v>
      </c>
      <c r="M271" s="85"/>
      <c r="N271" s="85"/>
      <c r="O271" s="85"/>
      <c r="P271" s="85"/>
      <c r="Q271" s="83" t="s">
        <v>77</v>
      </c>
      <c r="R271" s="90"/>
      <c r="S271" s="20" t="s">
        <v>4749</v>
      </c>
      <c r="T271" s="20" t="s">
        <v>4750</v>
      </c>
      <c r="U271" s="83" t="s">
        <v>322</v>
      </c>
      <c r="V271" s="64"/>
      <c r="W271" s="64" t="s">
        <v>3892</v>
      </c>
      <c r="X271" s="18">
        <f>COUNTIF('간병인배정'!$B:$B,$A271)</f>
        <v>0</v>
      </c>
      <c r="Y271" s="18">
        <f>SUMIF('간병비지급'!$B:$B,$A271,'간병비지급'!$I:$I)</f>
        <v>0</v>
      </c>
      <c r="Z271" s="18">
        <f>COUNTIF('보험청구'!$B:$B,$A271)</f>
        <v>0</v>
      </c>
      <c r="AA271" s="18">
        <f>COUNTIFS('보험청구'!$B:$B,$A271,'보험청구'!$J:$J,"미확인")</f>
        <v>0</v>
      </c>
      <c r="AB271" s="18">
        <f>SUMIF('보험청구'!$B:$B,$A271,'보험청구'!$I:$I)</f>
        <v>0</v>
      </c>
      <c r="AC271" s="18">
        <f>SUMIF('보험청구'!$B:$B,$A271,'보험청구'!$L:$L)</f>
        <v>0</v>
      </c>
      <c r="AD271" s="115"/>
      <c r="AE271" s="85"/>
      <c r="AF271" s="85"/>
      <c r="AG271" s="10" t="str">
        <f t="shared" si="13"/>
        <v>제외</v>
      </c>
      <c r="AH271" s="71" t="s">
        <v>4751</v>
      </c>
      <c r="AI271" s="85"/>
      <c r="AJ271" s="85"/>
    </row>
    <row r="272" ht="15.75" customHeight="1">
      <c r="A272" s="10" t="s">
        <v>3165</v>
      </c>
      <c r="B272" s="64" t="s">
        <v>3166</v>
      </c>
      <c r="C272" s="64" t="s">
        <v>212</v>
      </c>
      <c r="D272" s="110">
        <v>1.957043E7</v>
      </c>
      <c r="E272" s="64" t="s">
        <v>4752</v>
      </c>
      <c r="F272" s="64" t="s">
        <v>4289</v>
      </c>
      <c r="G272" s="64" t="s">
        <v>4753</v>
      </c>
      <c r="H272" s="83" t="s">
        <v>4754</v>
      </c>
      <c r="I272" s="20" t="s">
        <v>109</v>
      </c>
      <c r="J272" s="110">
        <v>5.26214527E13</v>
      </c>
      <c r="K272" s="110">
        <v>2.0260818E7</v>
      </c>
      <c r="L272" s="85"/>
      <c r="M272" s="85"/>
      <c r="N272" s="85"/>
      <c r="O272" s="85"/>
      <c r="P272" s="85"/>
      <c r="Q272" s="83" t="s">
        <v>77</v>
      </c>
      <c r="R272" s="90"/>
      <c r="S272" s="20" t="s">
        <v>4757</v>
      </c>
      <c r="T272" s="85"/>
      <c r="U272" s="83" t="s">
        <v>322</v>
      </c>
      <c r="V272" s="65"/>
      <c r="W272" s="64" t="s">
        <v>65</v>
      </c>
      <c r="X272" s="18">
        <f>COUNTIF('간병인배정'!$B:$B,$A272)</f>
        <v>1</v>
      </c>
      <c r="Y272" s="18">
        <f>SUMIF('간병비지급'!$B:$B,$A272,'간병비지급'!$I:$I)</f>
        <v>560000</v>
      </c>
      <c r="Z272" s="18">
        <f>COUNTIF('보험청구'!$B:$B,$A272)</f>
        <v>0</v>
      </c>
      <c r="AA272" s="18">
        <f>COUNTIFS('보험청구'!$B:$B,$A272,'보험청구'!$J:$J,"미확인")</f>
        <v>0</v>
      </c>
      <c r="AB272" s="18">
        <f>SUMIF('보험청구'!$B:$B,$A272,'보험청구'!$I:$I)</f>
        <v>0</v>
      </c>
      <c r="AC272" s="18">
        <f>SUMIF('보험청구'!$B:$B,$A272,'보험청구'!$L:$L)</f>
        <v>0</v>
      </c>
      <c r="AD272" s="97">
        <v>46282.0</v>
      </c>
      <c r="AE272" s="97">
        <v>46283.0</v>
      </c>
      <c r="AF272" s="85"/>
      <c r="AG272" s="10" t="str">
        <f t="shared" si="13"/>
        <v>정상</v>
      </c>
      <c r="AH272" s="71"/>
      <c r="AI272" s="85"/>
      <c r="AJ272" s="85"/>
    </row>
    <row r="273" ht="15.75" customHeight="1">
      <c r="A273" s="10" t="s">
        <v>3172</v>
      </c>
      <c r="B273" s="64" t="s">
        <v>3173</v>
      </c>
      <c r="C273" s="64" t="s">
        <v>66</v>
      </c>
      <c r="D273" s="64">
        <v>1.939113E7</v>
      </c>
      <c r="E273" s="56" t="s">
        <v>4761</v>
      </c>
      <c r="F273" s="64" t="s">
        <v>391</v>
      </c>
      <c r="G273" s="64" t="s">
        <v>4762</v>
      </c>
      <c r="H273" s="83" t="s">
        <v>4763</v>
      </c>
      <c r="I273" s="20" t="s">
        <v>106</v>
      </c>
      <c r="J273" s="20" t="s">
        <v>4764</v>
      </c>
      <c r="K273" s="97">
        <v>45992.0</v>
      </c>
      <c r="L273" s="64">
        <v>2.609840145E9</v>
      </c>
      <c r="M273" s="64" t="s">
        <v>493</v>
      </c>
      <c r="N273" s="64" t="s">
        <v>494</v>
      </c>
      <c r="O273" s="85"/>
      <c r="P273" s="85"/>
      <c r="Q273" s="83" t="s">
        <v>77</v>
      </c>
      <c r="R273" s="120" t="s">
        <v>4765</v>
      </c>
      <c r="S273" s="20"/>
      <c r="T273" s="85"/>
      <c r="U273" s="83" t="s">
        <v>322</v>
      </c>
      <c r="V273" s="65"/>
      <c r="W273" s="64" t="s">
        <v>65</v>
      </c>
      <c r="X273" s="85"/>
      <c r="Y273" s="85"/>
      <c r="Z273" s="85"/>
      <c r="AA273" s="85"/>
      <c r="AB273" s="85"/>
      <c r="AC273" s="85"/>
      <c r="AD273" s="97">
        <v>46282.0</v>
      </c>
      <c r="AE273" s="85"/>
      <c r="AF273" s="85"/>
      <c r="AG273" s="85"/>
      <c r="AH273" s="71"/>
      <c r="AI273" s="85"/>
      <c r="AJ273" s="85"/>
    </row>
    <row r="274" ht="15.75" customHeight="1">
      <c r="A274" s="10" t="s">
        <v>4766</v>
      </c>
      <c r="B274" s="64" t="s">
        <v>4767</v>
      </c>
      <c r="C274" s="64" t="s">
        <v>212</v>
      </c>
      <c r="D274" s="64">
        <v>1.9570517E7</v>
      </c>
      <c r="E274" s="64" t="s">
        <v>4768</v>
      </c>
      <c r="F274" s="64" t="s">
        <v>69</v>
      </c>
      <c r="G274" s="64" t="s">
        <v>601</v>
      </c>
      <c r="H274" s="83" t="s">
        <v>3395</v>
      </c>
      <c r="I274" s="20" t="s">
        <v>106</v>
      </c>
      <c r="J274" s="83" t="s">
        <v>4443</v>
      </c>
      <c r="K274" s="85"/>
      <c r="L274" s="85"/>
      <c r="M274" s="85"/>
      <c r="N274" s="85"/>
      <c r="O274" s="85"/>
      <c r="P274" s="85"/>
      <c r="Q274" s="83" t="s">
        <v>77</v>
      </c>
      <c r="R274" s="85"/>
      <c r="S274" s="85"/>
      <c r="T274" s="85"/>
      <c r="U274" s="83" t="s">
        <v>322</v>
      </c>
      <c r="V274" s="65"/>
      <c r="W274" s="64" t="s">
        <v>178</v>
      </c>
      <c r="X274" s="85"/>
      <c r="Y274" s="85"/>
      <c r="Z274" s="85"/>
      <c r="AA274" s="85"/>
      <c r="AB274" s="85"/>
      <c r="AC274" s="85"/>
      <c r="AD274" s="97">
        <v>46283.0</v>
      </c>
      <c r="AE274" s="85"/>
      <c r="AF274" s="85"/>
      <c r="AG274" s="64" t="s">
        <v>2606</v>
      </c>
      <c r="AH274" s="71" t="s">
        <v>4769</v>
      </c>
      <c r="AI274" s="85"/>
      <c r="AJ274" s="85"/>
    </row>
    <row r="275" ht="15.75" customHeight="1">
      <c r="A275" s="10" t="s">
        <v>3178</v>
      </c>
      <c r="B275" s="64" t="s">
        <v>1108</v>
      </c>
      <c r="C275" s="64" t="s">
        <v>66</v>
      </c>
      <c r="D275" s="64">
        <v>1.9770525E7</v>
      </c>
      <c r="E275" s="64" t="s">
        <v>4771</v>
      </c>
      <c r="F275" s="64" t="s">
        <v>1104</v>
      </c>
      <c r="G275" s="64" t="s">
        <v>1589</v>
      </c>
      <c r="H275" s="83" t="s">
        <v>4772</v>
      </c>
      <c r="I275" s="20" t="s">
        <v>109</v>
      </c>
      <c r="J275" s="110">
        <v>5.262318472E13</v>
      </c>
      <c r="K275" s="110">
        <v>2.0260904E7</v>
      </c>
      <c r="L275" s="85"/>
      <c r="M275" s="85"/>
      <c r="N275" s="85"/>
      <c r="O275" s="85"/>
      <c r="P275" s="85"/>
      <c r="Q275" s="83" t="s">
        <v>77</v>
      </c>
      <c r="R275" s="83" t="s">
        <v>4774</v>
      </c>
      <c r="S275" s="20" t="s">
        <v>4775</v>
      </c>
      <c r="T275" s="64" t="s">
        <v>4775</v>
      </c>
      <c r="U275" s="83" t="s">
        <v>322</v>
      </c>
      <c r="V275" s="64">
        <v>7.0</v>
      </c>
      <c r="W275" s="64" t="s">
        <v>65</v>
      </c>
      <c r="X275" s="85"/>
      <c r="Y275" s="85"/>
      <c r="Z275" s="85"/>
      <c r="AA275" s="85"/>
      <c r="AB275" s="85"/>
      <c r="AC275" s="85"/>
      <c r="AD275" s="97">
        <v>46282.0</v>
      </c>
      <c r="AE275" s="85"/>
      <c r="AF275" s="85"/>
      <c r="AG275" s="85"/>
      <c r="AH275" s="91"/>
      <c r="AI275" s="85"/>
      <c r="AJ275" s="85"/>
    </row>
    <row r="276" ht="15.75" customHeight="1">
      <c r="A276" s="10" t="s">
        <v>3185</v>
      </c>
      <c r="B276" s="64" t="s">
        <v>3186</v>
      </c>
      <c r="C276" s="64" t="s">
        <v>66</v>
      </c>
      <c r="D276" s="64">
        <v>1960301.0</v>
      </c>
      <c r="E276" s="64" t="s">
        <v>4778</v>
      </c>
      <c r="F276" s="64" t="s">
        <v>743</v>
      </c>
      <c r="G276" s="64" t="s">
        <v>4779</v>
      </c>
      <c r="H276" s="83" t="s">
        <v>4780</v>
      </c>
      <c r="I276" s="20" t="s">
        <v>109</v>
      </c>
      <c r="J276" s="110">
        <v>5.262263676E13</v>
      </c>
      <c r="K276" s="110">
        <v>2.0260831E7</v>
      </c>
      <c r="L276" s="85"/>
      <c r="M276" s="85"/>
      <c r="N276" s="85"/>
      <c r="O276" s="85"/>
      <c r="P276" s="85"/>
      <c r="Q276" s="83" t="s">
        <v>132</v>
      </c>
      <c r="R276" s="83" t="s">
        <v>4781</v>
      </c>
      <c r="S276" s="20" t="s">
        <v>4782</v>
      </c>
      <c r="T276" s="20" t="s">
        <v>4783</v>
      </c>
      <c r="U276" s="83" t="s">
        <v>322</v>
      </c>
      <c r="V276" s="64">
        <v>7.0</v>
      </c>
      <c r="W276" s="64" t="s">
        <v>65</v>
      </c>
      <c r="X276" s="85"/>
      <c r="Y276" s="85"/>
      <c r="Z276" s="85"/>
      <c r="AA276" s="85"/>
      <c r="AB276" s="85"/>
      <c r="AC276" s="85"/>
      <c r="AD276" s="97">
        <v>46283.0</v>
      </c>
      <c r="AE276" s="85"/>
      <c r="AF276" s="85"/>
      <c r="AG276" s="85"/>
      <c r="AH276" s="91"/>
      <c r="AI276" s="85"/>
      <c r="AJ276" s="85"/>
    </row>
    <row r="277" ht="15.75" customHeight="1">
      <c r="A277" s="10" t="s">
        <v>3192</v>
      </c>
      <c r="B277" s="64" t="s">
        <v>3193</v>
      </c>
      <c r="C277" s="64" t="s">
        <v>212</v>
      </c>
      <c r="D277" s="64">
        <v>1.9610207E7</v>
      </c>
      <c r="E277" s="64" t="s">
        <v>4785</v>
      </c>
      <c r="F277" s="64" t="s">
        <v>4441</v>
      </c>
      <c r="G277" s="64" t="s">
        <v>4478</v>
      </c>
      <c r="H277" s="83" t="s">
        <v>4786</v>
      </c>
      <c r="I277" s="20" t="s">
        <v>109</v>
      </c>
      <c r="J277" s="110">
        <v>5.262193436E13</v>
      </c>
      <c r="K277" s="110">
        <v>2.0260823E7</v>
      </c>
      <c r="L277" s="85"/>
      <c r="M277" s="85"/>
      <c r="N277" s="85"/>
      <c r="O277" s="85"/>
      <c r="P277" s="85"/>
      <c r="Q277" s="83" t="s">
        <v>132</v>
      </c>
      <c r="R277" s="83" t="s">
        <v>4789</v>
      </c>
      <c r="S277" s="20" t="s">
        <v>4790</v>
      </c>
      <c r="T277" s="20" t="s">
        <v>4790</v>
      </c>
      <c r="U277" s="83" t="s">
        <v>322</v>
      </c>
      <c r="V277" s="64">
        <v>7.0</v>
      </c>
      <c r="W277" s="64" t="s">
        <v>65</v>
      </c>
      <c r="X277" s="85"/>
      <c r="Y277" s="85"/>
      <c r="Z277" s="85"/>
      <c r="AA277" s="85"/>
      <c r="AB277" s="85"/>
      <c r="AC277" s="85"/>
      <c r="AD277" s="97">
        <v>46283.0</v>
      </c>
      <c r="AE277" s="85"/>
      <c r="AF277" s="85"/>
      <c r="AG277" s="85"/>
      <c r="AH277" s="91"/>
      <c r="AI277" s="85"/>
      <c r="AJ277" s="85"/>
    </row>
    <row r="278" ht="15.75" customHeight="1">
      <c r="A278" s="10" t="s">
        <v>3197</v>
      </c>
      <c r="B278" s="64" t="s">
        <v>378</v>
      </c>
      <c r="C278" s="64" t="s">
        <v>66</v>
      </c>
      <c r="D278" s="64">
        <v>1.9660507E7</v>
      </c>
      <c r="E278" s="64" t="s">
        <v>4792</v>
      </c>
      <c r="F278" s="64" t="s">
        <v>4264</v>
      </c>
      <c r="G278" s="64" t="s">
        <v>4793</v>
      </c>
      <c r="H278" s="83" t="s">
        <v>4794</v>
      </c>
      <c r="I278" s="20" t="s">
        <v>106</v>
      </c>
      <c r="J278" s="20" t="s">
        <v>4795</v>
      </c>
      <c r="K278" s="64">
        <v>2.0210218E7</v>
      </c>
      <c r="L278" s="83">
        <v>2.609918702E9</v>
      </c>
      <c r="M278" s="83" t="s">
        <v>4796</v>
      </c>
      <c r="N278" s="83" t="s">
        <v>4798</v>
      </c>
      <c r="O278" s="85"/>
      <c r="P278" s="85"/>
      <c r="Q278" s="83" t="s">
        <v>132</v>
      </c>
      <c r="R278" s="83" t="s">
        <v>4799</v>
      </c>
      <c r="S278" s="20" t="s">
        <v>4800</v>
      </c>
      <c r="T278" s="20" t="s">
        <v>4801</v>
      </c>
      <c r="U278" s="83" t="s">
        <v>322</v>
      </c>
      <c r="V278" s="64">
        <v>7.0</v>
      </c>
      <c r="W278" s="64" t="s">
        <v>65</v>
      </c>
      <c r="X278" s="85"/>
      <c r="Y278" s="85"/>
      <c r="Z278" s="85"/>
      <c r="AA278" s="85"/>
      <c r="AB278" s="85"/>
      <c r="AC278" s="85"/>
      <c r="AD278" s="97">
        <v>46284.0</v>
      </c>
      <c r="AE278" s="85"/>
      <c r="AF278" s="85"/>
      <c r="AG278" s="85"/>
      <c r="AH278" s="91"/>
      <c r="AI278" s="85"/>
      <c r="AJ278" s="85"/>
    </row>
    <row r="279" ht="15.75" customHeight="1">
      <c r="A279" s="10" t="s">
        <v>3204</v>
      </c>
      <c r="B279" s="64" t="s">
        <v>3205</v>
      </c>
      <c r="C279" s="64" t="s">
        <v>66</v>
      </c>
      <c r="D279" s="110">
        <v>1.951103E7</v>
      </c>
      <c r="E279" s="64" t="s">
        <v>4803</v>
      </c>
      <c r="F279" s="64" t="s">
        <v>4347</v>
      </c>
      <c r="G279" s="64" t="s">
        <v>4804</v>
      </c>
      <c r="H279" s="83" t="s">
        <v>3291</v>
      </c>
      <c r="I279" s="20" t="s">
        <v>109</v>
      </c>
      <c r="J279" s="121" t="s">
        <v>4805</v>
      </c>
      <c r="K279" s="122">
        <v>2.0260916E7</v>
      </c>
      <c r="L279" s="85"/>
      <c r="M279" s="85"/>
      <c r="N279" s="85"/>
      <c r="O279" s="85"/>
      <c r="P279" s="85"/>
      <c r="Q279" s="83" t="s">
        <v>132</v>
      </c>
      <c r="R279" s="83" t="s">
        <v>4806</v>
      </c>
      <c r="S279" s="20" t="s">
        <v>4807</v>
      </c>
      <c r="T279" s="20" t="s">
        <v>4807</v>
      </c>
      <c r="U279" s="83" t="s">
        <v>322</v>
      </c>
      <c r="V279" s="64">
        <v>3.0</v>
      </c>
      <c r="W279" s="64" t="s">
        <v>65</v>
      </c>
      <c r="X279" s="85"/>
      <c r="Y279" s="85"/>
      <c r="Z279" s="85"/>
      <c r="AA279" s="85"/>
      <c r="AB279" s="85"/>
      <c r="AC279" s="85"/>
      <c r="AD279" s="97">
        <v>46284.0</v>
      </c>
      <c r="AE279" s="85"/>
      <c r="AF279" s="85"/>
      <c r="AG279" s="85"/>
      <c r="AH279" s="91"/>
      <c r="AI279" s="85"/>
      <c r="AJ279" s="85"/>
    </row>
    <row r="280" ht="15.75" customHeight="1">
      <c r="A280" s="10" t="s">
        <v>3212</v>
      </c>
      <c r="B280" s="64" t="s">
        <v>3213</v>
      </c>
      <c r="C280" s="64" t="s">
        <v>66</v>
      </c>
      <c r="D280" s="64">
        <v>580914.0</v>
      </c>
      <c r="E280" s="64" t="s">
        <v>4808</v>
      </c>
      <c r="F280" s="64" t="s">
        <v>4347</v>
      </c>
      <c r="G280" s="64" t="s">
        <v>4809</v>
      </c>
      <c r="H280" s="83" t="s">
        <v>4810</v>
      </c>
      <c r="I280" s="20" t="s">
        <v>109</v>
      </c>
      <c r="J280" s="121" t="s">
        <v>4811</v>
      </c>
      <c r="K280" s="122">
        <v>2.0260904E7</v>
      </c>
      <c r="L280" s="85"/>
      <c r="M280" s="85"/>
      <c r="N280" s="85"/>
      <c r="O280" s="85"/>
      <c r="P280" s="85"/>
      <c r="Q280" s="83" t="s">
        <v>132</v>
      </c>
      <c r="R280" s="83" t="s">
        <v>4812</v>
      </c>
      <c r="S280" s="20" t="s">
        <v>4813</v>
      </c>
      <c r="T280" s="20" t="s">
        <v>4813</v>
      </c>
      <c r="U280" s="83" t="s">
        <v>322</v>
      </c>
      <c r="V280" s="64">
        <v>7.0</v>
      </c>
      <c r="W280" s="64" t="s">
        <v>65</v>
      </c>
      <c r="X280" s="85"/>
      <c r="Y280" s="85"/>
      <c r="Z280" s="85"/>
      <c r="AA280" s="85"/>
      <c r="AB280" s="85"/>
      <c r="AC280" s="85"/>
      <c r="AD280" s="97">
        <v>46284.0</v>
      </c>
      <c r="AE280" s="85"/>
      <c r="AF280" s="85"/>
      <c r="AG280" s="85"/>
      <c r="AH280" s="91"/>
      <c r="AI280" s="85"/>
      <c r="AJ280" s="85"/>
    </row>
    <row r="281" ht="15.75" customHeight="1">
      <c r="A281" s="10" t="s">
        <v>3221</v>
      </c>
      <c r="B281" s="13" t="s">
        <v>3222</v>
      </c>
      <c r="C281" s="10" t="s">
        <v>66</v>
      </c>
      <c r="D281" s="14">
        <v>1.9530723E7</v>
      </c>
      <c r="E281" s="10" t="s">
        <v>3333</v>
      </c>
      <c r="F281" s="10" t="s">
        <v>391</v>
      </c>
      <c r="G281" s="13" t="s">
        <v>3281</v>
      </c>
      <c r="H281" s="15" t="s">
        <v>3334</v>
      </c>
      <c r="I281" s="10" t="s">
        <v>106</v>
      </c>
      <c r="J281" s="10" t="s">
        <v>3335</v>
      </c>
      <c r="K281" s="10" t="s">
        <v>3336</v>
      </c>
      <c r="L281" s="10">
        <v>2.605519345E9</v>
      </c>
      <c r="M281" s="20" t="s">
        <v>3361</v>
      </c>
      <c r="N281" s="20" t="s">
        <v>3362</v>
      </c>
      <c r="O281" s="10" t="s">
        <v>3339</v>
      </c>
      <c r="P281" s="10"/>
      <c r="Q281" s="20" t="s">
        <v>77</v>
      </c>
      <c r="R281" s="20" t="s">
        <v>4814</v>
      </c>
      <c r="S281" s="20" t="s">
        <v>4815</v>
      </c>
      <c r="T281" s="20" t="s">
        <v>4815</v>
      </c>
      <c r="U281" s="10" t="s">
        <v>322</v>
      </c>
      <c r="V281" s="10" t="s">
        <v>583</v>
      </c>
      <c r="W281" s="20" t="s">
        <v>65</v>
      </c>
      <c r="X281" s="18"/>
      <c r="Y281" s="18"/>
      <c r="Z281" s="18"/>
      <c r="AA281" s="18"/>
      <c r="AB281" s="18"/>
      <c r="AC281" s="18"/>
      <c r="AD281" s="97">
        <v>46284.0</v>
      </c>
      <c r="AE281" s="30"/>
      <c r="AF281" s="10" t="str">
        <f>IF($AE281="","",$AJ$1-$AE281)</f>
        <v/>
      </c>
      <c r="AG281" s="10" t="str">
        <f>IF(OR($W281="서비스 취소",$W281="서비스취소",$W281="미해당",$W281="예정",$W281=""),"제외",IF(AND($W281="완료",$Z281=0),"미청구(완료·무청구)",IF(AND($W281="진행중",$Z281=0,$AD281&lt;&gt;"",$AJ$1-$AD281&gt;=10),"미청구(청구시작안됨)",IF(AND($W281="진행중",$Z281&gt;0,$AJ$1-$AE281&gt;=10),"미청구(청구지연)","정상"))))</f>
        <v>정상</v>
      </c>
      <c r="AH281" s="25"/>
      <c r="AI281" s="10"/>
      <c r="AJ281" s="10"/>
    </row>
    <row r="282" ht="15.75" customHeight="1">
      <c r="A282" s="10"/>
      <c r="B282" s="64"/>
      <c r="C282" s="10" t="s">
        <v>66</v>
      </c>
      <c r="D282" s="65"/>
      <c r="E282" s="65"/>
      <c r="F282" s="65"/>
      <c r="G282" s="6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65"/>
      <c r="W282" s="6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91"/>
      <c r="AI282" s="85"/>
      <c r="AJ282" s="85"/>
    </row>
    <row r="283" ht="15.75" customHeight="1">
      <c r="A283" s="85"/>
      <c r="B283" s="65"/>
      <c r="C283" s="85"/>
      <c r="D283" s="65"/>
      <c r="E283" s="65"/>
      <c r="F283" s="65"/>
      <c r="G283" s="6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65"/>
      <c r="W283" s="6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91"/>
      <c r="AI283" s="85"/>
      <c r="AJ283" s="85"/>
    </row>
    <row r="284" ht="15.75" customHeight="1">
      <c r="A284" s="85"/>
      <c r="B284" s="65"/>
      <c r="C284" s="85"/>
      <c r="D284" s="65"/>
      <c r="E284" s="65"/>
      <c r="F284" s="65"/>
      <c r="G284" s="6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65"/>
      <c r="W284" s="6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91"/>
      <c r="AI284" s="85"/>
      <c r="AJ284" s="85"/>
    </row>
    <row r="285" ht="15.75" customHeight="1">
      <c r="A285" s="85"/>
      <c r="B285" s="65"/>
      <c r="C285" s="85"/>
      <c r="D285" s="65"/>
      <c r="E285" s="65"/>
      <c r="F285" s="65"/>
      <c r="G285" s="6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65"/>
      <c r="W285" s="6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91"/>
      <c r="AI285" s="85"/>
      <c r="AJ285" s="85"/>
    </row>
    <row r="286" ht="15.75" customHeight="1">
      <c r="A286" s="85"/>
      <c r="B286" s="65"/>
      <c r="C286" s="85"/>
      <c r="D286" s="65"/>
      <c r="E286" s="65"/>
      <c r="F286" s="65"/>
      <c r="G286" s="6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65"/>
      <c r="W286" s="6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91"/>
      <c r="AI286" s="85"/>
      <c r="AJ286" s="85"/>
    </row>
    <row r="287" ht="15.75" customHeight="1">
      <c r="A287" s="85"/>
      <c r="B287" s="65"/>
      <c r="C287" s="85"/>
      <c r="D287" s="65"/>
      <c r="E287" s="65"/>
      <c r="F287" s="65"/>
      <c r="G287" s="6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65"/>
      <c r="W287" s="6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91"/>
      <c r="AI287" s="85"/>
      <c r="AJ287" s="85"/>
    </row>
    <row r="288" ht="15.75" customHeight="1">
      <c r="A288" s="85"/>
      <c r="B288" s="65"/>
      <c r="C288" s="85"/>
      <c r="D288" s="65"/>
      <c r="E288" s="65"/>
      <c r="F288" s="65"/>
      <c r="G288" s="6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65"/>
      <c r="W288" s="6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91"/>
      <c r="AI288" s="85"/>
      <c r="AJ288" s="85"/>
    </row>
    <row r="289" ht="15.75" customHeight="1">
      <c r="A289" s="85"/>
      <c r="B289" s="65"/>
      <c r="C289" s="85"/>
      <c r="D289" s="65"/>
      <c r="E289" s="65"/>
      <c r="F289" s="65"/>
      <c r="G289" s="6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65"/>
      <c r="W289" s="6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91"/>
      <c r="AI289" s="85"/>
      <c r="AJ289" s="85"/>
    </row>
    <row r="290" ht="15.75" customHeight="1">
      <c r="A290" s="85"/>
      <c r="B290" s="65"/>
      <c r="C290" s="85"/>
      <c r="D290" s="65"/>
      <c r="E290" s="65"/>
      <c r="F290" s="65"/>
      <c r="G290" s="6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65"/>
      <c r="W290" s="6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91"/>
      <c r="AI290" s="85"/>
      <c r="AJ290" s="85"/>
    </row>
    <row r="291" ht="15.75" customHeight="1">
      <c r="A291" s="85"/>
      <c r="B291" s="65"/>
      <c r="C291" s="85"/>
      <c r="D291" s="65"/>
      <c r="E291" s="65"/>
      <c r="F291" s="65"/>
      <c r="G291" s="6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65"/>
      <c r="W291" s="6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91"/>
      <c r="AI291" s="85"/>
      <c r="AJ291" s="85"/>
    </row>
    <row r="292" ht="15.75" customHeight="1">
      <c r="A292" s="85"/>
      <c r="B292" s="65"/>
      <c r="C292" s="85"/>
      <c r="D292" s="65"/>
      <c r="E292" s="65"/>
      <c r="F292" s="65"/>
      <c r="G292" s="6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65"/>
      <c r="W292" s="6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91"/>
      <c r="AI292" s="85"/>
      <c r="AJ292" s="85"/>
    </row>
    <row r="293" ht="15.75" customHeight="1">
      <c r="A293" s="85"/>
      <c r="B293" s="65"/>
      <c r="C293" s="85"/>
      <c r="D293" s="65"/>
      <c r="E293" s="65"/>
      <c r="F293" s="65"/>
      <c r="G293" s="6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65"/>
      <c r="W293" s="6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91"/>
      <c r="AI293" s="85"/>
      <c r="AJ293" s="85"/>
    </row>
    <row r="294" ht="15.75" customHeight="1">
      <c r="A294" s="85"/>
      <c r="B294" s="65"/>
      <c r="C294" s="85"/>
      <c r="D294" s="65"/>
      <c r="E294" s="65"/>
      <c r="F294" s="65"/>
      <c r="G294" s="6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65"/>
      <c r="W294" s="6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91"/>
      <c r="AI294" s="85"/>
      <c r="AJ294" s="85"/>
    </row>
    <row r="295" ht="15.75" customHeight="1">
      <c r="A295" s="85"/>
      <c r="B295" s="65"/>
      <c r="C295" s="85"/>
      <c r="D295" s="65"/>
      <c r="E295" s="65"/>
      <c r="F295" s="65"/>
      <c r="G295" s="6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65"/>
      <c r="W295" s="6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91"/>
      <c r="AI295" s="85"/>
      <c r="AJ295" s="85"/>
    </row>
    <row r="296" ht="15.75" customHeight="1">
      <c r="A296" s="85"/>
      <c r="B296" s="65"/>
      <c r="C296" s="85"/>
      <c r="D296" s="65"/>
      <c r="E296" s="65"/>
      <c r="F296" s="65"/>
      <c r="G296" s="6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65"/>
      <c r="W296" s="6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91"/>
      <c r="AI296" s="85"/>
      <c r="AJ296" s="85"/>
    </row>
    <row r="297" ht="15.75" customHeight="1">
      <c r="A297" s="85"/>
      <c r="B297" s="65"/>
      <c r="C297" s="85"/>
      <c r="D297" s="65"/>
      <c r="E297" s="65"/>
      <c r="F297" s="65"/>
      <c r="G297" s="6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65"/>
      <c r="W297" s="6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91"/>
      <c r="AI297" s="85"/>
      <c r="AJ297" s="85"/>
    </row>
    <row r="298" ht="15.75" customHeight="1">
      <c r="A298" s="85"/>
      <c r="B298" s="65"/>
      <c r="C298" s="85"/>
      <c r="D298" s="65"/>
      <c r="E298" s="64" t="s">
        <v>828</v>
      </c>
      <c r="F298" s="65"/>
      <c r="G298" s="6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65"/>
      <c r="W298" s="6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91"/>
      <c r="AI298" s="85"/>
      <c r="AJ298" s="85"/>
    </row>
    <row r="299" ht="15.75" customHeight="1">
      <c r="A299" s="85"/>
      <c r="B299" s="65"/>
      <c r="C299" s="85"/>
      <c r="D299" s="65"/>
      <c r="E299" s="65"/>
      <c r="F299" s="65"/>
      <c r="G299" s="6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65"/>
      <c r="W299" s="6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91"/>
      <c r="AI299" s="85"/>
      <c r="AJ299" s="85"/>
    </row>
    <row r="300" ht="15.75" customHeight="1">
      <c r="A300" s="85"/>
      <c r="B300" s="65"/>
      <c r="C300" s="85"/>
      <c r="D300" s="65"/>
      <c r="E300" s="65"/>
      <c r="F300" s="65"/>
      <c r="G300" s="6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65"/>
      <c r="W300" s="6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91"/>
      <c r="AI300" s="85"/>
      <c r="AJ300" s="85"/>
    </row>
    <row r="301" ht="15.75" customHeight="1">
      <c r="A301" s="85"/>
      <c r="B301" s="65"/>
      <c r="C301" s="85"/>
      <c r="D301" s="65"/>
      <c r="E301" s="65"/>
      <c r="F301" s="65"/>
      <c r="G301" s="6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65"/>
      <c r="W301" s="6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91"/>
      <c r="AI301" s="85"/>
      <c r="AJ301" s="85"/>
    </row>
    <row r="302" ht="15.75" customHeight="1">
      <c r="A302" s="85"/>
      <c r="B302" s="65"/>
      <c r="C302" s="85"/>
      <c r="D302" s="65"/>
      <c r="E302" s="65"/>
      <c r="F302" s="65"/>
      <c r="G302" s="6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65"/>
      <c r="W302" s="6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91"/>
      <c r="AI302" s="85"/>
      <c r="AJ302" s="85"/>
    </row>
    <row r="303" ht="15.75" customHeight="1">
      <c r="A303" s="85"/>
      <c r="B303" s="65"/>
      <c r="C303" s="85"/>
      <c r="D303" s="65"/>
      <c r="E303" s="65"/>
      <c r="F303" s="65"/>
      <c r="G303" s="6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65"/>
      <c r="W303" s="6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91"/>
      <c r="AI303" s="85"/>
      <c r="AJ303" s="85"/>
    </row>
    <row r="304" ht="15.75" customHeight="1">
      <c r="A304" s="85"/>
      <c r="B304" s="65"/>
      <c r="C304" s="85"/>
      <c r="D304" s="65"/>
      <c r="E304" s="65"/>
      <c r="F304" s="65"/>
      <c r="G304" s="6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65"/>
      <c r="W304" s="6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91"/>
      <c r="AI304" s="85"/>
      <c r="AJ304" s="85"/>
    </row>
    <row r="305" ht="15.75" customHeight="1">
      <c r="A305" s="85"/>
      <c r="B305" s="65"/>
      <c r="C305" s="85"/>
      <c r="D305" s="65"/>
      <c r="E305" s="65"/>
      <c r="F305" s="65"/>
      <c r="G305" s="6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65"/>
      <c r="W305" s="6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91"/>
      <c r="AI305" s="85"/>
      <c r="AJ305" s="85"/>
    </row>
    <row r="306" ht="15.75" customHeight="1">
      <c r="A306" s="85"/>
      <c r="B306" s="65"/>
      <c r="C306" s="85"/>
      <c r="D306" s="65"/>
      <c r="E306" s="65"/>
      <c r="F306" s="65"/>
      <c r="G306" s="6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65"/>
      <c r="W306" s="6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91"/>
      <c r="AI306" s="85"/>
      <c r="AJ306" s="85"/>
    </row>
    <row r="307" ht="15.75" customHeight="1">
      <c r="A307" s="85"/>
      <c r="B307" s="65"/>
      <c r="C307" s="85"/>
      <c r="D307" s="65"/>
      <c r="E307" s="65"/>
      <c r="F307" s="65"/>
      <c r="G307" s="6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65"/>
      <c r="W307" s="6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91"/>
      <c r="AI307" s="85"/>
      <c r="AJ307" s="85"/>
    </row>
    <row r="308" ht="15.75" customHeight="1">
      <c r="A308" s="85"/>
      <c r="B308" s="65"/>
      <c r="C308" s="85"/>
      <c r="D308" s="65"/>
      <c r="E308" s="65"/>
      <c r="F308" s="65"/>
      <c r="G308" s="6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65"/>
      <c r="W308" s="6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91"/>
      <c r="AI308" s="85"/>
      <c r="AJ308" s="85"/>
    </row>
    <row r="309" ht="15.75" customHeight="1">
      <c r="A309" s="85"/>
      <c r="B309" s="65"/>
      <c r="C309" s="85"/>
      <c r="D309" s="65"/>
      <c r="E309" s="65"/>
      <c r="F309" s="65"/>
      <c r="G309" s="6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65"/>
      <c r="W309" s="6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  <c r="AH309" s="91"/>
      <c r="AI309" s="85"/>
      <c r="AJ309" s="85"/>
    </row>
    <row r="310" ht="15.75" customHeight="1">
      <c r="A310" s="85"/>
      <c r="B310" s="65"/>
      <c r="C310" s="85"/>
      <c r="D310" s="65"/>
      <c r="E310" s="65"/>
      <c r="F310" s="65"/>
      <c r="G310" s="6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65"/>
      <c r="W310" s="6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  <c r="AH310" s="91"/>
      <c r="AI310" s="85"/>
      <c r="AJ310" s="85"/>
    </row>
    <row r="311" ht="15.75" customHeight="1">
      <c r="A311" s="85"/>
      <c r="B311" s="65"/>
      <c r="C311" s="85"/>
      <c r="D311" s="65"/>
      <c r="E311" s="65"/>
      <c r="F311" s="65"/>
      <c r="G311" s="6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65"/>
      <c r="W311" s="6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91"/>
      <c r="AI311" s="85"/>
      <c r="AJ311" s="85"/>
    </row>
    <row r="312" ht="15.75" customHeight="1">
      <c r="A312" s="85"/>
      <c r="B312" s="65"/>
      <c r="C312" s="85"/>
      <c r="D312" s="65"/>
      <c r="E312" s="65"/>
      <c r="F312" s="65"/>
      <c r="G312" s="6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65"/>
      <c r="W312" s="6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91"/>
      <c r="AI312" s="85"/>
      <c r="AJ312" s="85"/>
    </row>
    <row r="313" ht="15.75" customHeight="1">
      <c r="A313" s="85"/>
      <c r="B313" s="65"/>
      <c r="C313" s="85"/>
      <c r="D313" s="65"/>
      <c r="E313" s="65"/>
      <c r="F313" s="65"/>
      <c r="G313" s="6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65"/>
      <c r="W313" s="6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91"/>
      <c r="AI313" s="85"/>
      <c r="AJ313" s="85"/>
    </row>
    <row r="314" ht="15.75" customHeight="1">
      <c r="A314" s="85"/>
      <c r="B314" s="65"/>
      <c r="C314" s="85"/>
      <c r="D314" s="65"/>
      <c r="E314" s="65"/>
      <c r="F314" s="65"/>
      <c r="G314" s="6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65"/>
      <c r="W314" s="6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91"/>
      <c r="AI314" s="85"/>
      <c r="AJ314" s="85"/>
    </row>
    <row r="315" ht="15.75" customHeight="1">
      <c r="A315" s="85"/>
      <c r="B315" s="65"/>
      <c r="C315" s="85"/>
      <c r="D315" s="65"/>
      <c r="E315" s="65"/>
      <c r="F315" s="65"/>
      <c r="G315" s="6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65"/>
      <c r="W315" s="6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91"/>
      <c r="AI315" s="85"/>
      <c r="AJ315" s="85"/>
    </row>
    <row r="316" ht="15.75" customHeight="1">
      <c r="A316" s="85"/>
      <c r="B316" s="65"/>
      <c r="C316" s="85"/>
      <c r="D316" s="65"/>
      <c r="E316" s="65"/>
      <c r="F316" s="65"/>
      <c r="G316" s="6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65"/>
      <c r="W316" s="6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91"/>
      <c r="AI316" s="85"/>
      <c r="AJ316" s="85"/>
    </row>
    <row r="317" ht="15.75" customHeight="1">
      <c r="A317" s="85"/>
      <c r="B317" s="65"/>
      <c r="C317" s="85"/>
      <c r="D317" s="65"/>
      <c r="E317" s="65"/>
      <c r="F317" s="65"/>
      <c r="G317" s="6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65"/>
      <c r="W317" s="6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91"/>
      <c r="AI317" s="85"/>
      <c r="AJ317" s="85"/>
    </row>
    <row r="318" ht="15.75" customHeight="1">
      <c r="A318" s="85"/>
      <c r="B318" s="65"/>
      <c r="C318" s="85"/>
      <c r="D318" s="65"/>
      <c r="E318" s="65"/>
      <c r="F318" s="65"/>
      <c r="G318" s="6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65"/>
      <c r="W318" s="6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91"/>
      <c r="AI318" s="85"/>
      <c r="AJ318" s="85"/>
    </row>
    <row r="319" ht="15.75" customHeight="1">
      <c r="A319" s="85"/>
      <c r="B319" s="65"/>
      <c r="C319" s="85"/>
      <c r="D319" s="65"/>
      <c r="E319" s="65"/>
      <c r="F319" s="65"/>
      <c r="G319" s="6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65"/>
      <c r="W319" s="6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91"/>
      <c r="AI319" s="85"/>
      <c r="AJ319" s="85"/>
    </row>
    <row r="320" ht="15.75" customHeight="1">
      <c r="A320" s="85"/>
      <c r="B320" s="65"/>
      <c r="C320" s="85"/>
      <c r="D320" s="65"/>
      <c r="E320" s="65"/>
      <c r="F320" s="65"/>
      <c r="G320" s="6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65"/>
      <c r="W320" s="6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91"/>
      <c r="AI320" s="85"/>
      <c r="AJ320" s="85"/>
    </row>
    <row r="321" ht="15.75" customHeight="1">
      <c r="A321" s="85"/>
      <c r="B321" s="65"/>
      <c r="C321" s="85"/>
      <c r="D321" s="65"/>
      <c r="E321" s="65"/>
      <c r="F321" s="65"/>
      <c r="G321" s="6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65"/>
      <c r="W321" s="6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91"/>
      <c r="AI321" s="85"/>
      <c r="AJ321" s="85"/>
    </row>
    <row r="322" ht="15.75" customHeight="1">
      <c r="A322" s="85"/>
      <c r="B322" s="65"/>
      <c r="C322" s="85"/>
      <c r="D322" s="65"/>
      <c r="E322" s="65"/>
      <c r="F322" s="65"/>
      <c r="G322" s="6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65"/>
      <c r="W322" s="6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91"/>
      <c r="AI322" s="85"/>
      <c r="AJ322" s="85"/>
    </row>
    <row r="323" ht="15.75" customHeight="1">
      <c r="A323" s="85"/>
      <c r="B323" s="65"/>
      <c r="C323" s="85"/>
      <c r="D323" s="65"/>
      <c r="E323" s="65"/>
      <c r="F323" s="65"/>
      <c r="G323" s="6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65"/>
      <c r="W323" s="6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  <c r="AH323" s="91"/>
      <c r="AI323" s="85"/>
      <c r="AJ323" s="85"/>
    </row>
    <row r="324" ht="15.75" customHeight="1">
      <c r="A324" s="85"/>
      <c r="B324" s="65"/>
      <c r="C324" s="85"/>
      <c r="D324" s="65"/>
      <c r="E324" s="65"/>
      <c r="F324" s="65"/>
      <c r="G324" s="6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65"/>
      <c r="W324" s="6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  <c r="AH324" s="91"/>
      <c r="AI324" s="85"/>
      <c r="AJ324" s="85"/>
    </row>
    <row r="325" ht="15.75" customHeight="1">
      <c r="A325" s="85"/>
      <c r="B325" s="65"/>
      <c r="C325" s="85"/>
      <c r="D325" s="65"/>
      <c r="E325" s="65"/>
      <c r="F325" s="65"/>
      <c r="G325" s="6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65"/>
      <c r="W325" s="6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  <c r="AH325" s="91"/>
      <c r="AI325" s="85"/>
      <c r="AJ325" s="85"/>
    </row>
    <row r="326" ht="15.75" customHeight="1">
      <c r="A326" s="85"/>
      <c r="B326" s="65"/>
      <c r="C326" s="85"/>
      <c r="D326" s="65"/>
      <c r="E326" s="65"/>
      <c r="F326" s="65"/>
      <c r="G326" s="6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65"/>
      <c r="W326" s="6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  <c r="AH326" s="91"/>
      <c r="AI326" s="85"/>
      <c r="AJ326" s="85"/>
    </row>
    <row r="327" ht="15.75" customHeight="1">
      <c r="A327" s="85"/>
      <c r="B327" s="65"/>
      <c r="C327" s="85"/>
      <c r="D327" s="65"/>
      <c r="E327" s="65"/>
      <c r="F327" s="65"/>
      <c r="G327" s="6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65"/>
      <c r="W327" s="6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  <c r="AH327" s="91"/>
      <c r="AI327" s="85"/>
      <c r="AJ327" s="85"/>
    </row>
    <row r="328" ht="15.75" customHeight="1">
      <c r="A328" s="85"/>
      <c r="B328" s="65"/>
      <c r="C328" s="85"/>
      <c r="D328" s="65"/>
      <c r="E328" s="65"/>
      <c r="F328" s="65"/>
      <c r="G328" s="6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65"/>
      <c r="W328" s="6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  <c r="AH328" s="91"/>
      <c r="AI328" s="85"/>
      <c r="AJ328" s="85"/>
    </row>
    <row r="329" ht="15.75" customHeight="1">
      <c r="A329" s="85"/>
      <c r="B329" s="65"/>
      <c r="C329" s="85"/>
      <c r="D329" s="65"/>
      <c r="E329" s="65"/>
      <c r="F329" s="65"/>
      <c r="G329" s="6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65"/>
      <c r="W329" s="65"/>
      <c r="X329" s="85"/>
      <c r="Y329" s="85"/>
      <c r="Z329" s="85"/>
      <c r="AA329" s="85"/>
      <c r="AB329" s="85"/>
      <c r="AC329" s="85"/>
      <c r="AD329" s="85"/>
      <c r="AE329" s="85"/>
      <c r="AF329" s="85"/>
      <c r="AG329" s="85"/>
      <c r="AH329" s="91"/>
      <c r="AI329" s="85"/>
      <c r="AJ329" s="85"/>
    </row>
    <row r="330" ht="15.75" customHeight="1">
      <c r="A330" s="85"/>
      <c r="B330" s="65"/>
      <c r="C330" s="85"/>
      <c r="D330" s="65"/>
      <c r="E330" s="65"/>
      <c r="F330" s="65"/>
      <c r="G330" s="6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65"/>
      <c r="W330" s="65"/>
      <c r="X330" s="85"/>
      <c r="Y330" s="85"/>
      <c r="Z330" s="85"/>
      <c r="AA330" s="85"/>
      <c r="AB330" s="85"/>
      <c r="AC330" s="85"/>
      <c r="AD330" s="85"/>
      <c r="AE330" s="85"/>
      <c r="AF330" s="85"/>
      <c r="AG330" s="85"/>
      <c r="AH330" s="91"/>
      <c r="AI330" s="85"/>
      <c r="AJ330" s="85"/>
    </row>
    <row r="331" ht="15.75" customHeight="1">
      <c r="A331" s="85"/>
      <c r="B331" s="65"/>
      <c r="C331" s="85"/>
      <c r="D331" s="65"/>
      <c r="E331" s="65"/>
      <c r="F331" s="65"/>
      <c r="G331" s="6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65"/>
      <c r="W331" s="65"/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  <c r="AH331" s="91"/>
      <c r="AI331" s="85"/>
      <c r="AJ331" s="85"/>
    </row>
    <row r="332" ht="15.75" customHeight="1">
      <c r="A332" s="85"/>
      <c r="B332" s="65"/>
      <c r="C332" s="85"/>
      <c r="D332" s="65"/>
      <c r="E332" s="65"/>
      <c r="F332" s="65"/>
      <c r="G332" s="6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65"/>
      <c r="W332" s="6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  <c r="AH332" s="91"/>
      <c r="AI332" s="85"/>
      <c r="AJ332" s="85"/>
    </row>
    <row r="333" ht="15.75" customHeight="1">
      <c r="A333" s="85"/>
      <c r="B333" s="65"/>
      <c r="C333" s="85"/>
      <c r="D333" s="65"/>
      <c r="E333" s="65"/>
      <c r="F333" s="65"/>
      <c r="G333" s="6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65"/>
      <c r="W333" s="6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91"/>
      <c r="AI333" s="85"/>
      <c r="AJ333" s="85"/>
    </row>
    <row r="334" ht="15.75" customHeight="1">
      <c r="A334" s="85"/>
      <c r="B334" s="65"/>
      <c r="C334" s="85"/>
      <c r="D334" s="65"/>
      <c r="E334" s="65"/>
      <c r="F334" s="65"/>
      <c r="G334" s="6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65"/>
      <c r="W334" s="6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  <c r="AH334" s="91"/>
      <c r="AI334" s="85"/>
      <c r="AJ334" s="85"/>
    </row>
    <row r="335" ht="15.75" customHeight="1">
      <c r="A335" s="85"/>
      <c r="B335" s="65"/>
      <c r="C335" s="85"/>
      <c r="D335" s="65"/>
      <c r="E335" s="65"/>
      <c r="F335" s="65"/>
      <c r="G335" s="6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65"/>
      <c r="W335" s="6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  <c r="AH335" s="91"/>
      <c r="AI335" s="85"/>
      <c r="AJ335" s="85"/>
    </row>
    <row r="336" ht="15.75" customHeight="1">
      <c r="A336" s="85"/>
      <c r="B336" s="65"/>
      <c r="C336" s="85"/>
      <c r="D336" s="65"/>
      <c r="E336" s="65"/>
      <c r="F336" s="65"/>
      <c r="G336" s="6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65"/>
      <c r="W336" s="65"/>
      <c r="X336" s="85"/>
      <c r="Y336" s="85"/>
      <c r="Z336" s="85"/>
      <c r="AA336" s="85"/>
      <c r="AB336" s="85"/>
      <c r="AC336" s="85"/>
      <c r="AD336" s="85"/>
      <c r="AE336" s="85"/>
      <c r="AF336" s="85"/>
      <c r="AG336" s="85"/>
      <c r="AH336" s="91"/>
      <c r="AI336" s="85"/>
      <c r="AJ336" s="85"/>
    </row>
    <row r="337" ht="15.75" customHeight="1">
      <c r="A337" s="85"/>
      <c r="B337" s="65"/>
      <c r="C337" s="85"/>
      <c r="D337" s="65"/>
      <c r="E337" s="65"/>
      <c r="F337" s="65"/>
      <c r="G337" s="6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65"/>
      <c r="W337" s="65"/>
      <c r="X337" s="85"/>
      <c r="Y337" s="85"/>
      <c r="Z337" s="85"/>
      <c r="AA337" s="85"/>
      <c r="AB337" s="85"/>
      <c r="AC337" s="85"/>
      <c r="AD337" s="85"/>
      <c r="AE337" s="85"/>
      <c r="AF337" s="85"/>
      <c r="AG337" s="85"/>
      <c r="AH337" s="91"/>
      <c r="AI337" s="85"/>
      <c r="AJ337" s="85"/>
    </row>
    <row r="338" ht="15.75" customHeight="1">
      <c r="A338" s="85"/>
      <c r="B338" s="65"/>
      <c r="C338" s="85"/>
      <c r="D338" s="65"/>
      <c r="E338" s="65"/>
      <c r="F338" s="65"/>
      <c r="G338" s="6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65"/>
      <c r="W338" s="65"/>
      <c r="X338" s="85"/>
      <c r="Y338" s="85"/>
      <c r="Z338" s="85"/>
      <c r="AA338" s="85"/>
      <c r="AB338" s="85"/>
      <c r="AC338" s="85"/>
      <c r="AD338" s="85"/>
      <c r="AE338" s="85"/>
      <c r="AF338" s="85"/>
      <c r="AG338" s="85"/>
      <c r="AH338" s="91"/>
      <c r="AI338" s="85"/>
      <c r="AJ338" s="85"/>
    </row>
    <row r="339" ht="15.75" customHeight="1">
      <c r="A339" s="85"/>
      <c r="B339" s="65"/>
      <c r="C339" s="85"/>
      <c r="D339" s="65"/>
      <c r="E339" s="65"/>
      <c r="F339" s="65"/>
      <c r="G339" s="6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65"/>
      <c r="W339" s="6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  <c r="AH339" s="91"/>
      <c r="AI339" s="85"/>
      <c r="AJ339" s="85"/>
    </row>
    <row r="340" ht="15.75" customHeight="1">
      <c r="A340" s="85"/>
      <c r="B340" s="65"/>
      <c r="C340" s="85"/>
      <c r="D340" s="65"/>
      <c r="E340" s="65"/>
      <c r="F340" s="65"/>
      <c r="G340" s="6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65"/>
      <c r="W340" s="6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91"/>
      <c r="AI340" s="85"/>
      <c r="AJ340" s="85"/>
    </row>
    <row r="341" ht="15.75" customHeight="1">
      <c r="A341" s="85"/>
      <c r="B341" s="65"/>
      <c r="C341" s="85"/>
      <c r="D341" s="65"/>
      <c r="E341" s="65"/>
      <c r="F341" s="65"/>
      <c r="G341" s="6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65"/>
      <c r="W341" s="6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  <c r="AH341" s="91"/>
      <c r="AI341" s="85"/>
      <c r="AJ341" s="85"/>
    </row>
    <row r="342" ht="15.75" customHeight="1">
      <c r="A342" s="85"/>
      <c r="B342" s="65"/>
      <c r="C342" s="85"/>
      <c r="D342" s="65"/>
      <c r="E342" s="65"/>
      <c r="F342" s="65"/>
      <c r="G342" s="6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65"/>
      <c r="W342" s="6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91"/>
      <c r="AI342" s="85"/>
      <c r="AJ342" s="85"/>
    </row>
    <row r="343" ht="15.75" customHeight="1">
      <c r="A343" s="85"/>
      <c r="B343" s="65"/>
      <c r="C343" s="85"/>
      <c r="D343" s="65"/>
      <c r="E343" s="65"/>
      <c r="F343" s="65"/>
      <c r="G343" s="6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65"/>
      <c r="W343" s="6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91"/>
      <c r="AI343" s="85"/>
      <c r="AJ343" s="85"/>
    </row>
    <row r="344" ht="15.75" customHeight="1">
      <c r="A344" s="85"/>
      <c r="B344" s="65"/>
      <c r="C344" s="85"/>
      <c r="D344" s="65"/>
      <c r="E344" s="65"/>
      <c r="F344" s="65"/>
      <c r="G344" s="6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65"/>
      <c r="W344" s="6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  <c r="AH344" s="91"/>
      <c r="AI344" s="85"/>
      <c r="AJ344" s="85"/>
    </row>
    <row r="345" ht="15.75" customHeight="1">
      <c r="A345" s="85"/>
      <c r="B345" s="65"/>
      <c r="C345" s="85"/>
      <c r="D345" s="65"/>
      <c r="E345" s="65"/>
      <c r="F345" s="65"/>
      <c r="G345" s="6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65"/>
      <c r="W345" s="6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91"/>
      <c r="AI345" s="85"/>
      <c r="AJ345" s="85"/>
    </row>
    <row r="346" ht="15.75" customHeight="1">
      <c r="A346" s="85"/>
      <c r="B346" s="65"/>
      <c r="C346" s="85"/>
      <c r="D346" s="65"/>
      <c r="E346" s="65"/>
      <c r="F346" s="65"/>
      <c r="G346" s="6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65"/>
      <c r="W346" s="6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  <c r="AH346" s="91"/>
      <c r="AI346" s="85"/>
      <c r="AJ346" s="85"/>
    </row>
    <row r="347" ht="15.75" customHeight="1">
      <c r="A347" s="85"/>
      <c r="B347" s="65"/>
      <c r="C347" s="85"/>
      <c r="D347" s="65"/>
      <c r="E347" s="65"/>
      <c r="F347" s="65"/>
      <c r="G347" s="6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65"/>
      <c r="W347" s="6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  <c r="AH347" s="91"/>
      <c r="AI347" s="85"/>
      <c r="AJ347" s="85"/>
    </row>
    <row r="348" ht="15.75" customHeight="1">
      <c r="A348" s="85"/>
      <c r="B348" s="65"/>
      <c r="C348" s="85"/>
      <c r="D348" s="65"/>
      <c r="E348" s="65"/>
      <c r="F348" s="65"/>
      <c r="G348" s="6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65"/>
      <c r="W348" s="6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91"/>
      <c r="AI348" s="85"/>
      <c r="AJ348" s="85"/>
    </row>
    <row r="349" ht="15.75" customHeight="1">
      <c r="A349" s="85"/>
      <c r="B349" s="65"/>
      <c r="C349" s="85"/>
      <c r="D349" s="65"/>
      <c r="E349" s="65"/>
      <c r="F349" s="65"/>
      <c r="G349" s="6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65"/>
      <c r="W349" s="6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  <c r="AH349" s="91"/>
      <c r="AI349" s="85"/>
      <c r="AJ349" s="85"/>
    </row>
    <row r="350" ht="15.75" customHeight="1">
      <c r="A350" s="85"/>
      <c r="B350" s="65"/>
      <c r="C350" s="85"/>
      <c r="D350" s="65"/>
      <c r="E350" s="65"/>
      <c r="F350" s="65"/>
      <c r="G350" s="6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65"/>
      <c r="W350" s="6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91"/>
      <c r="AI350" s="85"/>
      <c r="AJ350" s="85"/>
    </row>
    <row r="351" ht="15.75" customHeight="1">
      <c r="A351" s="85"/>
      <c r="B351" s="65"/>
      <c r="C351" s="85"/>
      <c r="D351" s="65"/>
      <c r="E351" s="65"/>
      <c r="F351" s="65"/>
      <c r="G351" s="6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65"/>
      <c r="W351" s="6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91"/>
      <c r="AI351" s="85"/>
      <c r="AJ351" s="85"/>
    </row>
    <row r="352" ht="15.75" customHeight="1">
      <c r="A352" s="85"/>
      <c r="B352" s="65"/>
      <c r="C352" s="85"/>
      <c r="D352" s="65"/>
      <c r="E352" s="65"/>
      <c r="F352" s="65"/>
      <c r="G352" s="6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65"/>
      <c r="W352" s="65"/>
      <c r="X352" s="85"/>
      <c r="Y352" s="85"/>
      <c r="Z352" s="85"/>
      <c r="AA352" s="85"/>
      <c r="AB352" s="85"/>
      <c r="AC352" s="85"/>
      <c r="AD352" s="85"/>
      <c r="AE352" s="85"/>
      <c r="AF352" s="85"/>
      <c r="AG352" s="85"/>
      <c r="AH352" s="91"/>
      <c r="AI352" s="85"/>
      <c r="AJ352" s="85"/>
    </row>
    <row r="353" ht="15.75" customHeight="1">
      <c r="A353" s="85"/>
      <c r="B353" s="65"/>
      <c r="C353" s="85"/>
      <c r="D353" s="65"/>
      <c r="E353" s="65"/>
      <c r="F353" s="65"/>
      <c r="G353" s="6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65"/>
      <c r="W353" s="6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  <c r="AH353" s="91"/>
      <c r="AI353" s="85"/>
      <c r="AJ353" s="85"/>
    </row>
    <row r="354" ht="15.75" customHeight="1">
      <c r="A354" s="85"/>
      <c r="B354" s="65"/>
      <c r="C354" s="85"/>
      <c r="D354" s="65"/>
      <c r="E354" s="65"/>
      <c r="F354" s="65"/>
      <c r="G354" s="6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65"/>
      <c r="W354" s="6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91"/>
      <c r="AI354" s="85"/>
      <c r="AJ354" s="85"/>
    </row>
    <row r="355" ht="15.75" customHeight="1">
      <c r="A355" s="85"/>
      <c r="B355" s="65"/>
      <c r="C355" s="85"/>
      <c r="D355" s="65"/>
      <c r="E355" s="65"/>
      <c r="F355" s="65"/>
      <c r="G355" s="6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65"/>
      <c r="W355" s="6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  <c r="AH355" s="91"/>
      <c r="AI355" s="85"/>
      <c r="AJ355" s="85"/>
    </row>
    <row r="356" ht="15.75" customHeight="1">
      <c r="A356" s="85"/>
      <c r="B356" s="65"/>
      <c r="C356" s="85"/>
      <c r="D356" s="65"/>
      <c r="E356" s="65"/>
      <c r="F356" s="65"/>
      <c r="G356" s="6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65"/>
      <c r="W356" s="6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91"/>
      <c r="AI356" s="85"/>
      <c r="AJ356" s="85"/>
    </row>
    <row r="357" ht="15.75" customHeight="1">
      <c r="A357" s="85"/>
      <c r="B357" s="65"/>
      <c r="C357" s="85"/>
      <c r="D357" s="65"/>
      <c r="E357" s="65"/>
      <c r="F357" s="65"/>
      <c r="G357" s="6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65"/>
      <c r="W357" s="6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  <c r="AH357" s="91"/>
      <c r="AI357" s="85"/>
      <c r="AJ357" s="85"/>
    </row>
    <row r="358" ht="15.75" customHeight="1">
      <c r="A358" s="85"/>
      <c r="B358" s="65"/>
      <c r="C358" s="85"/>
      <c r="D358" s="65"/>
      <c r="E358" s="65"/>
      <c r="F358" s="65"/>
      <c r="G358" s="6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65"/>
      <c r="W358" s="6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  <c r="AH358" s="91"/>
      <c r="AI358" s="85"/>
      <c r="AJ358" s="85"/>
    </row>
    <row r="359" ht="15.75" customHeight="1">
      <c r="A359" s="85"/>
      <c r="B359" s="65"/>
      <c r="C359" s="85"/>
      <c r="D359" s="65"/>
      <c r="E359" s="65"/>
      <c r="F359" s="65"/>
      <c r="G359" s="6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65"/>
      <c r="W359" s="6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  <c r="AH359" s="91"/>
      <c r="AI359" s="85"/>
      <c r="AJ359" s="85"/>
    </row>
    <row r="360" ht="15.75" customHeight="1">
      <c r="A360" s="85"/>
      <c r="B360" s="65"/>
      <c r="C360" s="85"/>
      <c r="D360" s="65"/>
      <c r="E360" s="65"/>
      <c r="F360" s="65"/>
      <c r="G360" s="6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65"/>
      <c r="W360" s="6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91"/>
      <c r="AI360" s="85"/>
      <c r="AJ360" s="85"/>
    </row>
    <row r="361" ht="15.75" customHeight="1">
      <c r="A361" s="85"/>
      <c r="B361" s="65"/>
      <c r="C361" s="85"/>
      <c r="D361" s="65"/>
      <c r="E361" s="65"/>
      <c r="F361" s="65"/>
      <c r="G361" s="6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65"/>
      <c r="W361" s="6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91"/>
      <c r="AI361" s="85"/>
      <c r="AJ361" s="85"/>
    </row>
    <row r="362" ht="15.75" customHeight="1">
      <c r="A362" s="85"/>
      <c r="B362" s="65"/>
      <c r="C362" s="85"/>
      <c r="D362" s="65"/>
      <c r="E362" s="65"/>
      <c r="F362" s="65"/>
      <c r="G362" s="6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65"/>
      <c r="W362" s="6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91"/>
      <c r="AI362" s="85"/>
      <c r="AJ362" s="85"/>
    </row>
    <row r="363" ht="15.75" customHeight="1">
      <c r="A363" s="85"/>
      <c r="B363" s="65"/>
      <c r="C363" s="85"/>
      <c r="D363" s="65"/>
      <c r="E363" s="65"/>
      <c r="F363" s="65"/>
      <c r="G363" s="6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65"/>
      <c r="W363" s="6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91"/>
      <c r="AI363" s="85"/>
      <c r="AJ363" s="85"/>
    </row>
    <row r="364" ht="15.75" customHeight="1">
      <c r="A364" s="85"/>
      <c r="B364" s="65"/>
      <c r="C364" s="85"/>
      <c r="D364" s="65"/>
      <c r="E364" s="65"/>
      <c r="F364" s="65"/>
      <c r="G364" s="6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65"/>
      <c r="W364" s="6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  <c r="AH364" s="91"/>
      <c r="AI364" s="85"/>
      <c r="AJ364" s="85"/>
    </row>
    <row r="365" ht="15.75" customHeight="1">
      <c r="A365" s="85"/>
      <c r="B365" s="65"/>
      <c r="C365" s="85"/>
      <c r="D365" s="65"/>
      <c r="E365" s="65"/>
      <c r="F365" s="65"/>
      <c r="G365" s="6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65"/>
      <c r="W365" s="6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  <c r="AH365" s="91"/>
      <c r="AI365" s="85"/>
      <c r="AJ365" s="85"/>
    </row>
    <row r="366" ht="15.75" customHeight="1">
      <c r="A366" s="85"/>
      <c r="B366" s="65"/>
      <c r="C366" s="85"/>
      <c r="D366" s="65"/>
      <c r="E366" s="65"/>
      <c r="F366" s="65"/>
      <c r="G366" s="6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65"/>
      <c r="W366" s="6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91"/>
      <c r="AI366" s="85"/>
      <c r="AJ366" s="85"/>
    </row>
    <row r="367" ht="15.75" customHeight="1">
      <c r="A367" s="85"/>
      <c r="B367" s="65"/>
      <c r="C367" s="85"/>
      <c r="D367" s="65"/>
      <c r="E367" s="65"/>
      <c r="F367" s="65"/>
      <c r="G367" s="6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65"/>
      <c r="W367" s="6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91"/>
      <c r="AI367" s="85"/>
      <c r="AJ367" s="85"/>
    </row>
    <row r="368" ht="15.75" customHeight="1">
      <c r="A368" s="85"/>
      <c r="B368" s="65"/>
      <c r="C368" s="85"/>
      <c r="D368" s="65"/>
      <c r="E368" s="65"/>
      <c r="F368" s="65"/>
      <c r="G368" s="6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65"/>
      <c r="W368" s="6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  <c r="AH368" s="91"/>
      <c r="AI368" s="85"/>
      <c r="AJ368" s="85"/>
    </row>
    <row r="369" ht="15.75" customHeight="1">
      <c r="A369" s="85"/>
      <c r="B369" s="65"/>
      <c r="C369" s="85"/>
      <c r="D369" s="65"/>
      <c r="E369" s="65"/>
      <c r="F369" s="65"/>
      <c r="G369" s="6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65"/>
      <c r="W369" s="6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91"/>
      <c r="AI369" s="85"/>
      <c r="AJ369" s="85"/>
    </row>
    <row r="370" ht="15.75" customHeight="1">
      <c r="A370" s="85"/>
      <c r="B370" s="65"/>
      <c r="C370" s="85"/>
      <c r="D370" s="65"/>
      <c r="E370" s="65"/>
      <c r="F370" s="65"/>
      <c r="G370" s="6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65"/>
      <c r="W370" s="6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  <c r="AH370" s="91"/>
      <c r="AI370" s="85"/>
      <c r="AJ370" s="85"/>
    </row>
    <row r="371" ht="15.75" customHeight="1">
      <c r="A371" s="85"/>
      <c r="B371" s="65"/>
      <c r="C371" s="85"/>
      <c r="D371" s="65"/>
      <c r="E371" s="65"/>
      <c r="F371" s="65"/>
      <c r="G371" s="6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65"/>
      <c r="W371" s="6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  <c r="AH371" s="91"/>
      <c r="AI371" s="85"/>
      <c r="AJ371" s="85"/>
    </row>
    <row r="372" ht="15.75" customHeight="1">
      <c r="A372" s="85"/>
      <c r="B372" s="65"/>
      <c r="C372" s="85"/>
      <c r="D372" s="65"/>
      <c r="E372" s="65"/>
      <c r="F372" s="65"/>
      <c r="G372" s="6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65"/>
      <c r="W372" s="65"/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  <c r="AH372" s="91"/>
      <c r="AI372" s="85"/>
      <c r="AJ372" s="85"/>
    </row>
    <row r="373" ht="15.75" customHeight="1">
      <c r="A373" s="85"/>
      <c r="B373" s="65"/>
      <c r="C373" s="85"/>
      <c r="D373" s="65"/>
      <c r="E373" s="65"/>
      <c r="F373" s="65"/>
      <c r="G373" s="6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65"/>
      <c r="W373" s="6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  <c r="AH373" s="91"/>
      <c r="AI373" s="85"/>
      <c r="AJ373" s="85"/>
    </row>
    <row r="374" ht="15.75" customHeight="1">
      <c r="A374" s="85"/>
      <c r="B374" s="65"/>
      <c r="C374" s="85"/>
      <c r="D374" s="65"/>
      <c r="E374" s="65"/>
      <c r="F374" s="65"/>
      <c r="G374" s="6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65"/>
      <c r="W374" s="6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  <c r="AH374" s="91"/>
      <c r="AI374" s="85"/>
      <c r="AJ374" s="85"/>
    </row>
    <row r="375" ht="15.75" customHeight="1">
      <c r="A375" s="85"/>
      <c r="B375" s="65"/>
      <c r="C375" s="85"/>
      <c r="D375" s="65"/>
      <c r="E375" s="65"/>
      <c r="F375" s="65"/>
      <c r="G375" s="6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65"/>
      <c r="W375" s="6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  <c r="AH375" s="91"/>
      <c r="AI375" s="85"/>
      <c r="AJ375" s="85"/>
    </row>
    <row r="376" ht="15.75" customHeight="1">
      <c r="A376" s="85"/>
      <c r="B376" s="65"/>
      <c r="C376" s="85"/>
      <c r="D376" s="65"/>
      <c r="E376" s="65"/>
      <c r="F376" s="65"/>
      <c r="G376" s="6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65"/>
      <c r="W376" s="65"/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  <c r="AH376" s="91"/>
      <c r="AI376" s="85"/>
      <c r="AJ376" s="83" t="s">
        <v>4855</v>
      </c>
    </row>
    <row r="377" ht="15.75" customHeight="1">
      <c r="A377" s="85"/>
      <c r="B377" s="65"/>
      <c r="C377" s="85"/>
      <c r="D377" s="65"/>
      <c r="E377" s="65"/>
      <c r="F377" s="65"/>
      <c r="G377" s="6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65"/>
      <c r="W377" s="65"/>
      <c r="X377" s="85"/>
      <c r="Y377" s="85"/>
      <c r="Z377" s="85"/>
      <c r="AA377" s="85"/>
      <c r="AB377" s="85"/>
      <c r="AC377" s="85"/>
      <c r="AD377" s="85"/>
      <c r="AE377" s="85"/>
      <c r="AF377" s="85"/>
      <c r="AG377" s="85"/>
      <c r="AH377" s="91"/>
      <c r="AI377" s="85"/>
      <c r="AJ377" s="85"/>
    </row>
    <row r="378" ht="15.75" customHeight="1">
      <c r="A378" s="85"/>
      <c r="B378" s="65"/>
      <c r="C378" s="85"/>
      <c r="D378" s="65"/>
      <c r="E378" s="65"/>
      <c r="F378" s="65"/>
      <c r="G378" s="6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65"/>
      <c r="W378" s="65"/>
      <c r="X378" s="85"/>
      <c r="Y378" s="85"/>
      <c r="Z378" s="85"/>
      <c r="AA378" s="85"/>
      <c r="AB378" s="85"/>
      <c r="AC378" s="85"/>
      <c r="AD378" s="85"/>
      <c r="AE378" s="85"/>
      <c r="AF378" s="85"/>
      <c r="AG378" s="85"/>
      <c r="AH378" s="91"/>
      <c r="AI378" s="85"/>
      <c r="AJ378" s="85"/>
    </row>
    <row r="379" ht="15.75" customHeight="1">
      <c r="A379" s="85"/>
      <c r="B379" s="65"/>
      <c r="C379" s="85"/>
      <c r="D379" s="65"/>
      <c r="E379" s="65"/>
      <c r="F379" s="65"/>
      <c r="G379" s="6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65"/>
      <c r="W379" s="65"/>
      <c r="X379" s="85"/>
      <c r="Y379" s="85"/>
      <c r="Z379" s="85"/>
      <c r="AA379" s="85"/>
      <c r="AB379" s="85"/>
      <c r="AC379" s="85"/>
      <c r="AD379" s="85"/>
      <c r="AE379" s="85"/>
      <c r="AF379" s="85"/>
      <c r="AG379" s="85"/>
      <c r="AH379" s="91"/>
      <c r="AI379" s="85"/>
      <c r="AJ379" s="85"/>
    </row>
    <row r="380" ht="15.75" customHeight="1">
      <c r="A380" s="85"/>
      <c r="B380" s="65"/>
      <c r="C380" s="85"/>
      <c r="D380" s="65"/>
      <c r="E380" s="65"/>
      <c r="F380" s="65"/>
      <c r="G380" s="6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65"/>
      <c r="W380" s="6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  <c r="AH380" s="91"/>
      <c r="AI380" s="85"/>
      <c r="AJ380" s="85"/>
    </row>
    <row r="381" ht="15.75" customHeight="1">
      <c r="A381" s="85"/>
      <c r="B381" s="65"/>
      <c r="C381" s="85"/>
      <c r="D381" s="65"/>
      <c r="E381" s="65"/>
      <c r="F381" s="65"/>
      <c r="G381" s="6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65"/>
      <c r="W381" s="6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  <c r="AH381" s="91"/>
      <c r="AI381" s="85"/>
      <c r="AJ381" s="85"/>
    </row>
    <row r="382" ht="15.75" customHeight="1">
      <c r="A382" s="85"/>
      <c r="B382" s="65"/>
      <c r="C382" s="85"/>
      <c r="D382" s="65"/>
      <c r="E382" s="65"/>
      <c r="F382" s="65"/>
      <c r="G382" s="6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65"/>
      <c r="W382" s="65"/>
      <c r="X382" s="85"/>
      <c r="Y382" s="85"/>
      <c r="Z382" s="85"/>
      <c r="AA382" s="85"/>
      <c r="AB382" s="85"/>
      <c r="AC382" s="85"/>
      <c r="AD382" s="85"/>
      <c r="AE382" s="85"/>
      <c r="AF382" s="85"/>
      <c r="AG382" s="85"/>
      <c r="AH382" s="91"/>
      <c r="AI382" s="85"/>
      <c r="AJ382" s="85"/>
    </row>
    <row r="383" ht="15.75" customHeight="1">
      <c r="A383" s="85"/>
      <c r="B383" s="65"/>
      <c r="C383" s="85"/>
      <c r="D383" s="65"/>
      <c r="E383" s="65"/>
      <c r="F383" s="65"/>
      <c r="G383" s="6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65"/>
      <c r="W383" s="6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91"/>
      <c r="AI383" s="85"/>
      <c r="AJ383" s="85"/>
    </row>
    <row r="384" ht="15.75" customHeight="1">
      <c r="A384" s="85"/>
      <c r="B384" s="65"/>
      <c r="C384" s="85"/>
      <c r="D384" s="65"/>
      <c r="E384" s="65"/>
      <c r="F384" s="65"/>
      <c r="G384" s="6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65"/>
      <c r="W384" s="65"/>
      <c r="X384" s="85"/>
      <c r="Y384" s="85"/>
      <c r="Z384" s="85"/>
      <c r="AA384" s="85"/>
      <c r="AB384" s="85"/>
      <c r="AC384" s="85"/>
      <c r="AD384" s="85"/>
      <c r="AE384" s="85"/>
      <c r="AF384" s="85"/>
      <c r="AG384" s="85"/>
      <c r="AH384" s="91"/>
      <c r="AI384" s="85"/>
      <c r="AJ384" s="85"/>
    </row>
    <row r="385" ht="15.75" customHeight="1">
      <c r="A385" s="85"/>
      <c r="B385" s="65"/>
      <c r="C385" s="85"/>
      <c r="D385" s="65"/>
      <c r="E385" s="65"/>
      <c r="F385" s="65"/>
      <c r="G385" s="6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65"/>
      <c r="W385" s="65"/>
      <c r="X385" s="85"/>
      <c r="Y385" s="85"/>
      <c r="Z385" s="85"/>
      <c r="AA385" s="85"/>
      <c r="AB385" s="85"/>
      <c r="AC385" s="85"/>
      <c r="AD385" s="85"/>
      <c r="AE385" s="85"/>
      <c r="AF385" s="85"/>
      <c r="AG385" s="85"/>
      <c r="AH385" s="91"/>
      <c r="AI385" s="85"/>
      <c r="AJ385" s="85"/>
    </row>
    <row r="386" ht="15.75" customHeight="1">
      <c r="A386" s="85"/>
      <c r="B386" s="65"/>
      <c r="C386" s="85"/>
      <c r="D386" s="65"/>
      <c r="E386" s="65"/>
      <c r="F386" s="65"/>
      <c r="G386" s="6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65"/>
      <c r="W386" s="65"/>
      <c r="X386" s="85"/>
      <c r="Y386" s="85"/>
      <c r="Z386" s="85"/>
      <c r="AA386" s="85"/>
      <c r="AB386" s="85"/>
      <c r="AC386" s="85"/>
      <c r="AD386" s="85"/>
      <c r="AE386" s="85"/>
      <c r="AF386" s="85"/>
      <c r="AG386" s="85"/>
      <c r="AH386" s="91"/>
      <c r="AI386" s="85"/>
      <c r="AJ386" s="85"/>
    </row>
    <row r="387" ht="15.75" customHeight="1">
      <c r="A387" s="85"/>
      <c r="B387" s="65"/>
      <c r="C387" s="85"/>
      <c r="D387" s="65"/>
      <c r="E387" s="65"/>
      <c r="F387" s="65"/>
      <c r="G387" s="6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65"/>
      <c r="W387" s="6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  <c r="AH387" s="91"/>
      <c r="AI387" s="85"/>
      <c r="AJ387" s="85"/>
    </row>
    <row r="388" ht="15.75" customHeight="1">
      <c r="A388" s="85"/>
      <c r="B388" s="65"/>
      <c r="C388" s="85"/>
      <c r="D388" s="65"/>
      <c r="E388" s="65"/>
      <c r="F388" s="65"/>
      <c r="G388" s="6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65"/>
      <c r="W388" s="6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  <c r="AH388" s="91"/>
      <c r="AI388" s="85"/>
      <c r="AJ388" s="85"/>
    </row>
    <row r="389" ht="15.75" customHeight="1">
      <c r="A389" s="85"/>
      <c r="B389" s="65"/>
      <c r="C389" s="85"/>
      <c r="D389" s="65"/>
      <c r="E389" s="65"/>
      <c r="F389" s="65"/>
      <c r="G389" s="6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65"/>
      <c r="W389" s="65"/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  <c r="AH389" s="91"/>
      <c r="AI389" s="85"/>
      <c r="AJ389" s="85"/>
    </row>
    <row r="390" ht="15.75" customHeight="1">
      <c r="A390" s="85"/>
      <c r="B390" s="65"/>
      <c r="C390" s="85"/>
      <c r="D390" s="65"/>
      <c r="E390" s="65"/>
      <c r="F390" s="65"/>
      <c r="G390" s="6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65"/>
      <c r="W390" s="65"/>
      <c r="X390" s="85"/>
      <c r="Y390" s="85"/>
      <c r="Z390" s="85"/>
      <c r="AA390" s="85"/>
      <c r="AB390" s="85"/>
      <c r="AC390" s="85"/>
      <c r="AD390" s="85"/>
      <c r="AE390" s="85"/>
      <c r="AF390" s="85"/>
      <c r="AG390" s="85"/>
      <c r="AH390" s="91"/>
      <c r="AI390" s="85"/>
      <c r="AJ390" s="85"/>
    </row>
    <row r="391" ht="15.75" customHeight="1">
      <c r="A391" s="85"/>
      <c r="B391" s="65"/>
      <c r="C391" s="85"/>
      <c r="D391" s="65"/>
      <c r="E391" s="65"/>
      <c r="F391" s="65"/>
      <c r="G391" s="6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65"/>
      <c r="W391" s="6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91"/>
      <c r="AI391" s="85"/>
      <c r="AJ391" s="85"/>
    </row>
    <row r="392" ht="15.75" customHeight="1">
      <c r="A392" s="85"/>
      <c r="B392" s="65"/>
      <c r="C392" s="85"/>
      <c r="D392" s="65"/>
      <c r="E392" s="65"/>
      <c r="F392" s="65"/>
      <c r="G392" s="6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65"/>
      <c r="W392" s="65"/>
      <c r="X392" s="85"/>
      <c r="Y392" s="85"/>
      <c r="Z392" s="85"/>
      <c r="AA392" s="85"/>
      <c r="AB392" s="85"/>
      <c r="AC392" s="85"/>
      <c r="AD392" s="85"/>
      <c r="AE392" s="85"/>
      <c r="AF392" s="85"/>
      <c r="AG392" s="85"/>
      <c r="AH392" s="91"/>
      <c r="AI392" s="85"/>
      <c r="AJ392" s="85"/>
    </row>
    <row r="393" ht="15.75" customHeight="1">
      <c r="A393" s="85"/>
      <c r="B393" s="65"/>
      <c r="C393" s="85"/>
      <c r="D393" s="65"/>
      <c r="E393" s="65"/>
      <c r="F393" s="65"/>
      <c r="G393" s="6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65"/>
      <c r="W393" s="65"/>
      <c r="X393" s="85"/>
      <c r="Y393" s="85"/>
      <c r="Z393" s="85"/>
      <c r="AA393" s="85"/>
      <c r="AB393" s="85"/>
      <c r="AC393" s="85"/>
      <c r="AD393" s="85"/>
      <c r="AE393" s="85"/>
      <c r="AF393" s="85"/>
      <c r="AG393" s="85"/>
      <c r="AH393" s="91"/>
      <c r="AI393" s="85"/>
      <c r="AJ393" s="85"/>
    </row>
    <row r="394" ht="15.75" customHeight="1">
      <c r="A394" s="85"/>
      <c r="B394" s="65"/>
      <c r="C394" s="85"/>
      <c r="D394" s="65"/>
      <c r="E394" s="65"/>
      <c r="F394" s="65"/>
      <c r="G394" s="6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65"/>
      <c r="W394" s="65"/>
      <c r="X394" s="85"/>
      <c r="Y394" s="85"/>
      <c r="Z394" s="85"/>
      <c r="AA394" s="85"/>
      <c r="AB394" s="85"/>
      <c r="AC394" s="85"/>
      <c r="AD394" s="85"/>
      <c r="AE394" s="85"/>
      <c r="AF394" s="85"/>
      <c r="AG394" s="85"/>
      <c r="AH394" s="91"/>
      <c r="AI394" s="85"/>
      <c r="AJ394" s="85"/>
    </row>
    <row r="395" ht="15.75" customHeight="1">
      <c r="A395" s="85"/>
      <c r="B395" s="65"/>
      <c r="C395" s="85"/>
      <c r="D395" s="65"/>
      <c r="E395" s="65"/>
      <c r="F395" s="65"/>
      <c r="G395" s="6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65"/>
      <c r="W395" s="65"/>
      <c r="X395" s="85"/>
      <c r="Y395" s="85"/>
      <c r="Z395" s="85"/>
      <c r="AA395" s="85"/>
      <c r="AB395" s="85"/>
      <c r="AC395" s="85"/>
      <c r="AD395" s="85"/>
      <c r="AE395" s="85"/>
      <c r="AF395" s="85"/>
      <c r="AG395" s="85"/>
      <c r="AH395" s="91"/>
      <c r="AI395" s="85"/>
      <c r="AJ395" s="85"/>
    </row>
    <row r="396" ht="15.75" customHeight="1">
      <c r="A396" s="85"/>
      <c r="B396" s="65"/>
      <c r="C396" s="85"/>
      <c r="D396" s="65"/>
      <c r="E396" s="65"/>
      <c r="F396" s="65"/>
      <c r="G396" s="6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65"/>
      <c r="W396" s="65"/>
      <c r="X396" s="85"/>
      <c r="Y396" s="85"/>
      <c r="Z396" s="85"/>
      <c r="AA396" s="85"/>
      <c r="AB396" s="85"/>
      <c r="AC396" s="85"/>
      <c r="AD396" s="85"/>
      <c r="AE396" s="85"/>
      <c r="AF396" s="85"/>
      <c r="AG396" s="85"/>
      <c r="AH396" s="91"/>
      <c r="AI396" s="85"/>
      <c r="AJ396" s="85"/>
    </row>
    <row r="397" ht="15.75" customHeight="1">
      <c r="A397" s="85"/>
      <c r="B397" s="65"/>
      <c r="C397" s="85"/>
      <c r="D397" s="65"/>
      <c r="E397" s="65"/>
      <c r="F397" s="65"/>
      <c r="G397" s="6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65"/>
      <c r="W397" s="65"/>
      <c r="X397" s="85"/>
      <c r="Y397" s="85"/>
      <c r="Z397" s="85"/>
      <c r="AA397" s="85"/>
      <c r="AB397" s="85"/>
      <c r="AC397" s="85"/>
      <c r="AD397" s="85"/>
      <c r="AE397" s="85"/>
      <c r="AF397" s="85"/>
      <c r="AG397" s="85"/>
      <c r="AH397" s="91"/>
      <c r="AI397" s="85"/>
      <c r="AJ397" s="85"/>
    </row>
    <row r="398" ht="15.75" customHeight="1">
      <c r="A398" s="85"/>
      <c r="B398" s="65"/>
      <c r="C398" s="85"/>
      <c r="D398" s="65"/>
      <c r="E398" s="65"/>
      <c r="F398" s="65"/>
      <c r="G398" s="6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65"/>
      <c r="W398" s="65"/>
      <c r="X398" s="85"/>
      <c r="Y398" s="85"/>
      <c r="Z398" s="85"/>
      <c r="AA398" s="85"/>
      <c r="AB398" s="85"/>
      <c r="AC398" s="85"/>
      <c r="AD398" s="85"/>
      <c r="AE398" s="85"/>
      <c r="AF398" s="85"/>
      <c r="AG398" s="85"/>
      <c r="AH398" s="91"/>
      <c r="AI398" s="85"/>
      <c r="AJ398" s="85"/>
    </row>
    <row r="399" ht="15.75" customHeight="1">
      <c r="A399" s="85"/>
      <c r="B399" s="65"/>
      <c r="C399" s="85"/>
      <c r="D399" s="65"/>
      <c r="E399" s="65"/>
      <c r="F399" s="65"/>
      <c r="G399" s="6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65"/>
      <c r="W399" s="65"/>
      <c r="X399" s="85"/>
      <c r="Y399" s="85"/>
      <c r="Z399" s="85"/>
      <c r="AA399" s="85"/>
      <c r="AB399" s="85"/>
      <c r="AC399" s="85"/>
      <c r="AD399" s="85"/>
      <c r="AE399" s="85"/>
      <c r="AF399" s="85"/>
      <c r="AG399" s="85"/>
      <c r="AH399" s="91"/>
      <c r="AI399" s="85"/>
      <c r="AJ399" s="85"/>
    </row>
    <row r="400" ht="15.75" customHeight="1">
      <c r="A400" s="85"/>
      <c r="B400" s="65"/>
      <c r="C400" s="85"/>
      <c r="D400" s="65"/>
      <c r="E400" s="65"/>
      <c r="F400" s="65"/>
      <c r="G400" s="6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65"/>
      <c r="W400" s="65"/>
      <c r="X400" s="85"/>
      <c r="Y400" s="85"/>
      <c r="Z400" s="85"/>
      <c r="AA400" s="85"/>
      <c r="AB400" s="85"/>
      <c r="AC400" s="85"/>
      <c r="AD400" s="85"/>
      <c r="AE400" s="85"/>
      <c r="AF400" s="85"/>
      <c r="AG400" s="85"/>
      <c r="AH400" s="91"/>
      <c r="AI400" s="85"/>
      <c r="AJ400" s="85"/>
    </row>
    <row r="401" ht="15.75" customHeight="1">
      <c r="A401" s="85"/>
      <c r="B401" s="65"/>
      <c r="C401" s="85"/>
      <c r="D401" s="65"/>
      <c r="E401" s="65"/>
      <c r="F401" s="65"/>
      <c r="G401" s="6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65"/>
      <c r="W401" s="65"/>
      <c r="X401" s="85"/>
      <c r="Y401" s="85"/>
      <c r="Z401" s="85"/>
      <c r="AA401" s="85"/>
      <c r="AB401" s="85"/>
      <c r="AC401" s="85"/>
      <c r="AD401" s="85"/>
      <c r="AE401" s="85"/>
      <c r="AF401" s="85"/>
      <c r="AG401" s="85"/>
      <c r="AH401" s="91"/>
      <c r="AI401" s="85"/>
      <c r="AJ401" s="85"/>
    </row>
    <row r="402" ht="15.75" customHeight="1">
      <c r="A402" s="85"/>
      <c r="B402" s="65"/>
      <c r="C402" s="85"/>
      <c r="D402" s="65"/>
      <c r="E402" s="65"/>
      <c r="F402" s="65"/>
      <c r="G402" s="6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65"/>
      <c r="W402" s="65"/>
      <c r="X402" s="85"/>
      <c r="Y402" s="85"/>
      <c r="Z402" s="85"/>
      <c r="AA402" s="85"/>
      <c r="AB402" s="85"/>
      <c r="AC402" s="85"/>
      <c r="AD402" s="85"/>
      <c r="AE402" s="85"/>
      <c r="AF402" s="85"/>
      <c r="AG402" s="85"/>
      <c r="AH402" s="91"/>
      <c r="AI402" s="85"/>
      <c r="AJ402" s="85"/>
    </row>
    <row r="403" ht="15.75" customHeight="1">
      <c r="A403" s="85"/>
      <c r="B403" s="65"/>
      <c r="C403" s="85"/>
      <c r="D403" s="65"/>
      <c r="E403" s="65"/>
      <c r="F403" s="65"/>
      <c r="G403" s="6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65"/>
      <c r="W403" s="65"/>
      <c r="X403" s="85"/>
      <c r="Y403" s="85"/>
      <c r="Z403" s="85"/>
      <c r="AA403" s="85"/>
      <c r="AB403" s="85"/>
      <c r="AC403" s="85"/>
      <c r="AD403" s="85"/>
      <c r="AE403" s="85"/>
      <c r="AF403" s="85"/>
      <c r="AG403" s="85"/>
      <c r="AH403" s="91"/>
      <c r="AI403" s="85"/>
      <c r="AJ403" s="85"/>
    </row>
    <row r="404" ht="15.75" customHeight="1">
      <c r="A404" s="85"/>
      <c r="B404" s="65"/>
      <c r="C404" s="85"/>
      <c r="D404" s="65"/>
      <c r="E404" s="65"/>
      <c r="F404" s="65"/>
      <c r="G404" s="6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65"/>
      <c r="W404" s="65"/>
      <c r="X404" s="85"/>
      <c r="Y404" s="85"/>
      <c r="Z404" s="85"/>
      <c r="AA404" s="85"/>
      <c r="AB404" s="85"/>
      <c r="AC404" s="85"/>
      <c r="AD404" s="85"/>
      <c r="AE404" s="85"/>
      <c r="AF404" s="85"/>
      <c r="AG404" s="85"/>
      <c r="AH404" s="91"/>
      <c r="AI404" s="85"/>
      <c r="AJ404" s="85"/>
    </row>
    <row r="405" ht="15.75" customHeight="1">
      <c r="A405" s="85"/>
      <c r="B405" s="65"/>
      <c r="C405" s="85"/>
      <c r="D405" s="65"/>
      <c r="E405" s="65"/>
      <c r="F405" s="65"/>
      <c r="G405" s="6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65"/>
      <c r="W405" s="65"/>
      <c r="X405" s="85"/>
      <c r="Y405" s="85"/>
      <c r="Z405" s="85"/>
      <c r="AA405" s="85"/>
      <c r="AB405" s="85"/>
      <c r="AC405" s="85"/>
      <c r="AD405" s="85"/>
      <c r="AE405" s="85"/>
      <c r="AF405" s="85"/>
      <c r="AG405" s="85"/>
      <c r="AH405" s="91"/>
      <c r="AI405" s="85"/>
      <c r="AJ405" s="85"/>
    </row>
    <row r="406" ht="15.75" customHeight="1">
      <c r="A406" s="85"/>
      <c r="B406" s="65"/>
      <c r="C406" s="85"/>
      <c r="D406" s="65"/>
      <c r="E406" s="65"/>
      <c r="F406" s="65"/>
      <c r="G406" s="6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65"/>
      <c r="W406" s="65"/>
      <c r="X406" s="85"/>
      <c r="Y406" s="85"/>
      <c r="Z406" s="85"/>
      <c r="AA406" s="85"/>
      <c r="AB406" s="85"/>
      <c r="AC406" s="85"/>
      <c r="AD406" s="85"/>
      <c r="AE406" s="85"/>
      <c r="AF406" s="85"/>
      <c r="AG406" s="85"/>
      <c r="AH406" s="91"/>
      <c r="AI406" s="85"/>
      <c r="AJ406" s="85"/>
    </row>
    <row r="407" ht="15.75" customHeight="1">
      <c r="A407" s="85"/>
      <c r="B407" s="65"/>
      <c r="C407" s="85"/>
      <c r="D407" s="65"/>
      <c r="E407" s="65"/>
      <c r="F407" s="65"/>
      <c r="G407" s="6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65"/>
      <c r="W407" s="65"/>
      <c r="X407" s="85"/>
      <c r="Y407" s="85"/>
      <c r="Z407" s="85"/>
      <c r="AA407" s="85"/>
      <c r="AB407" s="85"/>
      <c r="AC407" s="85"/>
      <c r="AD407" s="85"/>
      <c r="AE407" s="85"/>
      <c r="AF407" s="85"/>
      <c r="AG407" s="85"/>
      <c r="AH407" s="91"/>
      <c r="AI407" s="85"/>
      <c r="AJ407" s="85"/>
    </row>
    <row r="408" ht="15.75" customHeight="1">
      <c r="A408" s="85"/>
      <c r="B408" s="65"/>
      <c r="C408" s="85"/>
      <c r="D408" s="65"/>
      <c r="E408" s="65"/>
      <c r="F408" s="65"/>
      <c r="G408" s="6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65"/>
      <c r="W408" s="65"/>
      <c r="X408" s="85"/>
      <c r="Y408" s="85"/>
      <c r="Z408" s="85"/>
      <c r="AA408" s="85"/>
      <c r="AB408" s="85"/>
      <c r="AC408" s="85"/>
      <c r="AD408" s="85"/>
      <c r="AE408" s="85"/>
      <c r="AF408" s="85"/>
      <c r="AG408" s="85"/>
      <c r="AH408" s="91"/>
      <c r="AI408" s="85"/>
      <c r="AJ408" s="85"/>
    </row>
    <row r="409" ht="15.75" customHeight="1">
      <c r="A409" s="85"/>
      <c r="B409" s="65"/>
      <c r="C409" s="85"/>
      <c r="D409" s="65"/>
      <c r="E409" s="65"/>
      <c r="F409" s="65"/>
      <c r="G409" s="6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65"/>
      <c r="W409" s="65"/>
      <c r="X409" s="85"/>
      <c r="Y409" s="85"/>
      <c r="Z409" s="85"/>
      <c r="AA409" s="85"/>
      <c r="AB409" s="85"/>
      <c r="AC409" s="85"/>
      <c r="AD409" s="85"/>
      <c r="AE409" s="85"/>
      <c r="AF409" s="85"/>
      <c r="AG409" s="85"/>
      <c r="AH409" s="91"/>
      <c r="AI409" s="85"/>
      <c r="AJ409" s="85"/>
    </row>
    <row r="410" ht="15.75" customHeight="1">
      <c r="A410" s="85"/>
      <c r="B410" s="65"/>
      <c r="C410" s="85"/>
      <c r="D410" s="65"/>
      <c r="E410" s="65"/>
      <c r="F410" s="65"/>
      <c r="G410" s="6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65"/>
      <c r="W410" s="65"/>
      <c r="X410" s="85"/>
      <c r="Y410" s="85"/>
      <c r="Z410" s="85"/>
      <c r="AA410" s="85"/>
      <c r="AB410" s="85"/>
      <c r="AC410" s="85"/>
      <c r="AD410" s="85"/>
      <c r="AE410" s="85"/>
      <c r="AF410" s="85"/>
      <c r="AG410" s="85"/>
      <c r="AH410" s="91"/>
      <c r="AI410" s="85"/>
      <c r="AJ410" s="85"/>
    </row>
    <row r="411" ht="15.75" customHeight="1">
      <c r="A411" s="85"/>
      <c r="B411" s="65"/>
      <c r="C411" s="85"/>
      <c r="D411" s="65"/>
      <c r="E411" s="65"/>
      <c r="F411" s="65"/>
      <c r="G411" s="6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65"/>
      <c r="W411" s="65"/>
      <c r="X411" s="85"/>
      <c r="Y411" s="85"/>
      <c r="Z411" s="85"/>
      <c r="AA411" s="85"/>
      <c r="AB411" s="85"/>
      <c r="AC411" s="85"/>
      <c r="AD411" s="85"/>
      <c r="AE411" s="85"/>
      <c r="AF411" s="85"/>
      <c r="AG411" s="85"/>
      <c r="AH411" s="91"/>
      <c r="AI411" s="85"/>
      <c r="AJ411" s="85"/>
    </row>
    <row r="412" ht="15.75" customHeight="1">
      <c r="A412" s="85"/>
      <c r="B412" s="65"/>
      <c r="C412" s="85"/>
      <c r="D412" s="65"/>
      <c r="E412" s="65"/>
      <c r="F412" s="65"/>
      <c r="G412" s="6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65"/>
      <c r="W412" s="65"/>
      <c r="X412" s="85"/>
      <c r="Y412" s="85"/>
      <c r="Z412" s="85"/>
      <c r="AA412" s="85"/>
      <c r="AB412" s="85"/>
      <c r="AC412" s="85"/>
      <c r="AD412" s="85"/>
      <c r="AE412" s="85"/>
      <c r="AF412" s="85"/>
      <c r="AG412" s="85"/>
      <c r="AH412" s="91"/>
      <c r="AI412" s="85"/>
      <c r="AJ412" s="85"/>
    </row>
    <row r="413" ht="15.75" customHeight="1">
      <c r="A413" s="85"/>
      <c r="B413" s="65"/>
      <c r="C413" s="85"/>
      <c r="D413" s="65"/>
      <c r="E413" s="65"/>
      <c r="F413" s="65"/>
      <c r="G413" s="6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65"/>
      <c r="W413" s="65"/>
      <c r="X413" s="85"/>
      <c r="Y413" s="85"/>
      <c r="Z413" s="85"/>
      <c r="AA413" s="85"/>
      <c r="AB413" s="85"/>
      <c r="AC413" s="85"/>
      <c r="AD413" s="85"/>
      <c r="AE413" s="85"/>
      <c r="AF413" s="85"/>
      <c r="AG413" s="85"/>
      <c r="AH413" s="91"/>
      <c r="AI413" s="85"/>
      <c r="AJ413" s="85"/>
    </row>
    <row r="414" ht="15.75" customHeight="1">
      <c r="A414" s="85"/>
      <c r="B414" s="65"/>
      <c r="C414" s="85"/>
      <c r="D414" s="65"/>
      <c r="E414" s="65"/>
      <c r="F414" s="65"/>
      <c r="G414" s="6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65"/>
      <c r="W414" s="65"/>
      <c r="X414" s="85"/>
      <c r="Y414" s="85"/>
      <c r="Z414" s="85"/>
      <c r="AA414" s="85"/>
      <c r="AB414" s="85"/>
      <c r="AC414" s="85"/>
      <c r="AD414" s="85"/>
      <c r="AE414" s="85"/>
      <c r="AF414" s="85"/>
      <c r="AG414" s="85"/>
      <c r="AH414" s="91"/>
      <c r="AI414" s="85"/>
      <c r="AJ414" s="85"/>
    </row>
    <row r="415" ht="15.75" customHeight="1">
      <c r="A415" s="85"/>
      <c r="B415" s="65"/>
      <c r="C415" s="85"/>
      <c r="D415" s="65"/>
      <c r="E415" s="65"/>
      <c r="F415" s="65"/>
      <c r="G415" s="6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65"/>
      <c r="W415" s="65"/>
      <c r="X415" s="85"/>
      <c r="Y415" s="85"/>
      <c r="Z415" s="85"/>
      <c r="AA415" s="85"/>
      <c r="AB415" s="85"/>
      <c r="AC415" s="85"/>
      <c r="AD415" s="85"/>
      <c r="AE415" s="85"/>
      <c r="AF415" s="85"/>
      <c r="AG415" s="85"/>
      <c r="AH415" s="91"/>
      <c r="AI415" s="85"/>
      <c r="AJ415" s="85"/>
    </row>
    <row r="416" ht="15.75" customHeight="1">
      <c r="A416" s="85"/>
      <c r="B416" s="65"/>
      <c r="C416" s="85"/>
      <c r="D416" s="65"/>
      <c r="E416" s="65"/>
      <c r="F416" s="65"/>
      <c r="G416" s="6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65"/>
      <c r="W416" s="65"/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  <c r="AH416" s="91"/>
      <c r="AI416" s="85"/>
      <c r="AJ416" s="85"/>
    </row>
    <row r="417" ht="15.75" customHeight="1">
      <c r="A417" s="85"/>
      <c r="B417" s="65"/>
      <c r="C417" s="85"/>
      <c r="D417" s="65"/>
      <c r="E417" s="65"/>
      <c r="F417" s="65"/>
      <c r="G417" s="6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65"/>
      <c r="W417" s="65"/>
      <c r="X417" s="85"/>
      <c r="Y417" s="85"/>
      <c r="Z417" s="85"/>
      <c r="AA417" s="85"/>
      <c r="AB417" s="85"/>
      <c r="AC417" s="85"/>
      <c r="AD417" s="85"/>
      <c r="AE417" s="85"/>
      <c r="AF417" s="85"/>
      <c r="AG417" s="85"/>
      <c r="AH417" s="91"/>
      <c r="AI417" s="85"/>
      <c r="AJ417" s="85"/>
    </row>
    <row r="418" ht="15.75" customHeight="1">
      <c r="A418" s="85"/>
      <c r="B418" s="65"/>
      <c r="C418" s="85"/>
      <c r="D418" s="65"/>
      <c r="E418" s="65"/>
      <c r="F418" s="65"/>
      <c r="G418" s="6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65"/>
      <c r="W418" s="65"/>
      <c r="X418" s="85"/>
      <c r="Y418" s="85"/>
      <c r="Z418" s="85"/>
      <c r="AA418" s="85"/>
      <c r="AB418" s="85"/>
      <c r="AC418" s="85"/>
      <c r="AD418" s="85"/>
      <c r="AE418" s="85"/>
      <c r="AF418" s="85"/>
      <c r="AG418" s="85"/>
      <c r="AH418" s="91"/>
      <c r="AI418" s="85"/>
      <c r="AJ418" s="85"/>
    </row>
    <row r="419" ht="15.75" customHeight="1">
      <c r="A419" s="85"/>
      <c r="B419" s="65"/>
      <c r="C419" s="85"/>
      <c r="D419" s="65"/>
      <c r="E419" s="65"/>
      <c r="F419" s="65"/>
      <c r="G419" s="6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65"/>
      <c r="W419" s="65"/>
      <c r="X419" s="85"/>
      <c r="Y419" s="85"/>
      <c r="Z419" s="85"/>
      <c r="AA419" s="85"/>
      <c r="AB419" s="85"/>
      <c r="AC419" s="85"/>
      <c r="AD419" s="85"/>
      <c r="AE419" s="85"/>
      <c r="AF419" s="85"/>
      <c r="AG419" s="85"/>
      <c r="AH419" s="91"/>
      <c r="AI419" s="85"/>
      <c r="AJ419" s="85"/>
    </row>
    <row r="420" ht="15.75" customHeight="1">
      <c r="A420" s="85"/>
      <c r="B420" s="65"/>
      <c r="C420" s="85"/>
      <c r="D420" s="65"/>
      <c r="E420" s="65"/>
      <c r="F420" s="65"/>
      <c r="G420" s="6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65"/>
      <c r="W420" s="65"/>
      <c r="X420" s="85"/>
      <c r="Y420" s="85"/>
      <c r="Z420" s="85"/>
      <c r="AA420" s="85"/>
      <c r="AB420" s="85"/>
      <c r="AC420" s="85"/>
      <c r="AD420" s="85"/>
      <c r="AE420" s="85"/>
      <c r="AF420" s="85"/>
      <c r="AG420" s="85"/>
      <c r="AH420" s="91"/>
      <c r="AI420" s="85"/>
      <c r="AJ420" s="85"/>
    </row>
    <row r="421" ht="15.75" customHeight="1">
      <c r="A421" s="85"/>
      <c r="B421" s="65"/>
      <c r="C421" s="85"/>
      <c r="D421" s="65"/>
      <c r="E421" s="65"/>
      <c r="F421" s="65"/>
      <c r="G421" s="6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65"/>
      <c r="W421" s="6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91"/>
      <c r="AI421" s="85"/>
      <c r="AJ421" s="85"/>
    </row>
    <row r="422" ht="15.75" customHeight="1">
      <c r="A422" s="85"/>
      <c r="B422" s="65"/>
      <c r="C422" s="85"/>
      <c r="D422" s="65"/>
      <c r="E422" s="65"/>
      <c r="F422" s="65"/>
      <c r="G422" s="6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65"/>
      <c r="W422" s="65"/>
      <c r="X422" s="85"/>
      <c r="Y422" s="85"/>
      <c r="Z422" s="85"/>
      <c r="AA422" s="85"/>
      <c r="AB422" s="85"/>
      <c r="AC422" s="85"/>
      <c r="AD422" s="85"/>
      <c r="AE422" s="85"/>
      <c r="AF422" s="85"/>
      <c r="AG422" s="85"/>
      <c r="AH422" s="91"/>
      <c r="AI422" s="85"/>
      <c r="AJ422" s="85"/>
    </row>
    <row r="423" ht="15.75" customHeight="1">
      <c r="A423" s="85"/>
      <c r="B423" s="65"/>
      <c r="C423" s="85"/>
      <c r="D423" s="65"/>
      <c r="E423" s="65"/>
      <c r="F423" s="65"/>
      <c r="G423" s="6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65"/>
      <c r="W423" s="65"/>
      <c r="X423" s="85"/>
      <c r="Y423" s="85"/>
      <c r="Z423" s="85"/>
      <c r="AA423" s="85"/>
      <c r="AB423" s="85"/>
      <c r="AC423" s="85"/>
      <c r="AD423" s="85"/>
      <c r="AE423" s="85"/>
      <c r="AF423" s="85"/>
      <c r="AG423" s="85"/>
      <c r="AH423" s="91"/>
      <c r="AI423" s="85"/>
      <c r="AJ423" s="85"/>
    </row>
    <row r="424" ht="15.75" customHeight="1">
      <c r="A424" s="85"/>
      <c r="B424" s="65"/>
      <c r="C424" s="85"/>
      <c r="D424" s="65"/>
      <c r="E424" s="65"/>
      <c r="F424" s="65"/>
      <c r="G424" s="6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65"/>
      <c r="W424" s="65"/>
      <c r="X424" s="85"/>
      <c r="Y424" s="85"/>
      <c r="Z424" s="85"/>
      <c r="AA424" s="85"/>
      <c r="AB424" s="85"/>
      <c r="AC424" s="85"/>
      <c r="AD424" s="85"/>
      <c r="AE424" s="85"/>
      <c r="AF424" s="85"/>
      <c r="AG424" s="85"/>
      <c r="AH424" s="91"/>
      <c r="AI424" s="85"/>
      <c r="AJ424" s="85"/>
    </row>
    <row r="425" ht="15.75" customHeight="1">
      <c r="A425" s="85"/>
      <c r="B425" s="65"/>
      <c r="C425" s="85"/>
      <c r="D425" s="65"/>
      <c r="E425" s="65"/>
      <c r="F425" s="65"/>
      <c r="G425" s="6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65"/>
      <c r="W425" s="65"/>
      <c r="X425" s="85"/>
      <c r="Y425" s="85"/>
      <c r="Z425" s="85"/>
      <c r="AA425" s="85"/>
      <c r="AB425" s="85"/>
      <c r="AC425" s="85"/>
      <c r="AD425" s="85"/>
      <c r="AE425" s="85"/>
      <c r="AF425" s="85"/>
      <c r="AG425" s="85"/>
      <c r="AH425" s="91"/>
      <c r="AI425" s="85"/>
      <c r="AJ425" s="85"/>
    </row>
    <row r="426" ht="15.75" customHeight="1">
      <c r="A426" s="85"/>
      <c r="B426" s="65"/>
      <c r="C426" s="85"/>
      <c r="D426" s="65"/>
      <c r="E426" s="65"/>
      <c r="F426" s="65"/>
      <c r="G426" s="6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65"/>
      <c r="W426" s="65"/>
      <c r="X426" s="85"/>
      <c r="Y426" s="85"/>
      <c r="Z426" s="85"/>
      <c r="AA426" s="85"/>
      <c r="AB426" s="85"/>
      <c r="AC426" s="85"/>
      <c r="AD426" s="85"/>
      <c r="AE426" s="85"/>
      <c r="AF426" s="85"/>
      <c r="AG426" s="85"/>
      <c r="AH426" s="91"/>
      <c r="AI426" s="85"/>
      <c r="AJ426" s="85"/>
    </row>
    <row r="427" ht="15.75" customHeight="1">
      <c r="A427" s="85"/>
      <c r="B427" s="65"/>
      <c r="C427" s="85"/>
      <c r="D427" s="65"/>
      <c r="E427" s="65"/>
      <c r="F427" s="65"/>
      <c r="G427" s="6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65"/>
      <c r="W427" s="65"/>
      <c r="X427" s="85"/>
      <c r="Y427" s="85"/>
      <c r="Z427" s="85"/>
      <c r="AA427" s="85"/>
      <c r="AB427" s="85"/>
      <c r="AC427" s="85"/>
      <c r="AD427" s="85"/>
      <c r="AE427" s="85"/>
      <c r="AF427" s="85"/>
      <c r="AG427" s="85"/>
      <c r="AH427" s="91"/>
      <c r="AI427" s="85"/>
      <c r="AJ427" s="85"/>
    </row>
    <row r="428" ht="15.75" customHeight="1">
      <c r="A428" s="85"/>
      <c r="B428" s="65"/>
      <c r="C428" s="85"/>
      <c r="D428" s="65"/>
      <c r="E428" s="65"/>
      <c r="F428" s="65"/>
      <c r="G428" s="6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65"/>
      <c r="W428" s="65"/>
      <c r="X428" s="85"/>
      <c r="Y428" s="85"/>
      <c r="Z428" s="85"/>
      <c r="AA428" s="85"/>
      <c r="AB428" s="85"/>
      <c r="AC428" s="85"/>
      <c r="AD428" s="85"/>
      <c r="AE428" s="85"/>
      <c r="AF428" s="85"/>
      <c r="AG428" s="85"/>
      <c r="AH428" s="91"/>
      <c r="AI428" s="85"/>
      <c r="AJ428" s="83" t="s">
        <v>4872</v>
      </c>
    </row>
    <row r="429" ht="15.75" customHeight="1">
      <c r="A429" s="85"/>
      <c r="B429" s="65"/>
      <c r="C429" s="85"/>
      <c r="D429" s="65"/>
      <c r="E429" s="65"/>
      <c r="F429" s="65"/>
      <c r="G429" s="6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65"/>
      <c r="W429" s="65"/>
      <c r="X429" s="85"/>
      <c r="Y429" s="85"/>
      <c r="Z429" s="85"/>
      <c r="AA429" s="85"/>
      <c r="AB429" s="85"/>
      <c r="AC429" s="85"/>
      <c r="AD429" s="85"/>
      <c r="AE429" s="85"/>
      <c r="AF429" s="85"/>
      <c r="AG429" s="85"/>
      <c r="AH429" s="91"/>
      <c r="AI429" s="85"/>
      <c r="AJ429" s="85"/>
    </row>
    <row r="430" ht="15.75" customHeight="1">
      <c r="A430" s="85"/>
      <c r="B430" s="65"/>
      <c r="C430" s="85"/>
      <c r="D430" s="65"/>
      <c r="E430" s="65"/>
      <c r="F430" s="65"/>
      <c r="G430" s="6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65"/>
      <c r="W430" s="65"/>
      <c r="X430" s="85"/>
      <c r="Y430" s="85"/>
      <c r="Z430" s="85"/>
      <c r="AA430" s="85"/>
      <c r="AB430" s="85"/>
      <c r="AC430" s="85"/>
      <c r="AD430" s="85"/>
      <c r="AE430" s="85"/>
      <c r="AF430" s="85"/>
      <c r="AG430" s="85"/>
      <c r="AH430" s="91"/>
      <c r="AI430" s="85"/>
      <c r="AJ430" s="85"/>
    </row>
    <row r="431" ht="15.75" customHeight="1">
      <c r="A431" s="85"/>
      <c r="B431" s="65"/>
      <c r="C431" s="85"/>
      <c r="D431" s="65"/>
      <c r="E431" s="65"/>
      <c r="F431" s="65"/>
      <c r="G431" s="6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65"/>
      <c r="W431" s="65"/>
      <c r="X431" s="85"/>
      <c r="Y431" s="85"/>
      <c r="Z431" s="85"/>
      <c r="AA431" s="85"/>
      <c r="AB431" s="85"/>
      <c r="AC431" s="85"/>
      <c r="AD431" s="85"/>
      <c r="AE431" s="85"/>
      <c r="AF431" s="85"/>
      <c r="AG431" s="85"/>
      <c r="AH431" s="91"/>
      <c r="AI431" s="85"/>
      <c r="AJ431" s="85"/>
    </row>
    <row r="432" ht="15.75" customHeight="1">
      <c r="A432" s="85"/>
      <c r="B432" s="65"/>
      <c r="C432" s="85"/>
      <c r="D432" s="65"/>
      <c r="E432" s="65"/>
      <c r="F432" s="65"/>
      <c r="G432" s="6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65"/>
      <c r="W432" s="65"/>
      <c r="X432" s="85"/>
      <c r="Y432" s="85"/>
      <c r="Z432" s="85"/>
      <c r="AA432" s="85"/>
      <c r="AB432" s="85"/>
      <c r="AC432" s="85"/>
      <c r="AD432" s="85"/>
      <c r="AE432" s="85"/>
      <c r="AF432" s="85"/>
      <c r="AG432" s="85"/>
      <c r="AH432" s="91"/>
      <c r="AI432" s="85"/>
      <c r="AJ432" s="85"/>
    </row>
    <row r="433" ht="15.75" customHeight="1">
      <c r="A433" s="85"/>
      <c r="B433" s="65"/>
      <c r="C433" s="85"/>
      <c r="D433" s="65"/>
      <c r="E433" s="65"/>
      <c r="F433" s="65"/>
      <c r="G433" s="6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65"/>
      <c r="W433" s="65"/>
      <c r="X433" s="85"/>
      <c r="Y433" s="85"/>
      <c r="Z433" s="85"/>
      <c r="AA433" s="85"/>
      <c r="AB433" s="85"/>
      <c r="AC433" s="85"/>
      <c r="AD433" s="85"/>
      <c r="AE433" s="85"/>
      <c r="AF433" s="85"/>
      <c r="AG433" s="85"/>
      <c r="AH433" s="91"/>
      <c r="AI433" s="85"/>
      <c r="AJ433" s="85"/>
    </row>
    <row r="434" ht="15.75" customHeight="1">
      <c r="A434" s="85"/>
      <c r="B434" s="65"/>
      <c r="C434" s="85"/>
      <c r="D434" s="65"/>
      <c r="E434" s="65"/>
      <c r="F434" s="65"/>
      <c r="G434" s="6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65"/>
      <c r="W434" s="65"/>
      <c r="X434" s="85"/>
      <c r="Y434" s="85"/>
      <c r="Z434" s="85"/>
      <c r="AA434" s="85"/>
      <c r="AB434" s="85"/>
      <c r="AC434" s="85"/>
      <c r="AD434" s="85"/>
      <c r="AE434" s="85"/>
      <c r="AF434" s="85"/>
      <c r="AG434" s="85"/>
      <c r="AH434" s="91"/>
      <c r="AI434" s="85"/>
      <c r="AJ434" s="85"/>
    </row>
    <row r="435" ht="15.75" customHeight="1">
      <c r="A435" s="85"/>
      <c r="B435" s="65"/>
      <c r="C435" s="85"/>
      <c r="D435" s="65"/>
      <c r="E435" s="65"/>
      <c r="F435" s="65"/>
      <c r="G435" s="6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65"/>
      <c r="W435" s="6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  <c r="AH435" s="91"/>
      <c r="AI435" s="85"/>
      <c r="AJ435" s="85"/>
    </row>
    <row r="436" ht="15.75" customHeight="1">
      <c r="A436" s="85"/>
      <c r="B436" s="65"/>
      <c r="C436" s="85"/>
      <c r="D436" s="65"/>
      <c r="E436" s="65"/>
      <c r="F436" s="65"/>
      <c r="G436" s="6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65"/>
      <c r="W436" s="65"/>
      <c r="X436" s="85"/>
      <c r="Y436" s="85"/>
      <c r="Z436" s="85"/>
      <c r="AA436" s="85"/>
      <c r="AB436" s="85"/>
      <c r="AC436" s="85"/>
      <c r="AD436" s="85"/>
      <c r="AE436" s="85"/>
      <c r="AF436" s="85"/>
      <c r="AG436" s="85"/>
      <c r="AH436" s="91"/>
      <c r="AI436" s="85"/>
      <c r="AJ436" s="85"/>
    </row>
    <row r="437" ht="15.75" customHeight="1">
      <c r="A437" s="85"/>
      <c r="B437" s="65"/>
      <c r="C437" s="85"/>
      <c r="D437" s="65"/>
      <c r="E437" s="65"/>
      <c r="F437" s="65"/>
      <c r="G437" s="6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65"/>
      <c r="W437" s="65"/>
      <c r="X437" s="85"/>
      <c r="Y437" s="85"/>
      <c r="Z437" s="85"/>
      <c r="AA437" s="85"/>
      <c r="AB437" s="85"/>
      <c r="AC437" s="85"/>
      <c r="AD437" s="85"/>
      <c r="AE437" s="85"/>
      <c r="AF437" s="85"/>
      <c r="AG437" s="85"/>
      <c r="AH437" s="91"/>
      <c r="AI437" s="85"/>
      <c r="AJ437" s="85"/>
    </row>
    <row r="438" ht="15.75" customHeight="1">
      <c r="A438" s="85"/>
      <c r="B438" s="65"/>
      <c r="C438" s="85"/>
      <c r="D438" s="65"/>
      <c r="E438" s="65"/>
      <c r="F438" s="65"/>
      <c r="G438" s="6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65"/>
      <c r="W438" s="65"/>
      <c r="X438" s="85"/>
      <c r="Y438" s="85"/>
      <c r="Z438" s="85"/>
      <c r="AA438" s="85"/>
      <c r="AB438" s="85"/>
      <c r="AC438" s="85"/>
      <c r="AD438" s="85"/>
      <c r="AE438" s="85"/>
      <c r="AF438" s="85"/>
      <c r="AG438" s="85"/>
      <c r="AH438" s="91"/>
      <c r="AI438" s="85"/>
      <c r="AJ438" s="85"/>
    </row>
    <row r="439" ht="15.75" customHeight="1">
      <c r="A439" s="85"/>
      <c r="B439" s="65"/>
      <c r="C439" s="85"/>
      <c r="D439" s="65"/>
      <c r="E439" s="65"/>
      <c r="F439" s="65"/>
      <c r="G439" s="6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65"/>
      <c r="W439" s="6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  <c r="AH439" s="91"/>
      <c r="AI439" s="85"/>
      <c r="AJ439" s="85"/>
    </row>
    <row r="440" ht="15.75" customHeight="1">
      <c r="A440" s="85"/>
      <c r="B440" s="65"/>
      <c r="C440" s="85"/>
      <c r="D440" s="65"/>
      <c r="E440" s="65"/>
      <c r="F440" s="65"/>
      <c r="G440" s="6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65"/>
      <c r="W440" s="65"/>
      <c r="X440" s="85"/>
      <c r="Y440" s="85"/>
      <c r="Z440" s="85"/>
      <c r="AA440" s="85"/>
      <c r="AB440" s="85"/>
      <c r="AC440" s="85"/>
      <c r="AD440" s="85"/>
      <c r="AE440" s="85"/>
      <c r="AF440" s="85"/>
      <c r="AG440" s="85"/>
      <c r="AH440" s="91"/>
      <c r="AI440" s="85"/>
      <c r="AJ440" s="85"/>
    </row>
    <row r="441" ht="15.75" customHeight="1">
      <c r="A441" s="85"/>
      <c r="B441" s="65"/>
      <c r="C441" s="85"/>
      <c r="D441" s="65"/>
      <c r="E441" s="65"/>
      <c r="F441" s="65"/>
      <c r="G441" s="6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65"/>
      <c r="W441" s="65"/>
      <c r="X441" s="85"/>
      <c r="Y441" s="85"/>
      <c r="Z441" s="85"/>
      <c r="AA441" s="85"/>
      <c r="AB441" s="85"/>
      <c r="AC441" s="85"/>
      <c r="AD441" s="85"/>
      <c r="AE441" s="85"/>
      <c r="AF441" s="85"/>
      <c r="AG441" s="85"/>
      <c r="AH441" s="91"/>
      <c r="AI441" s="85"/>
      <c r="AJ441" s="85"/>
    </row>
    <row r="442" ht="15.75" customHeight="1">
      <c r="A442" s="85"/>
      <c r="B442" s="65"/>
      <c r="C442" s="85"/>
      <c r="D442" s="65"/>
      <c r="E442" s="65"/>
      <c r="F442" s="65"/>
      <c r="G442" s="6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65"/>
      <c r="W442" s="65"/>
      <c r="X442" s="85"/>
      <c r="Y442" s="85"/>
      <c r="Z442" s="85"/>
      <c r="AA442" s="85"/>
      <c r="AB442" s="85"/>
      <c r="AC442" s="85"/>
      <c r="AD442" s="85"/>
      <c r="AE442" s="85"/>
      <c r="AF442" s="85"/>
      <c r="AG442" s="85"/>
      <c r="AH442" s="91"/>
      <c r="AI442" s="85"/>
      <c r="AJ442" s="85"/>
    </row>
    <row r="443" ht="15.75" customHeight="1">
      <c r="A443" s="85"/>
      <c r="B443" s="65"/>
      <c r="C443" s="85"/>
      <c r="D443" s="65"/>
      <c r="E443" s="65"/>
      <c r="F443" s="65"/>
      <c r="G443" s="6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65"/>
      <c r="W443" s="65"/>
      <c r="X443" s="85"/>
      <c r="Y443" s="85"/>
      <c r="Z443" s="85"/>
      <c r="AA443" s="85"/>
      <c r="AB443" s="85"/>
      <c r="AC443" s="85"/>
      <c r="AD443" s="85"/>
      <c r="AE443" s="85"/>
      <c r="AF443" s="85"/>
      <c r="AG443" s="85"/>
      <c r="AH443" s="91"/>
      <c r="AI443" s="85"/>
      <c r="AJ443" s="85"/>
    </row>
    <row r="444" ht="15.75" customHeight="1">
      <c r="A444" s="85"/>
      <c r="B444" s="65"/>
      <c r="C444" s="85"/>
      <c r="D444" s="65"/>
      <c r="E444" s="65"/>
      <c r="F444" s="65"/>
      <c r="G444" s="6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65"/>
      <c r="W444" s="65"/>
      <c r="X444" s="85"/>
      <c r="Y444" s="85"/>
      <c r="Z444" s="85"/>
      <c r="AA444" s="85"/>
      <c r="AB444" s="85"/>
      <c r="AC444" s="85"/>
      <c r="AD444" s="85"/>
      <c r="AE444" s="85"/>
      <c r="AF444" s="85"/>
      <c r="AG444" s="85"/>
      <c r="AH444" s="91"/>
      <c r="AI444" s="85"/>
      <c r="AJ444" s="85"/>
    </row>
    <row r="445" ht="15.75" customHeight="1">
      <c r="A445" s="85"/>
      <c r="B445" s="65"/>
      <c r="C445" s="85"/>
      <c r="D445" s="65"/>
      <c r="E445" s="65"/>
      <c r="F445" s="65"/>
      <c r="G445" s="6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65"/>
      <c r="W445" s="65"/>
      <c r="X445" s="85"/>
      <c r="Y445" s="85"/>
      <c r="Z445" s="85"/>
      <c r="AA445" s="85"/>
      <c r="AB445" s="85"/>
      <c r="AC445" s="85"/>
      <c r="AD445" s="85"/>
      <c r="AE445" s="85"/>
      <c r="AF445" s="85"/>
      <c r="AG445" s="85"/>
      <c r="AH445" s="91"/>
      <c r="AI445" s="85"/>
      <c r="AJ445" s="85"/>
    </row>
    <row r="446" ht="15.75" customHeight="1">
      <c r="A446" s="85"/>
      <c r="B446" s="65"/>
      <c r="C446" s="85"/>
      <c r="D446" s="65"/>
      <c r="E446" s="65"/>
      <c r="F446" s="65"/>
      <c r="G446" s="6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65"/>
      <c r="W446" s="65"/>
      <c r="X446" s="85"/>
      <c r="Y446" s="85"/>
      <c r="Z446" s="85"/>
      <c r="AA446" s="85"/>
      <c r="AB446" s="85"/>
      <c r="AC446" s="85"/>
      <c r="AD446" s="85"/>
      <c r="AE446" s="85"/>
      <c r="AF446" s="85"/>
      <c r="AG446" s="85"/>
      <c r="AH446" s="91"/>
      <c r="AI446" s="85"/>
      <c r="AJ446" s="85"/>
    </row>
    <row r="447" ht="15.75" customHeight="1">
      <c r="A447" s="85"/>
      <c r="B447" s="65"/>
      <c r="C447" s="85"/>
      <c r="D447" s="65"/>
      <c r="E447" s="65"/>
      <c r="F447" s="65"/>
      <c r="G447" s="6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65"/>
      <c r="W447" s="65"/>
      <c r="X447" s="85"/>
      <c r="Y447" s="85"/>
      <c r="Z447" s="85"/>
      <c r="AA447" s="85"/>
      <c r="AB447" s="85"/>
      <c r="AC447" s="85"/>
      <c r="AD447" s="85"/>
      <c r="AE447" s="85"/>
      <c r="AF447" s="85"/>
      <c r="AG447" s="85"/>
      <c r="AH447" s="91"/>
      <c r="AI447" s="85"/>
      <c r="AJ447" s="85"/>
    </row>
    <row r="448" ht="15.75" customHeight="1">
      <c r="A448" s="85"/>
      <c r="B448" s="65"/>
      <c r="C448" s="85"/>
      <c r="D448" s="65"/>
      <c r="E448" s="65"/>
      <c r="F448" s="65"/>
      <c r="G448" s="6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65"/>
      <c r="W448" s="65"/>
      <c r="X448" s="85"/>
      <c r="Y448" s="85"/>
      <c r="Z448" s="85"/>
      <c r="AA448" s="85"/>
      <c r="AB448" s="85"/>
      <c r="AC448" s="85"/>
      <c r="AD448" s="85"/>
      <c r="AE448" s="85"/>
      <c r="AF448" s="85"/>
      <c r="AG448" s="85"/>
      <c r="AH448" s="91"/>
      <c r="AI448" s="85"/>
      <c r="AJ448" s="85"/>
    </row>
    <row r="449" ht="15.75" customHeight="1">
      <c r="A449" s="85"/>
      <c r="B449" s="65"/>
      <c r="C449" s="85"/>
      <c r="D449" s="65"/>
      <c r="E449" s="65"/>
      <c r="F449" s="65"/>
      <c r="G449" s="6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65"/>
      <c r="W449" s="65"/>
      <c r="X449" s="85"/>
      <c r="Y449" s="85"/>
      <c r="Z449" s="85"/>
      <c r="AA449" s="85"/>
      <c r="AB449" s="85"/>
      <c r="AC449" s="85"/>
      <c r="AD449" s="85"/>
      <c r="AE449" s="85"/>
      <c r="AF449" s="85"/>
      <c r="AG449" s="85"/>
      <c r="AH449" s="91"/>
      <c r="AI449" s="85"/>
      <c r="AJ449" s="85"/>
    </row>
    <row r="450" ht="15.75" customHeight="1">
      <c r="A450" s="85"/>
      <c r="B450" s="65"/>
      <c r="C450" s="85"/>
      <c r="D450" s="65"/>
      <c r="E450" s="65"/>
      <c r="F450" s="65"/>
      <c r="G450" s="6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65"/>
      <c r="W450" s="65"/>
      <c r="X450" s="85"/>
      <c r="Y450" s="85"/>
      <c r="Z450" s="85"/>
      <c r="AA450" s="85"/>
      <c r="AB450" s="85"/>
      <c r="AC450" s="85"/>
      <c r="AD450" s="85"/>
      <c r="AE450" s="85"/>
      <c r="AF450" s="85"/>
      <c r="AG450" s="85"/>
      <c r="AH450" s="91"/>
      <c r="AI450" s="85"/>
      <c r="AJ450" s="85"/>
    </row>
    <row r="451" ht="15.75" customHeight="1">
      <c r="A451" s="85"/>
      <c r="B451" s="65"/>
      <c r="C451" s="85"/>
      <c r="D451" s="65"/>
      <c r="E451" s="65"/>
      <c r="F451" s="65"/>
      <c r="G451" s="6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65"/>
      <c r="W451" s="65"/>
      <c r="X451" s="85"/>
      <c r="Y451" s="85"/>
      <c r="Z451" s="85"/>
      <c r="AA451" s="85"/>
      <c r="AB451" s="85"/>
      <c r="AC451" s="85"/>
      <c r="AD451" s="85"/>
      <c r="AE451" s="85"/>
      <c r="AF451" s="85"/>
      <c r="AG451" s="85"/>
      <c r="AH451" s="91"/>
      <c r="AI451" s="85"/>
      <c r="AJ451" s="85"/>
    </row>
    <row r="452" ht="15.75" customHeight="1">
      <c r="A452" s="85"/>
      <c r="B452" s="65"/>
      <c r="C452" s="85"/>
      <c r="D452" s="65"/>
      <c r="E452" s="65"/>
      <c r="F452" s="65"/>
      <c r="G452" s="6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65"/>
      <c r="W452" s="65"/>
      <c r="X452" s="85"/>
      <c r="Y452" s="85"/>
      <c r="Z452" s="85"/>
      <c r="AA452" s="85"/>
      <c r="AB452" s="85"/>
      <c r="AC452" s="85"/>
      <c r="AD452" s="85"/>
      <c r="AE452" s="85"/>
      <c r="AF452" s="85"/>
      <c r="AG452" s="85"/>
      <c r="AH452" s="91"/>
      <c r="AI452" s="85"/>
      <c r="AJ452" s="85"/>
    </row>
    <row r="453" ht="15.75" customHeight="1">
      <c r="A453" s="85"/>
      <c r="B453" s="65"/>
      <c r="C453" s="85"/>
      <c r="D453" s="65"/>
      <c r="E453" s="65"/>
      <c r="F453" s="65"/>
      <c r="G453" s="6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65"/>
      <c r="W453" s="65"/>
      <c r="X453" s="85"/>
      <c r="Y453" s="85"/>
      <c r="Z453" s="85"/>
      <c r="AA453" s="85"/>
      <c r="AB453" s="85"/>
      <c r="AC453" s="85"/>
      <c r="AD453" s="85"/>
      <c r="AE453" s="85"/>
      <c r="AF453" s="85"/>
      <c r="AG453" s="85"/>
      <c r="AH453" s="91"/>
      <c r="AI453" s="85"/>
      <c r="AJ453" s="85"/>
    </row>
    <row r="454" ht="15.75" customHeight="1">
      <c r="A454" s="85"/>
      <c r="B454" s="65"/>
      <c r="C454" s="85"/>
      <c r="D454" s="65"/>
      <c r="E454" s="65"/>
      <c r="F454" s="65"/>
      <c r="G454" s="6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65"/>
      <c r="W454" s="65"/>
      <c r="X454" s="85"/>
      <c r="Y454" s="85"/>
      <c r="Z454" s="85"/>
      <c r="AA454" s="85"/>
      <c r="AB454" s="85"/>
      <c r="AC454" s="85"/>
      <c r="AD454" s="85"/>
      <c r="AE454" s="85"/>
      <c r="AF454" s="85"/>
      <c r="AG454" s="85"/>
      <c r="AH454" s="91"/>
      <c r="AI454" s="85"/>
      <c r="AJ454" s="85"/>
    </row>
    <row r="455" ht="15.75" customHeight="1">
      <c r="A455" s="85"/>
      <c r="B455" s="65"/>
      <c r="C455" s="85"/>
      <c r="D455" s="65"/>
      <c r="E455" s="65"/>
      <c r="F455" s="65"/>
      <c r="G455" s="6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65"/>
      <c r="W455" s="65"/>
      <c r="X455" s="85"/>
      <c r="Y455" s="85"/>
      <c r="Z455" s="85"/>
      <c r="AA455" s="85"/>
      <c r="AB455" s="85"/>
      <c r="AC455" s="85"/>
      <c r="AD455" s="85"/>
      <c r="AE455" s="85"/>
      <c r="AF455" s="85"/>
      <c r="AG455" s="85"/>
      <c r="AH455" s="91"/>
      <c r="AI455" s="85"/>
      <c r="AJ455" s="85"/>
    </row>
    <row r="456" ht="15.75" customHeight="1">
      <c r="A456" s="85"/>
      <c r="B456" s="65"/>
      <c r="C456" s="85"/>
      <c r="D456" s="65"/>
      <c r="E456" s="65"/>
      <c r="F456" s="65"/>
      <c r="G456" s="6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65"/>
      <c r="W456" s="65"/>
      <c r="X456" s="85"/>
      <c r="Y456" s="85"/>
      <c r="Z456" s="85"/>
      <c r="AA456" s="85"/>
      <c r="AB456" s="85"/>
      <c r="AC456" s="85"/>
      <c r="AD456" s="85"/>
      <c r="AE456" s="85"/>
      <c r="AF456" s="85"/>
      <c r="AG456" s="85"/>
      <c r="AH456" s="91"/>
      <c r="AI456" s="85"/>
      <c r="AJ456" s="85"/>
    </row>
    <row r="457" ht="15.75" customHeight="1">
      <c r="A457" s="85"/>
      <c r="B457" s="65"/>
      <c r="C457" s="85"/>
      <c r="D457" s="65"/>
      <c r="E457" s="65"/>
      <c r="F457" s="65"/>
      <c r="G457" s="6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65"/>
      <c r="W457" s="65"/>
      <c r="X457" s="85"/>
      <c r="Y457" s="85"/>
      <c r="Z457" s="85"/>
      <c r="AA457" s="85"/>
      <c r="AB457" s="85"/>
      <c r="AC457" s="85"/>
      <c r="AD457" s="85"/>
      <c r="AE457" s="85"/>
      <c r="AF457" s="85"/>
      <c r="AG457" s="85"/>
      <c r="AH457" s="91"/>
      <c r="AI457" s="85"/>
      <c r="AJ457" s="85"/>
    </row>
    <row r="458" ht="15.75" customHeight="1">
      <c r="A458" s="85"/>
      <c r="B458" s="65"/>
      <c r="C458" s="85"/>
      <c r="D458" s="65"/>
      <c r="E458" s="65"/>
      <c r="F458" s="65"/>
      <c r="G458" s="6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65"/>
      <c r="W458" s="65"/>
      <c r="X458" s="85"/>
      <c r="Y458" s="85"/>
      <c r="Z458" s="85"/>
      <c r="AA458" s="85"/>
      <c r="AB458" s="85"/>
      <c r="AC458" s="85"/>
      <c r="AD458" s="85"/>
      <c r="AE458" s="85"/>
      <c r="AF458" s="85"/>
      <c r="AG458" s="85"/>
      <c r="AH458" s="91"/>
      <c r="AI458" s="85"/>
      <c r="AJ458" s="85"/>
    </row>
    <row r="459" ht="15.75" customHeight="1">
      <c r="A459" s="85"/>
      <c r="B459" s="65"/>
      <c r="C459" s="85"/>
      <c r="D459" s="65"/>
      <c r="E459" s="65"/>
      <c r="F459" s="65"/>
      <c r="G459" s="6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65"/>
      <c r="W459" s="6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91"/>
      <c r="AI459" s="85"/>
      <c r="AJ459" s="85"/>
    </row>
    <row r="460" ht="15.75" customHeight="1">
      <c r="A460" s="85"/>
      <c r="B460" s="65"/>
      <c r="C460" s="85"/>
      <c r="D460" s="65"/>
      <c r="E460" s="65"/>
      <c r="F460" s="65"/>
      <c r="G460" s="6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65"/>
      <c r="W460" s="65"/>
      <c r="X460" s="85"/>
      <c r="Y460" s="85"/>
      <c r="Z460" s="85"/>
      <c r="AA460" s="85"/>
      <c r="AB460" s="85"/>
      <c r="AC460" s="85"/>
      <c r="AD460" s="85"/>
      <c r="AE460" s="85"/>
      <c r="AF460" s="85"/>
      <c r="AG460" s="85"/>
      <c r="AH460" s="91"/>
      <c r="AI460" s="85"/>
      <c r="AJ460" s="85"/>
    </row>
    <row r="461" ht="15.75" customHeight="1">
      <c r="A461" s="85"/>
      <c r="B461" s="65"/>
      <c r="C461" s="85"/>
      <c r="D461" s="65"/>
      <c r="E461" s="65"/>
      <c r="F461" s="65"/>
      <c r="G461" s="6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65"/>
      <c r="W461" s="65"/>
      <c r="X461" s="85"/>
      <c r="Y461" s="85"/>
      <c r="Z461" s="85"/>
      <c r="AA461" s="85"/>
      <c r="AB461" s="85"/>
      <c r="AC461" s="85"/>
      <c r="AD461" s="85"/>
      <c r="AE461" s="85"/>
      <c r="AF461" s="85"/>
      <c r="AG461" s="85"/>
      <c r="AH461" s="91"/>
      <c r="AI461" s="85"/>
      <c r="AJ461" s="85"/>
    </row>
    <row r="462" ht="15.75" customHeight="1">
      <c r="A462" s="85"/>
      <c r="B462" s="65"/>
      <c r="C462" s="85"/>
      <c r="D462" s="65"/>
      <c r="E462" s="65"/>
      <c r="F462" s="65"/>
      <c r="G462" s="6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65"/>
      <c r="W462" s="65"/>
      <c r="X462" s="85"/>
      <c r="Y462" s="85"/>
      <c r="Z462" s="85"/>
      <c r="AA462" s="85"/>
      <c r="AB462" s="85"/>
      <c r="AC462" s="85"/>
      <c r="AD462" s="85"/>
      <c r="AE462" s="85"/>
      <c r="AF462" s="85"/>
      <c r="AG462" s="85"/>
      <c r="AH462" s="91"/>
      <c r="AI462" s="85"/>
      <c r="AJ462" s="85"/>
    </row>
    <row r="463" ht="15.75" customHeight="1">
      <c r="A463" s="85"/>
      <c r="B463" s="65"/>
      <c r="C463" s="85"/>
      <c r="D463" s="65"/>
      <c r="E463" s="65"/>
      <c r="F463" s="65"/>
      <c r="G463" s="6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65"/>
      <c r="W463" s="65"/>
      <c r="X463" s="85"/>
      <c r="Y463" s="85"/>
      <c r="Z463" s="85"/>
      <c r="AA463" s="85"/>
      <c r="AB463" s="85"/>
      <c r="AC463" s="85"/>
      <c r="AD463" s="85"/>
      <c r="AE463" s="85"/>
      <c r="AF463" s="85"/>
      <c r="AG463" s="85"/>
      <c r="AH463" s="91"/>
      <c r="AI463" s="85"/>
      <c r="AJ463" s="85"/>
    </row>
    <row r="464" ht="15.75" customHeight="1">
      <c r="A464" s="85"/>
      <c r="B464" s="65"/>
      <c r="C464" s="85"/>
      <c r="D464" s="65"/>
      <c r="E464" s="65"/>
      <c r="F464" s="65"/>
      <c r="G464" s="6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65"/>
      <c r="W464" s="65"/>
      <c r="X464" s="85"/>
      <c r="Y464" s="85"/>
      <c r="Z464" s="85"/>
      <c r="AA464" s="85"/>
      <c r="AB464" s="85"/>
      <c r="AC464" s="85"/>
      <c r="AD464" s="85"/>
      <c r="AE464" s="85"/>
      <c r="AF464" s="85"/>
      <c r="AG464" s="85"/>
      <c r="AH464" s="91"/>
      <c r="AI464" s="85"/>
      <c r="AJ464" s="85"/>
    </row>
    <row r="465" ht="15.75" customHeight="1">
      <c r="A465" s="85"/>
      <c r="B465" s="65"/>
      <c r="C465" s="85"/>
      <c r="D465" s="65"/>
      <c r="E465" s="65"/>
      <c r="F465" s="65"/>
      <c r="G465" s="6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65"/>
      <c r="W465" s="65"/>
      <c r="X465" s="85"/>
      <c r="Y465" s="85"/>
      <c r="Z465" s="85"/>
      <c r="AA465" s="85"/>
      <c r="AB465" s="85"/>
      <c r="AC465" s="85"/>
      <c r="AD465" s="85"/>
      <c r="AE465" s="85"/>
      <c r="AF465" s="85"/>
      <c r="AG465" s="85"/>
      <c r="AH465" s="91"/>
      <c r="AI465" s="85"/>
      <c r="AJ465" s="85"/>
    </row>
    <row r="466" ht="15.75" customHeight="1">
      <c r="A466" s="85"/>
      <c r="B466" s="65"/>
      <c r="C466" s="85"/>
      <c r="D466" s="65"/>
      <c r="E466" s="65"/>
      <c r="F466" s="65"/>
      <c r="G466" s="6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65"/>
      <c r="W466" s="65"/>
      <c r="X466" s="85"/>
      <c r="Y466" s="85"/>
      <c r="Z466" s="85"/>
      <c r="AA466" s="85"/>
      <c r="AB466" s="85"/>
      <c r="AC466" s="85"/>
      <c r="AD466" s="85"/>
      <c r="AE466" s="85"/>
      <c r="AF466" s="85"/>
      <c r="AG466" s="85"/>
      <c r="AH466" s="91"/>
      <c r="AI466" s="85"/>
      <c r="AJ466" s="85"/>
    </row>
    <row r="467" ht="15.75" customHeight="1">
      <c r="A467" s="85"/>
      <c r="B467" s="65"/>
      <c r="C467" s="85"/>
      <c r="D467" s="65"/>
      <c r="E467" s="65"/>
      <c r="F467" s="65"/>
      <c r="G467" s="6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65"/>
      <c r="W467" s="65"/>
      <c r="X467" s="85"/>
      <c r="Y467" s="85"/>
      <c r="Z467" s="85"/>
      <c r="AA467" s="85"/>
      <c r="AB467" s="85"/>
      <c r="AC467" s="85"/>
      <c r="AD467" s="85"/>
      <c r="AE467" s="85"/>
      <c r="AF467" s="85"/>
      <c r="AG467" s="85"/>
      <c r="AH467" s="91"/>
      <c r="AI467" s="85"/>
      <c r="AJ467" s="85"/>
    </row>
    <row r="468" ht="15.75" customHeight="1">
      <c r="A468" s="85"/>
      <c r="B468" s="65"/>
      <c r="C468" s="85"/>
      <c r="D468" s="65"/>
      <c r="E468" s="65"/>
      <c r="F468" s="65"/>
      <c r="G468" s="6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65"/>
      <c r="W468" s="65"/>
      <c r="X468" s="85"/>
      <c r="Y468" s="85"/>
      <c r="Z468" s="85"/>
      <c r="AA468" s="85"/>
      <c r="AB468" s="85"/>
      <c r="AC468" s="85"/>
      <c r="AD468" s="85"/>
      <c r="AE468" s="85"/>
      <c r="AF468" s="85"/>
      <c r="AG468" s="85"/>
      <c r="AH468" s="91"/>
      <c r="AI468" s="85"/>
      <c r="AJ468" s="85"/>
    </row>
    <row r="469" ht="15.75" customHeight="1">
      <c r="A469" s="85"/>
      <c r="B469" s="65"/>
      <c r="C469" s="85"/>
      <c r="D469" s="65"/>
      <c r="E469" s="65"/>
      <c r="F469" s="65"/>
      <c r="G469" s="6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65"/>
      <c r="W469" s="65"/>
      <c r="X469" s="85"/>
      <c r="Y469" s="85"/>
      <c r="Z469" s="85"/>
      <c r="AA469" s="85"/>
      <c r="AB469" s="85"/>
      <c r="AC469" s="85"/>
      <c r="AD469" s="85"/>
      <c r="AE469" s="85"/>
      <c r="AF469" s="85"/>
      <c r="AG469" s="85"/>
      <c r="AH469" s="91"/>
      <c r="AI469" s="85"/>
      <c r="AJ469" s="85"/>
    </row>
    <row r="470" ht="15.75" customHeight="1">
      <c r="A470" s="85"/>
      <c r="B470" s="65"/>
      <c r="C470" s="85"/>
      <c r="D470" s="65"/>
      <c r="E470" s="65"/>
      <c r="F470" s="65"/>
      <c r="G470" s="6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65"/>
      <c r="W470" s="65"/>
      <c r="X470" s="85"/>
      <c r="Y470" s="85"/>
      <c r="Z470" s="85"/>
      <c r="AA470" s="85"/>
      <c r="AB470" s="85"/>
      <c r="AC470" s="85"/>
      <c r="AD470" s="85"/>
      <c r="AE470" s="85"/>
      <c r="AF470" s="85"/>
      <c r="AG470" s="85"/>
      <c r="AH470" s="91"/>
      <c r="AI470" s="85"/>
      <c r="AJ470" s="85"/>
    </row>
    <row r="471" ht="15.75" customHeight="1">
      <c r="A471" s="85"/>
      <c r="B471" s="65"/>
      <c r="C471" s="85"/>
      <c r="D471" s="65"/>
      <c r="E471" s="65"/>
      <c r="F471" s="65"/>
      <c r="G471" s="6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65"/>
      <c r="W471" s="65"/>
      <c r="X471" s="85"/>
      <c r="Y471" s="85"/>
      <c r="Z471" s="85"/>
      <c r="AA471" s="85"/>
      <c r="AB471" s="85"/>
      <c r="AC471" s="85"/>
      <c r="AD471" s="85"/>
      <c r="AE471" s="85"/>
      <c r="AF471" s="85"/>
      <c r="AG471" s="85"/>
      <c r="AH471" s="91"/>
      <c r="AI471" s="85"/>
      <c r="AJ471" s="85"/>
    </row>
    <row r="472" ht="15.75" customHeight="1">
      <c r="A472" s="85"/>
      <c r="B472" s="65"/>
      <c r="C472" s="85"/>
      <c r="D472" s="65"/>
      <c r="E472" s="65"/>
      <c r="F472" s="65"/>
      <c r="G472" s="6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65"/>
      <c r="W472" s="65"/>
      <c r="X472" s="85"/>
      <c r="Y472" s="85"/>
      <c r="Z472" s="85"/>
      <c r="AA472" s="85"/>
      <c r="AB472" s="85"/>
      <c r="AC472" s="85"/>
      <c r="AD472" s="85"/>
      <c r="AE472" s="85"/>
      <c r="AF472" s="85"/>
      <c r="AG472" s="85"/>
      <c r="AH472" s="91"/>
      <c r="AI472" s="85"/>
      <c r="AJ472" s="85"/>
    </row>
    <row r="473" ht="15.75" customHeight="1">
      <c r="A473" s="85"/>
      <c r="B473" s="65"/>
      <c r="C473" s="85"/>
      <c r="D473" s="65"/>
      <c r="E473" s="65"/>
      <c r="F473" s="65"/>
      <c r="G473" s="6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65"/>
      <c r="W473" s="65"/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  <c r="AH473" s="91"/>
      <c r="AI473" s="85"/>
      <c r="AJ473" s="85"/>
    </row>
    <row r="474" ht="15.75" customHeight="1">
      <c r="A474" s="85"/>
      <c r="B474" s="65"/>
      <c r="C474" s="85"/>
      <c r="D474" s="65"/>
      <c r="E474" s="65"/>
      <c r="F474" s="65"/>
      <c r="G474" s="6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65"/>
      <c r="W474" s="65"/>
      <c r="X474" s="85"/>
      <c r="Y474" s="85"/>
      <c r="Z474" s="85"/>
      <c r="AA474" s="85"/>
      <c r="AB474" s="85"/>
      <c r="AC474" s="85"/>
      <c r="AD474" s="85"/>
      <c r="AE474" s="85"/>
      <c r="AF474" s="85"/>
      <c r="AG474" s="85"/>
      <c r="AH474" s="91"/>
      <c r="AI474" s="85"/>
      <c r="AJ474" s="85"/>
    </row>
    <row r="475" ht="15.75" customHeight="1">
      <c r="A475" s="85"/>
      <c r="B475" s="65"/>
      <c r="C475" s="85"/>
      <c r="D475" s="65"/>
      <c r="E475" s="65"/>
      <c r="F475" s="65"/>
      <c r="G475" s="6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65"/>
      <c r="W475" s="65"/>
      <c r="X475" s="85"/>
      <c r="Y475" s="85"/>
      <c r="Z475" s="85"/>
      <c r="AA475" s="85"/>
      <c r="AB475" s="85"/>
      <c r="AC475" s="85"/>
      <c r="AD475" s="85"/>
      <c r="AE475" s="85"/>
      <c r="AF475" s="85"/>
      <c r="AG475" s="85"/>
      <c r="AH475" s="91"/>
      <c r="AI475" s="85"/>
      <c r="AJ475" s="85"/>
    </row>
    <row r="476" ht="15.75" customHeight="1">
      <c r="A476" s="85"/>
      <c r="B476" s="65"/>
      <c r="C476" s="85"/>
      <c r="D476" s="65"/>
      <c r="E476" s="65"/>
      <c r="F476" s="65"/>
      <c r="G476" s="6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65"/>
      <c r="W476" s="65"/>
      <c r="X476" s="85"/>
      <c r="Y476" s="85"/>
      <c r="Z476" s="85"/>
      <c r="AA476" s="85"/>
      <c r="AB476" s="85"/>
      <c r="AC476" s="85"/>
      <c r="AD476" s="85"/>
      <c r="AE476" s="85"/>
      <c r="AF476" s="85"/>
      <c r="AG476" s="85"/>
      <c r="AH476" s="91"/>
      <c r="AI476" s="85"/>
      <c r="AJ476" s="85"/>
    </row>
    <row r="477" ht="15.75" customHeight="1">
      <c r="A477" s="85"/>
      <c r="B477" s="65"/>
      <c r="C477" s="85"/>
      <c r="D477" s="65"/>
      <c r="E477" s="65"/>
      <c r="F477" s="65"/>
      <c r="G477" s="6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65"/>
      <c r="W477" s="65"/>
      <c r="X477" s="85"/>
      <c r="Y477" s="85"/>
      <c r="Z477" s="85"/>
      <c r="AA477" s="85"/>
      <c r="AB477" s="85"/>
      <c r="AC477" s="85"/>
      <c r="AD477" s="85"/>
      <c r="AE477" s="85"/>
      <c r="AF477" s="85"/>
      <c r="AG477" s="85"/>
      <c r="AH477" s="91"/>
      <c r="AI477" s="85"/>
      <c r="AJ477" s="85"/>
    </row>
    <row r="478" ht="15.75" customHeight="1">
      <c r="A478" s="85"/>
      <c r="B478" s="65"/>
      <c r="C478" s="85"/>
      <c r="D478" s="65"/>
      <c r="E478" s="65"/>
      <c r="F478" s="65"/>
      <c r="G478" s="6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65"/>
      <c r="W478" s="65"/>
      <c r="X478" s="85"/>
      <c r="Y478" s="85"/>
      <c r="Z478" s="85"/>
      <c r="AA478" s="85"/>
      <c r="AB478" s="85"/>
      <c r="AC478" s="85"/>
      <c r="AD478" s="85"/>
      <c r="AE478" s="85"/>
      <c r="AF478" s="85"/>
      <c r="AG478" s="85"/>
      <c r="AH478" s="91"/>
      <c r="AI478" s="85"/>
      <c r="AJ478" s="85"/>
    </row>
    <row r="479" ht="15.75" customHeight="1">
      <c r="A479" s="85"/>
      <c r="B479" s="65"/>
      <c r="C479" s="85"/>
      <c r="D479" s="65"/>
      <c r="E479" s="65"/>
      <c r="F479" s="65"/>
      <c r="G479" s="6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65"/>
      <c r="W479" s="65"/>
      <c r="X479" s="85"/>
      <c r="Y479" s="85"/>
      <c r="Z479" s="85"/>
      <c r="AA479" s="85"/>
      <c r="AB479" s="85"/>
      <c r="AC479" s="85"/>
      <c r="AD479" s="85"/>
      <c r="AE479" s="85"/>
      <c r="AF479" s="85"/>
      <c r="AG479" s="85"/>
      <c r="AH479" s="91"/>
      <c r="AI479" s="85"/>
      <c r="AJ479" s="85"/>
    </row>
    <row r="480" ht="15.75" customHeight="1">
      <c r="A480" s="85"/>
      <c r="B480" s="65"/>
      <c r="C480" s="85"/>
      <c r="D480" s="65"/>
      <c r="E480" s="65"/>
      <c r="F480" s="65"/>
      <c r="G480" s="6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65"/>
      <c r="W480" s="65"/>
      <c r="X480" s="85"/>
      <c r="Y480" s="85"/>
      <c r="Z480" s="85"/>
      <c r="AA480" s="85"/>
      <c r="AB480" s="85"/>
      <c r="AC480" s="85"/>
      <c r="AD480" s="85"/>
      <c r="AE480" s="85"/>
      <c r="AF480" s="85"/>
      <c r="AG480" s="85"/>
      <c r="AH480" s="91"/>
      <c r="AI480" s="85"/>
      <c r="AJ480" s="85"/>
    </row>
    <row r="481" ht="15.75" customHeight="1">
      <c r="A481" s="85"/>
      <c r="B481" s="65"/>
      <c r="C481" s="85"/>
      <c r="D481" s="65"/>
      <c r="E481" s="65"/>
      <c r="F481" s="65"/>
      <c r="G481" s="6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65"/>
      <c r="W481" s="65"/>
      <c r="X481" s="85"/>
      <c r="Y481" s="85"/>
      <c r="Z481" s="85"/>
      <c r="AA481" s="85"/>
      <c r="AB481" s="85"/>
      <c r="AC481" s="85"/>
      <c r="AD481" s="85"/>
      <c r="AE481" s="85"/>
      <c r="AF481" s="85"/>
      <c r="AG481" s="85"/>
      <c r="AH481" s="91"/>
      <c r="AI481" s="85"/>
      <c r="AJ481" s="85"/>
    </row>
    <row r="482" ht="15.75" customHeight="1">
      <c r="A482" s="85"/>
      <c r="B482" s="65"/>
      <c r="C482" s="85"/>
      <c r="D482" s="65"/>
      <c r="E482" s="65"/>
      <c r="F482" s="65"/>
      <c r="G482" s="6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65"/>
      <c r="W482" s="65"/>
      <c r="X482" s="85"/>
      <c r="Y482" s="85"/>
      <c r="Z482" s="85"/>
      <c r="AA482" s="85"/>
      <c r="AB482" s="85"/>
      <c r="AC482" s="85"/>
      <c r="AD482" s="85"/>
      <c r="AE482" s="85"/>
      <c r="AF482" s="85"/>
      <c r="AG482" s="85"/>
      <c r="AH482" s="91"/>
      <c r="AI482" s="85"/>
      <c r="AJ482" s="85"/>
    </row>
    <row r="483" ht="15.75" customHeight="1">
      <c r="A483" s="85"/>
      <c r="B483" s="65"/>
      <c r="C483" s="85"/>
      <c r="D483" s="65"/>
      <c r="E483" s="65"/>
      <c r="F483" s="65"/>
      <c r="G483" s="6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65"/>
      <c r="W483" s="65"/>
      <c r="X483" s="85"/>
      <c r="Y483" s="85"/>
      <c r="Z483" s="85"/>
      <c r="AA483" s="85"/>
      <c r="AB483" s="85"/>
      <c r="AC483" s="85"/>
      <c r="AD483" s="85"/>
      <c r="AE483" s="85"/>
      <c r="AF483" s="85"/>
      <c r="AG483" s="85"/>
      <c r="AH483" s="91"/>
      <c r="AI483" s="85"/>
      <c r="AJ483" s="85"/>
    </row>
    <row r="484" ht="15.75" customHeight="1">
      <c r="A484" s="85"/>
      <c r="B484" s="65"/>
      <c r="C484" s="85"/>
      <c r="D484" s="65"/>
      <c r="E484" s="65"/>
      <c r="F484" s="65"/>
      <c r="G484" s="6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65"/>
      <c r="W484" s="65"/>
      <c r="X484" s="85"/>
      <c r="Y484" s="85"/>
      <c r="Z484" s="85"/>
      <c r="AA484" s="85"/>
      <c r="AB484" s="85"/>
      <c r="AC484" s="85"/>
      <c r="AD484" s="85"/>
      <c r="AE484" s="85"/>
      <c r="AF484" s="85"/>
      <c r="AG484" s="85"/>
      <c r="AH484" s="91"/>
      <c r="AI484" s="85"/>
      <c r="AJ484" s="85"/>
    </row>
    <row r="485" ht="15.75" customHeight="1">
      <c r="A485" s="85"/>
      <c r="B485" s="65"/>
      <c r="C485" s="85"/>
      <c r="D485" s="65"/>
      <c r="E485" s="65"/>
      <c r="F485" s="65"/>
      <c r="G485" s="6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65"/>
      <c r="W485" s="6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  <c r="AH485" s="91"/>
      <c r="AI485" s="85"/>
      <c r="AJ485" s="85"/>
    </row>
    <row r="486" ht="15.75" customHeight="1">
      <c r="A486" s="85"/>
      <c r="B486" s="65"/>
      <c r="C486" s="85"/>
      <c r="D486" s="65"/>
      <c r="E486" s="65"/>
      <c r="F486" s="65"/>
      <c r="G486" s="6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65"/>
      <c r="W486" s="65"/>
      <c r="X486" s="85"/>
      <c r="Y486" s="85"/>
      <c r="Z486" s="85"/>
      <c r="AA486" s="85"/>
      <c r="AB486" s="85"/>
      <c r="AC486" s="85"/>
      <c r="AD486" s="85"/>
      <c r="AE486" s="85"/>
      <c r="AF486" s="85"/>
      <c r="AG486" s="85"/>
      <c r="AH486" s="91"/>
      <c r="AI486" s="85"/>
      <c r="AJ486" s="85"/>
    </row>
    <row r="487" ht="15.75" customHeight="1">
      <c r="A487" s="85"/>
      <c r="B487" s="65"/>
      <c r="C487" s="85"/>
      <c r="D487" s="65"/>
      <c r="E487" s="65"/>
      <c r="F487" s="65"/>
      <c r="G487" s="6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65"/>
      <c r="W487" s="65"/>
      <c r="X487" s="85"/>
      <c r="Y487" s="85"/>
      <c r="Z487" s="85"/>
      <c r="AA487" s="85"/>
      <c r="AB487" s="85"/>
      <c r="AC487" s="85"/>
      <c r="AD487" s="85"/>
      <c r="AE487" s="85"/>
      <c r="AF487" s="85"/>
      <c r="AG487" s="85"/>
      <c r="AH487" s="91"/>
      <c r="AI487" s="85"/>
      <c r="AJ487" s="85"/>
    </row>
    <row r="488" ht="15.75" customHeight="1">
      <c r="A488" s="85"/>
      <c r="B488" s="65"/>
      <c r="C488" s="85"/>
      <c r="D488" s="65"/>
      <c r="E488" s="65"/>
      <c r="F488" s="65"/>
      <c r="G488" s="6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65"/>
      <c r="W488" s="65"/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  <c r="AH488" s="91"/>
      <c r="AI488" s="85"/>
      <c r="AJ488" s="85"/>
    </row>
    <row r="489" ht="15.75" customHeight="1">
      <c r="A489" s="85"/>
      <c r="B489" s="65"/>
      <c r="C489" s="85"/>
      <c r="D489" s="65"/>
      <c r="E489" s="65"/>
      <c r="F489" s="65"/>
      <c r="G489" s="6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65"/>
      <c r="W489" s="65"/>
      <c r="X489" s="85"/>
      <c r="Y489" s="85"/>
      <c r="Z489" s="85"/>
      <c r="AA489" s="85"/>
      <c r="AB489" s="85"/>
      <c r="AC489" s="85"/>
      <c r="AD489" s="85"/>
      <c r="AE489" s="85"/>
      <c r="AF489" s="85"/>
      <c r="AG489" s="85"/>
      <c r="AH489" s="91"/>
      <c r="AI489" s="85"/>
      <c r="AJ489" s="85"/>
    </row>
    <row r="490" ht="15.75" customHeight="1">
      <c r="A490" s="85"/>
      <c r="B490" s="65"/>
      <c r="C490" s="85"/>
      <c r="D490" s="65"/>
      <c r="E490" s="65"/>
      <c r="F490" s="65"/>
      <c r="G490" s="6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65"/>
      <c r="W490" s="65"/>
      <c r="X490" s="85"/>
      <c r="Y490" s="85"/>
      <c r="Z490" s="85"/>
      <c r="AA490" s="85"/>
      <c r="AB490" s="85"/>
      <c r="AC490" s="85"/>
      <c r="AD490" s="85"/>
      <c r="AE490" s="85"/>
      <c r="AF490" s="85"/>
      <c r="AG490" s="85"/>
      <c r="AH490" s="91"/>
      <c r="AI490" s="85"/>
      <c r="AJ490" s="85"/>
    </row>
    <row r="491" ht="15.75" customHeight="1">
      <c r="A491" s="85"/>
      <c r="B491" s="65"/>
      <c r="C491" s="85"/>
      <c r="D491" s="65"/>
      <c r="E491" s="65"/>
      <c r="F491" s="65"/>
      <c r="G491" s="6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65"/>
      <c r="W491" s="65"/>
      <c r="X491" s="85"/>
      <c r="Y491" s="85"/>
      <c r="Z491" s="85"/>
      <c r="AA491" s="85"/>
      <c r="AB491" s="85"/>
      <c r="AC491" s="85"/>
      <c r="AD491" s="85"/>
      <c r="AE491" s="85"/>
      <c r="AF491" s="85"/>
      <c r="AG491" s="85"/>
      <c r="AH491" s="91"/>
      <c r="AI491" s="85"/>
      <c r="AJ491" s="85"/>
    </row>
    <row r="492" ht="15.75" customHeight="1">
      <c r="A492" s="85"/>
      <c r="B492" s="65"/>
      <c r="C492" s="85"/>
      <c r="D492" s="65"/>
      <c r="E492" s="65"/>
      <c r="F492" s="65"/>
      <c r="G492" s="6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65"/>
      <c r="W492" s="65"/>
      <c r="X492" s="85"/>
      <c r="Y492" s="85"/>
      <c r="Z492" s="85"/>
      <c r="AA492" s="85"/>
      <c r="AB492" s="85"/>
      <c r="AC492" s="85"/>
      <c r="AD492" s="85"/>
      <c r="AE492" s="85"/>
      <c r="AF492" s="85"/>
      <c r="AG492" s="85"/>
      <c r="AH492" s="91"/>
      <c r="AI492" s="85"/>
      <c r="AJ492" s="85"/>
    </row>
    <row r="493" ht="15.75" customHeight="1">
      <c r="A493" s="85"/>
      <c r="B493" s="65"/>
      <c r="C493" s="85"/>
      <c r="D493" s="65"/>
      <c r="E493" s="65"/>
      <c r="F493" s="65"/>
      <c r="G493" s="6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65"/>
      <c r="W493" s="65"/>
      <c r="X493" s="85"/>
      <c r="Y493" s="85"/>
      <c r="Z493" s="85"/>
      <c r="AA493" s="85"/>
      <c r="AB493" s="85"/>
      <c r="AC493" s="85"/>
      <c r="AD493" s="85"/>
      <c r="AE493" s="85"/>
      <c r="AF493" s="85"/>
      <c r="AG493" s="85"/>
      <c r="AH493" s="91"/>
      <c r="AI493" s="85"/>
      <c r="AJ493" s="85"/>
    </row>
    <row r="494" ht="15.75" customHeight="1">
      <c r="A494" s="85"/>
      <c r="B494" s="65"/>
      <c r="C494" s="85"/>
      <c r="D494" s="65"/>
      <c r="E494" s="65"/>
      <c r="F494" s="65"/>
      <c r="G494" s="6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65"/>
      <c r="W494" s="65"/>
      <c r="X494" s="85"/>
      <c r="Y494" s="85"/>
      <c r="Z494" s="85"/>
      <c r="AA494" s="85"/>
      <c r="AB494" s="85"/>
      <c r="AC494" s="85"/>
      <c r="AD494" s="85"/>
      <c r="AE494" s="85"/>
      <c r="AF494" s="85"/>
      <c r="AG494" s="85"/>
      <c r="AH494" s="91"/>
      <c r="AI494" s="85"/>
      <c r="AJ494" s="85"/>
    </row>
    <row r="495" ht="15.75" customHeight="1">
      <c r="A495" s="85"/>
      <c r="B495" s="65"/>
      <c r="C495" s="85"/>
      <c r="D495" s="65"/>
      <c r="E495" s="65"/>
      <c r="F495" s="65"/>
      <c r="G495" s="6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65"/>
      <c r="W495" s="65"/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  <c r="AH495" s="91"/>
      <c r="AI495" s="85"/>
      <c r="AJ495" s="85"/>
    </row>
    <row r="496" ht="15.75" customHeight="1">
      <c r="A496" s="85"/>
      <c r="B496" s="65"/>
      <c r="C496" s="85"/>
      <c r="D496" s="65"/>
      <c r="E496" s="65"/>
      <c r="F496" s="65"/>
      <c r="G496" s="6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65"/>
      <c r="W496" s="65"/>
      <c r="X496" s="85"/>
      <c r="Y496" s="85"/>
      <c r="Z496" s="85"/>
      <c r="AA496" s="85"/>
      <c r="AB496" s="85"/>
      <c r="AC496" s="85"/>
      <c r="AD496" s="85"/>
      <c r="AE496" s="85"/>
      <c r="AF496" s="85"/>
      <c r="AG496" s="85"/>
      <c r="AH496" s="91"/>
      <c r="AI496" s="85"/>
      <c r="AJ496" s="85"/>
    </row>
    <row r="497" ht="15.75" customHeight="1">
      <c r="A497" s="85"/>
      <c r="B497" s="65"/>
      <c r="C497" s="85"/>
      <c r="D497" s="65"/>
      <c r="E497" s="65"/>
      <c r="F497" s="65"/>
      <c r="G497" s="6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65"/>
      <c r="W497" s="6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91"/>
      <c r="AI497" s="85"/>
      <c r="AJ497" s="85"/>
    </row>
    <row r="498" ht="15.75" customHeight="1">
      <c r="A498" s="85"/>
      <c r="B498" s="65"/>
      <c r="C498" s="85"/>
      <c r="D498" s="65"/>
      <c r="E498" s="65"/>
      <c r="F498" s="65"/>
      <c r="G498" s="6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65"/>
      <c r="W498" s="65"/>
      <c r="X498" s="85"/>
      <c r="Y498" s="85"/>
      <c r="Z498" s="85"/>
      <c r="AA498" s="85"/>
      <c r="AB498" s="85"/>
      <c r="AC498" s="85"/>
      <c r="AD498" s="85"/>
      <c r="AE498" s="85"/>
      <c r="AF498" s="85"/>
      <c r="AG498" s="85"/>
      <c r="AH498" s="91"/>
      <c r="AI498" s="85"/>
      <c r="AJ498" s="85"/>
    </row>
    <row r="499" ht="15.75" customHeight="1">
      <c r="A499" s="85"/>
      <c r="B499" s="65"/>
      <c r="C499" s="85"/>
      <c r="D499" s="65"/>
      <c r="E499" s="65"/>
      <c r="F499" s="65"/>
      <c r="G499" s="6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65"/>
      <c r="W499" s="65"/>
      <c r="X499" s="85"/>
      <c r="Y499" s="85"/>
      <c r="Z499" s="85"/>
      <c r="AA499" s="85"/>
      <c r="AB499" s="85"/>
      <c r="AC499" s="85"/>
      <c r="AD499" s="85"/>
      <c r="AE499" s="85"/>
      <c r="AF499" s="85"/>
      <c r="AG499" s="85"/>
      <c r="AH499" s="91"/>
      <c r="AI499" s="85"/>
      <c r="AJ499" s="85"/>
    </row>
    <row r="500" ht="15.75" customHeight="1">
      <c r="A500" s="85"/>
      <c r="B500" s="65"/>
      <c r="C500" s="85"/>
      <c r="D500" s="65"/>
      <c r="E500" s="65"/>
      <c r="F500" s="65"/>
      <c r="G500" s="6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65"/>
      <c r="W500" s="65"/>
      <c r="X500" s="85"/>
      <c r="Y500" s="85"/>
      <c r="Z500" s="85"/>
      <c r="AA500" s="85"/>
      <c r="AB500" s="85"/>
      <c r="AC500" s="85"/>
      <c r="AD500" s="85"/>
      <c r="AE500" s="85"/>
      <c r="AF500" s="85"/>
      <c r="AG500" s="85"/>
      <c r="AH500" s="91"/>
      <c r="AI500" s="85"/>
      <c r="AJ500" s="85"/>
    </row>
    <row r="501" ht="15.75" customHeight="1">
      <c r="A501" s="85"/>
      <c r="B501" s="65"/>
      <c r="C501" s="85"/>
      <c r="D501" s="65"/>
      <c r="E501" s="65"/>
      <c r="F501" s="65"/>
      <c r="G501" s="6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65"/>
      <c r="W501" s="65"/>
      <c r="X501" s="85"/>
      <c r="Y501" s="85"/>
      <c r="Z501" s="85"/>
      <c r="AA501" s="85"/>
      <c r="AB501" s="85"/>
      <c r="AC501" s="85"/>
      <c r="AD501" s="85"/>
      <c r="AE501" s="85"/>
      <c r="AF501" s="85"/>
      <c r="AG501" s="85"/>
      <c r="AH501" s="91"/>
      <c r="AI501" s="85"/>
      <c r="AJ501" s="85"/>
    </row>
    <row r="502" ht="15.75" customHeight="1">
      <c r="A502" s="85"/>
      <c r="B502" s="65"/>
      <c r="C502" s="85"/>
      <c r="D502" s="65"/>
      <c r="E502" s="65"/>
      <c r="F502" s="65"/>
      <c r="G502" s="6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65"/>
      <c r="W502" s="65"/>
      <c r="X502" s="85"/>
      <c r="Y502" s="85"/>
      <c r="Z502" s="85"/>
      <c r="AA502" s="85"/>
      <c r="AB502" s="85"/>
      <c r="AC502" s="85"/>
      <c r="AD502" s="85"/>
      <c r="AE502" s="85"/>
      <c r="AF502" s="85"/>
      <c r="AG502" s="85"/>
      <c r="AH502" s="91"/>
      <c r="AI502" s="85"/>
      <c r="AJ502" s="85"/>
    </row>
    <row r="503" ht="15.75" customHeight="1">
      <c r="A503" s="85"/>
      <c r="B503" s="65"/>
      <c r="C503" s="85"/>
      <c r="D503" s="65"/>
      <c r="E503" s="65"/>
      <c r="F503" s="65"/>
      <c r="G503" s="6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65"/>
      <c r="W503" s="65"/>
      <c r="X503" s="85"/>
      <c r="Y503" s="85"/>
      <c r="Z503" s="85"/>
      <c r="AA503" s="85"/>
      <c r="AB503" s="85"/>
      <c r="AC503" s="85"/>
      <c r="AD503" s="85"/>
      <c r="AE503" s="85"/>
      <c r="AF503" s="85"/>
      <c r="AG503" s="85"/>
      <c r="AH503" s="91"/>
      <c r="AI503" s="85"/>
      <c r="AJ503" s="85"/>
    </row>
    <row r="504" ht="15.75" customHeight="1">
      <c r="A504" s="85"/>
      <c r="B504" s="65"/>
      <c r="C504" s="85"/>
      <c r="D504" s="65"/>
      <c r="E504" s="65"/>
      <c r="F504" s="65"/>
      <c r="G504" s="6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65"/>
      <c r="W504" s="65"/>
      <c r="X504" s="85"/>
      <c r="Y504" s="85"/>
      <c r="Z504" s="85"/>
      <c r="AA504" s="85"/>
      <c r="AB504" s="85"/>
      <c r="AC504" s="85"/>
      <c r="AD504" s="85"/>
      <c r="AE504" s="85"/>
      <c r="AF504" s="85"/>
      <c r="AG504" s="85"/>
      <c r="AH504" s="91"/>
      <c r="AI504" s="85"/>
      <c r="AJ504" s="85"/>
    </row>
    <row r="505" ht="15.75" customHeight="1">
      <c r="A505" s="85"/>
      <c r="B505" s="65"/>
      <c r="C505" s="85"/>
      <c r="D505" s="65"/>
      <c r="E505" s="65"/>
      <c r="F505" s="65"/>
      <c r="G505" s="6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65"/>
      <c r="W505" s="65"/>
      <c r="X505" s="85"/>
      <c r="Y505" s="85"/>
      <c r="Z505" s="85"/>
      <c r="AA505" s="85"/>
      <c r="AB505" s="85"/>
      <c r="AC505" s="85"/>
      <c r="AD505" s="85"/>
      <c r="AE505" s="85"/>
      <c r="AF505" s="85"/>
      <c r="AG505" s="85"/>
      <c r="AH505" s="91"/>
      <c r="AI505" s="85"/>
      <c r="AJ505" s="85"/>
    </row>
    <row r="506" ht="15.75" customHeight="1">
      <c r="A506" s="85"/>
      <c r="B506" s="65"/>
      <c r="C506" s="85"/>
      <c r="D506" s="65"/>
      <c r="E506" s="65"/>
      <c r="F506" s="65"/>
      <c r="G506" s="6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65"/>
      <c r="W506" s="65"/>
      <c r="X506" s="85"/>
      <c r="Y506" s="85"/>
      <c r="Z506" s="85"/>
      <c r="AA506" s="85"/>
      <c r="AB506" s="85"/>
      <c r="AC506" s="85"/>
      <c r="AD506" s="85"/>
      <c r="AE506" s="85"/>
      <c r="AF506" s="85"/>
      <c r="AG506" s="85"/>
      <c r="AH506" s="91"/>
      <c r="AI506" s="85"/>
      <c r="AJ506" s="85"/>
    </row>
    <row r="507" ht="15.75" customHeight="1">
      <c r="A507" s="85"/>
      <c r="B507" s="65"/>
      <c r="C507" s="85"/>
      <c r="D507" s="65"/>
      <c r="E507" s="65"/>
      <c r="F507" s="65"/>
      <c r="G507" s="6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65"/>
      <c r="W507" s="65"/>
      <c r="X507" s="85"/>
      <c r="Y507" s="85"/>
      <c r="Z507" s="85"/>
      <c r="AA507" s="85"/>
      <c r="AB507" s="85"/>
      <c r="AC507" s="85"/>
      <c r="AD507" s="85"/>
      <c r="AE507" s="85"/>
      <c r="AF507" s="85"/>
      <c r="AG507" s="85"/>
      <c r="AH507" s="91"/>
      <c r="AI507" s="85"/>
      <c r="AJ507" s="85"/>
    </row>
    <row r="508" ht="15.75" customHeight="1">
      <c r="A508" s="85"/>
      <c r="B508" s="65"/>
      <c r="C508" s="85"/>
      <c r="D508" s="65"/>
      <c r="E508" s="65"/>
      <c r="F508" s="65"/>
      <c r="G508" s="6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65"/>
      <c r="W508" s="65"/>
      <c r="X508" s="85"/>
      <c r="Y508" s="85"/>
      <c r="Z508" s="85"/>
      <c r="AA508" s="85"/>
      <c r="AB508" s="85"/>
      <c r="AC508" s="85"/>
      <c r="AD508" s="85"/>
      <c r="AE508" s="85"/>
      <c r="AF508" s="85"/>
      <c r="AG508" s="85"/>
      <c r="AH508" s="91"/>
      <c r="AI508" s="85"/>
      <c r="AJ508" s="85"/>
    </row>
    <row r="509" ht="15.75" customHeight="1">
      <c r="A509" s="85"/>
      <c r="B509" s="65"/>
      <c r="C509" s="85"/>
      <c r="D509" s="65"/>
      <c r="E509" s="65"/>
      <c r="F509" s="65"/>
      <c r="G509" s="6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65"/>
      <c r="W509" s="65"/>
      <c r="X509" s="85"/>
      <c r="Y509" s="85"/>
      <c r="Z509" s="85"/>
      <c r="AA509" s="85"/>
      <c r="AB509" s="85"/>
      <c r="AC509" s="85"/>
      <c r="AD509" s="85"/>
      <c r="AE509" s="85"/>
      <c r="AF509" s="85"/>
      <c r="AG509" s="85"/>
      <c r="AH509" s="91"/>
      <c r="AI509" s="85"/>
      <c r="AJ509" s="85"/>
    </row>
    <row r="510" ht="15.75" customHeight="1">
      <c r="A510" s="85"/>
      <c r="B510" s="65"/>
      <c r="C510" s="85"/>
      <c r="D510" s="65"/>
      <c r="E510" s="65"/>
      <c r="F510" s="65"/>
      <c r="G510" s="6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65"/>
      <c r="W510" s="65"/>
      <c r="X510" s="85"/>
      <c r="Y510" s="85"/>
      <c r="Z510" s="85"/>
      <c r="AA510" s="85"/>
      <c r="AB510" s="85"/>
      <c r="AC510" s="85"/>
      <c r="AD510" s="85"/>
      <c r="AE510" s="85"/>
      <c r="AF510" s="85"/>
      <c r="AG510" s="85"/>
      <c r="AH510" s="91"/>
      <c r="AI510" s="85"/>
      <c r="AJ510" s="85"/>
    </row>
    <row r="511" ht="15.75" customHeight="1">
      <c r="A511" s="85"/>
      <c r="B511" s="65"/>
      <c r="C511" s="85"/>
      <c r="D511" s="65"/>
      <c r="E511" s="65"/>
      <c r="F511" s="65"/>
      <c r="G511" s="6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65"/>
      <c r="W511" s="65"/>
      <c r="X511" s="85"/>
      <c r="Y511" s="85"/>
      <c r="Z511" s="85"/>
      <c r="AA511" s="85"/>
      <c r="AB511" s="85"/>
      <c r="AC511" s="85"/>
      <c r="AD511" s="85"/>
      <c r="AE511" s="85"/>
      <c r="AF511" s="85"/>
      <c r="AG511" s="85"/>
      <c r="AH511" s="91"/>
      <c r="AI511" s="85"/>
      <c r="AJ511" s="85"/>
    </row>
    <row r="512" ht="15.75" customHeight="1">
      <c r="A512" s="85"/>
      <c r="B512" s="65"/>
      <c r="C512" s="85"/>
      <c r="D512" s="65"/>
      <c r="E512" s="65"/>
      <c r="F512" s="65"/>
      <c r="G512" s="6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65"/>
      <c r="W512" s="65"/>
      <c r="X512" s="85"/>
      <c r="Y512" s="85"/>
      <c r="Z512" s="85"/>
      <c r="AA512" s="85"/>
      <c r="AB512" s="85"/>
      <c r="AC512" s="85"/>
      <c r="AD512" s="85"/>
      <c r="AE512" s="85"/>
      <c r="AF512" s="85"/>
      <c r="AG512" s="85"/>
      <c r="AH512" s="91"/>
      <c r="AI512" s="85"/>
      <c r="AJ512" s="85"/>
    </row>
    <row r="513" ht="15.75" customHeight="1">
      <c r="A513" s="85"/>
      <c r="B513" s="65"/>
      <c r="C513" s="85"/>
      <c r="D513" s="65"/>
      <c r="E513" s="65"/>
      <c r="F513" s="65"/>
      <c r="G513" s="6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65"/>
      <c r="W513" s="65"/>
      <c r="X513" s="85"/>
      <c r="Y513" s="85"/>
      <c r="Z513" s="85"/>
      <c r="AA513" s="85"/>
      <c r="AB513" s="85"/>
      <c r="AC513" s="85"/>
      <c r="AD513" s="85"/>
      <c r="AE513" s="85"/>
      <c r="AF513" s="85"/>
      <c r="AG513" s="85"/>
      <c r="AH513" s="91"/>
      <c r="AI513" s="85"/>
      <c r="AJ513" s="85"/>
    </row>
    <row r="514" ht="15.75" customHeight="1">
      <c r="A514" s="85"/>
      <c r="B514" s="65"/>
      <c r="C514" s="85"/>
      <c r="D514" s="65"/>
      <c r="E514" s="65"/>
      <c r="F514" s="65"/>
      <c r="G514" s="6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65"/>
      <c r="W514" s="65"/>
      <c r="X514" s="85"/>
      <c r="Y514" s="85"/>
      <c r="Z514" s="85"/>
      <c r="AA514" s="85"/>
      <c r="AB514" s="85"/>
      <c r="AC514" s="85"/>
      <c r="AD514" s="85"/>
      <c r="AE514" s="85"/>
      <c r="AF514" s="85"/>
      <c r="AG514" s="85"/>
      <c r="AH514" s="91"/>
      <c r="AI514" s="85"/>
      <c r="AJ514" s="85"/>
    </row>
    <row r="515" ht="15.75" customHeight="1">
      <c r="A515" s="85"/>
      <c r="B515" s="65"/>
      <c r="C515" s="85"/>
      <c r="D515" s="65"/>
      <c r="E515" s="65"/>
      <c r="F515" s="65"/>
      <c r="G515" s="6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65"/>
      <c r="W515" s="65"/>
      <c r="X515" s="85"/>
      <c r="Y515" s="85"/>
      <c r="Z515" s="85"/>
      <c r="AA515" s="85"/>
      <c r="AB515" s="85"/>
      <c r="AC515" s="85"/>
      <c r="AD515" s="85"/>
      <c r="AE515" s="85"/>
      <c r="AF515" s="85"/>
      <c r="AG515" s="85"/>
      <c r="AH515" s="91"/>
      <c r="AI515" s="85"/>
      <c r="AJ515" s="85"/>
    </row>
    <row r="516" ht="15.75" customHeight="1">
      <c r="A516" s="85"/>
      <c r="B516" s="65"/>
      <c r="C516" s="85"/>
      <c r="D516" s="65"/>
      <c r="E516" s="65"/>
      <c r="F516" s="65"/>
      <c r="G516" s="6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65"/>
      <c r="W516" s="65"/>
      <c r="X516" s="85"/>
      <c r="Y516" s="85"/>
      <c r="Z516" s="85"/>
      <c r="AA516" s="85"/>
      <c r="AB516" s="85"/>
      <c r="AC516" s="85"/>
      <c r="AD516" s="85"/>
      <c r="AE516" s="85"/>
      <c r="AF516" s="85"/>
      <c r="AG516" s="85"/>
      <c r="AH516" s="91"/>
      <c r="AI516" s="85"/>
      <c r="AJ516" s="85"/>
    </row>
    <row r="517" ht="15.75" customHeight="1">
      <c r="A517" s="85"/>
      <c r="B517" s="65"/>
      <c r="C517" s="85"/>
      <c r="D517" s="65"/>
      <c r="E517" s="65"/>
      <c r="F517" s="65"/>
      <c r="G517" s="6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65"/>
      <c r="W517" s="65"/>
      <c r="X517" s="85"/>
      <c r="Y517" s="85"/>
      <c r="Z517" s="85"/>
      <c r="AA517" s="85"/>
      <c r="AB517" s="85"/>
      <c r="AC517" s="85"/>
      <c r="AD517" s="85"/>
      <c r="AE517" s="85"/>
      <c r="AF517" s="85"/>
      <c r="AG517" s="85"/>
      <c r="AH517" s="91"/>
      <c r="AI517" s="85"/>
      <c r="AJ517" s="85"/>
    </row>
    <row r="518" ht="15.75" customHeight="1">
      <c r="A518" s="85"/>
      <c r="B518" s="65"/>
      <c r="C518" s="85"/>
      <c r="D518" s="65"/>
      <c r="E518" s="65"/>
      <c r="F518" s="65"/>
      <c r="G518" s="6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65"/>
      <c r="W518" s="65"/>
      <c r="X518" s="85"/>
      <c r="Y518" s="85"/>
      <c r="Z518" s="85"/>
      <c r="AA518" s="85"/>
      <c r="AB518" s="85"/>
      <c r="AC518" s="85"/>
      <c r="AD518" s="85"/>
      <c r="AE518" s="85"/>
      <c r="AF518" s="85"/>
      <c r="AG518" s="85"/>
      <c r="AH518" s="91"/>
      <c r="AI518" s="85"/>
      <c r="AJ518" s="85"/>
    </row>
    <row r="519" ht="15.75" customHeight="1">
      <c r="A519" s="85"/>
      <c r="B519" s="65"/>
      <c r="C519" s="85"/>
      <c r="D519" s="65"/>
      <c r="E519" s="65"/>
      <c r="F519" s="65"/>
      <c r="G519" s="6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65"/>
      <c r="W519" s="65"/>
      <c r="X519" s="85"/>
      <c r="Y519" s="85"/>
      <c r="Z519" s="85"/>
      <c r="AA519" s="85"/>
      <c r="AB519" s="85"/>
      <c r="AC519" s="85"/>
      <c r="AD519" s="85"/>
      <c r="AE519" s="85"/>
      <c r="AF519" s="85"/>
      <c r="AG519" s="85"/>
      <c r="AH519" s="91"/>
      <c r="AI519" s="85"/>
      <c r="AJ519" s="85"/>
    </row>
    <row r="520" ht="15.75" customHeight="1">
      <c r="A520" s="85"/>
      <c r="B520" s="65"/>
      <c r="C520" s="85"/>
      <c r="D520" s="65"/>
      <c r="E520" s="65"/>
      <c r="F520" s="65"/>
      <c r="G520" s="6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65"/>
      <c r="W520" s="65"/>
      <c r="X520" s="85"/>
      <c r="Y520" s="85"/>
      <c r="Z520" s="85"/>
      <c r="AA520" s="85"/>
      <c r="AB520" s="85"/>
      <c r="AC520" s="85"/>
      <c r="AD520" s="85"/>
      <c r="AE520" s="85"/>
      <c r="AF520" s="85"/>
      <c r="AG520" s="85"/>
      <c r="AH520" s="91"/>
      <c r="AI520" s="85"/>
      <c r="AJ520" s="85"/>
    </row>
    <row r="521" ht="15.75" customHeight="1">
      <c r="A521" s="85"/>
      <c r="B521" s="65"/>
      <c r="C521" s="85"/>
      <c r="D521" s="65"/>
      <c r="E521" s="65"/>
      <c r="F521" s="65"/>
      <c r="G521" s="6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65"/>
      <c r="W521" s="65"/>
      <c r="X521" s="85"/>
      <c r="Y521" s="85"/>
      <c r="Z521" s="85"/>
      <c r="AA521" s="85"/>
      <c r="AB521" s="85"/>
      <c r="AC521" s="85"/>
      <c r="AD521" s="85"/>
      <c r="AE521" s="85"/>
      <c r="AF521" s="85"/>
      <c r="AG521" s="85"/>
      <c r="AH521" s="91"/>
      <c r="AI521" s="85"/>
      <c r="AJ521" s="85"/>
    </row>
    <row r="522" ht="15.75" customHeight="1">
      <c r="A522" s="85"/>
      <c r="B522" s="65"/>
      <c r="C522" s="85"/>
      <c r="D522" s="65"/>
      <c r="E522" s="65"/>
      <c r="F522" s="65"/>
      <c r="G522" s="6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65"/>
      <c r="W522" s="65"/>
      <c r="X522" s="85"/>
      <c r="Y522" s="85"/>
      <c r="Z522" s="85"/>
      <c r="AA522" s="85"/>
      <c r="AB522" s="85"/>
      <c r="AC522" s="85"/>
      <c r="AD522" s="85"/>
      <c r="AE522" s="85"/>
      <c r="AF522" s="85"/>
      <c r="AG522" s="85"/>
      <c r="AH522" s="91"/>
      <c r="AI522" s="85"/>
      <c r="AJ522" s="85"/>
    </row>
    <row r="523" ht="15.75" customHeight="1">
      <c r="A523" s="85"/>
      <c r="B523" s="65"/>
      <c r="C523" s="85"/>
      <c r="D523" s="65"/>
      <c r="E523" s="65"/>
      <c r="F523" s="65"/>
      <c r="G523" s="6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65"/>
      <c r="W523" s="65"/>
      <c r="X523" s="85"/>
      <c r="Y523" s="85"/>
      <c r="Z523" s="85"/>
      <c r="AA523" s="85"/>
      <c r="AB523" s="85"/>
      <c r="AC523" s="85"/>
      <c r="AD523" s="85"/>
      <c r="AE523" s="85"/>
      <c r="AF523" s="85"/>
      <c r="AG523" s="85"/>
      <c r="AH523" s="91"/>
      <c r="AI523" s="85"/>
      <c r="AJ523" s="85"/>
    </row>
    <row r="524" ht="15.75" customHeight="1">
      <c r="A524" s="85"/>
      <c r="B524" s="65"/>
      <c r="C524" s="85"/>
      <c r="D524" s="65"/>
      <c r="E524" s="65"/>
      <c r="F524" s="65"/>
      <c r="G524" s="6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65"/>
      <c r="W524" s="65"/>
      <c r="X524" s="85"/>
      <c r="Y524" s="85"/>
      <c r="Z524" s="85"/>
      <c r="AA524" s="85"/>
      <c r="AB524" s="85"/>
      <c r="AC524" s="85"/>
      <c r="AD524" s="85"/>
      <c r="AE524" s="85"/>
      <c r="AF524" s="85"/>
      <c r="AG524" s="85"/>
      <c r="AH524" s="91"/>
      <c r="AI524" s="85"/>
      <c r="AJ524" s="85"/>
    </row>
    <row r="525" ht="15.75" customHeight="1">
      <c r="A525" s="85"/>
      <c r="B525" s="65"/>
      <c r="C525" s="85"/>
      <c r="D525" s="65"/>
      <c r="E525" s="65"/>
      <c r="F525" s="65"/>
      <c r="G525" s="6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65"/>
      <c r="W525" s="65"/>
      <c r="X525" s="85"/>
      <c r="Y525" s="85"/>
      <c r="Z525" s="85"/>
      <c r="AA525" s="85"/>
      <c r="AB525" s="85"/>
      <c r="AC525" s="85"/>
      <c r="AD525" s="85"/>
      <c r="AE525" s="85"/>
      <c r="AF525" s="85"/>
      <c r="AG525" s="85"/>
      <c r="AH525" s="91"/>
      <c r="AI525" s="85"/>
      <c r="AJ525" s="85"/>
    </row>
    <row r="526" ht="15.75" customHeight="1">
      <c r="A526" s="85"/>
      <c r="B526" s="65"/>
      <c r="C526" s="85"/>
      <c r="D526" s="65"/>
      <c r="E526" s="65"/>
      <c r="F526" s="65"/>
      <c r="G526" s="6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65"/>
      <c r="W526" s="65"/>
      <c r="X526" s="85"/>
      <c r="Y526" s="85"/>
      <c r="Z526" s="85"/>
      <c r="AA526" s="85"/>
      <c r="AB526" s="85"/>
      <c r="AC526" s="85"/>
      <c r="AD526" s="85"/>
      <c r="AE526" s="85"/>
      <c r="AF526" s="85"/>
      <c r="AG526" s="85"/>
      <c r="AH526" s="91"/>
      <c r="AI526" s="85"/>
      <c r="AJ526" s="85"/>
    </row>
    <row r="527" ht="15.75" customHeight="1">
      <c r="A527" s="85"/>
      <c r="B527" s="65"/>
      <c r="C527" s="85"/>
      <c r="D527" s="65"/>
      <c r="E527" s="65"/>
      <c r="F527" s="65"/>
      <c r="G527" s="6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65"/>
      <c r="W527" s="65"/>
      <c r="X527" s="85"/>
      <c r="Y527" s="85"/>
      <c r="Z527" s="85"/>
      <c r="AA527" s="85"/>
      <c r="AB527" s="85"/>
      <c r="AC527" s="85"/>
      <c r="AD527" s="85"/>
      <c r="AE527" s="85"/>
      <c r="AF527" s="85"/>
      <c r="AG527" s="85"/>
      <c r="AH527" s="91"/>
      <c r="AI527" s="85"/>
      <c r="AJ527" s="85"/>
    </row>
    <row r="528" ht="15.75" customHeight="1">
      <c r="A528" s="85"/>
      <c r="B528" s="65"/>
      <c r="C528" s="85"/>
      <c r="D528" s="65"/>
      <c r="E528" s="65"/>
      <c r="F528" s="65"/>
      <c r="G528" s="6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65"/>
      <c r="W528" s="65"/>
      <c r="X528" s="85"/>
      <c r="Y528" s="85"/>
      <c r="Z528" s="85"/>
      <c r="AA528" s="85"/>
      <c r="AB528" s="85"/>
      <c r="AC528" s="85"/>
      <c r="AD528" s="85"/>
      <c r="AE528" s="85"/>
      <c r="AF528" s="85"/>
      <c r="AG528" s="85"/>
      <c r="AH528" s="91"/>
      <c r="AI528" s="85"/>
      <c r="AJ528" s="85"/>
    </row>
    <row r="529" ht="15.75" customHeight="1">
      <c r="A529" s="85"/>
      <c r="B529" s="65"/>
      <c r="C529" s="85"/>
      <c r="D529" s="65"/>
      <c r="E529" s="65"/>
      <c r="F529" s="65"/>
      <c r="G529" s="6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65"/>
      <c r="W529" s="65"/>
      <c r="X529" s="85"/>
      <c r="Y529" s="85"/>
      <c r="Z529" s="85"/>
      <c r="AA529" s="85"/>
      <c r="AB529" s="85"/>
      <c r="AC529" s="85"/>
      <c r="AD529" s="85"/>
      <c r="AE529" s="85"/>
      <c r="AF529" s="85"/>
      <c r="AG529" s="85"/>
      <c r="AH529" s="91"/>
      <c r="AI529" s="85"/>
      <c r="AJ529" s="85"/>
    </row>
    <row r="530" ht="15.75" customHeight="1">
      <c r="A530" s="85"/>
      <c r="B530" s="65"/>
      <c r="C530" s="85"/>
      <c r="D530" s="65"/>
      <c r="E530" s="65"/>
      <c r="F530" s="65"/>
      <c r="G530" s="6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65"/>
      <c r="W530" s="65"/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  <c r="AH530" s="91"/>
      <c r="AI530" s="85"/>
      <c r="AJ530" s="85"/>
    </row>
    <row r="531" ht="15.75" customHeight="1">
      <c r="A531" s="85"/>
      <c r="B531" s="65"/>
      <c r="C531" s="85"/>
      <c r="D531" s="65"/>
      <c r="E531" s="65"/>
      <c r="F531" s="65"/>
      <c r="G531" s="6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65"/>
      <c r="W531" s="65"/>
      <c r="X531" s="85"/>
      <c r="Y531" s="85"/>
      <c r="Z531" s="85"/>
      <c r="AA531" s="85"/>
      <c r="AB531" s="85"/>
      <c r="AC531" s="85"/>
      <c r="AD531" s="85"/>
      <c r="AE531" s="85"/>
      <c r="AF531" s="85"/>
      <c r="AG531" s="85"/>
      <c r="AH531" s="91"/>
      <c r="AI531" s="85"/>
      <c r="AJ531" s="85"/>
    </row>
    <row r="532" ht="15.75" customHeight="1">
      <c r="A532" s="85"/>
      <c r="B532" s="65"/>
      <c r="C532" s="85"/>
      <c r="D532" s="65"/>
      <c r="E532" s="65"/>
      <c r="F532" s="65"/>
      <c r="G532" s="6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65"/>
      <c r="W532" s="65"/>
      <c r="X532" s="85"/>
      <c r="Y532" s="85"/>
      <c r="Z532" s="85"/>
      <c r="AA532" s="85"/>
      <c r="AB532" s="85"/>
      <c r="AC532" s="85"/>
      <c r="AD532" s="85"/>
      <c r="AE532" s="85"/>
      <c r="AF532" s="85"/>
      <c r="AG532" s="85"/>
      <c r="AH532" s="91"/>
      <c r="AI532" s="85"/>
      <c r="AJ532" s="85"/>
    </row>
    <row r="533" ht="15.75" customHeight="1">
      <c r="A533" s="85"/>
      <c r="B533" s="65"/>
      <c r="C533" s="85"/>
      <c r="D533" s="65"/>
      <c r="E533" s="65"/>
      <c r="F533" s="65"/>
      <c r="G533" s="6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65"/>
      <c r="W533" s="65"/>
      <c r="X533" s="85"/>
      <c r="Y533" s="85"/>
      <c r="Z533" s="85"/>
      <c r="AA533" s="85"/>
      <c r="AB533" s="85"/>
      <c r="AC533" s="85"/>
      <c r="AD533" s="85"/>
      <c r="AE533" s="85"/>
      <c r="AF533" s="85"/>
      <c r="AG533" s="85"/>
      <c r="AH533" s="91"/>
      <c r="AI533" s="85"/>
      <c r="AJ533" s="85"/>
    </row>
    <row r="534" ht="15.75" customHeight="1">
      <c r="A534" s="85"/>
      <c r="B534" s="65"/>
      <c r="C534" s="85"/>
      <c r="D534" s="65"/>
      <c r="E534" s="65"/>
      <c r="F534" s="65"/>
      <c r="G534" s="6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65"/>
      <c r="W534" s="65"/>
      <c r="X534" s="85"/>
      <c r="Y534" s="85"/>
      <c r="Z534" s="85"/>
      <c r="AA534" s="85"/>
      <c r="AB534" s="85"/>
      <c r="AC534" s="85"/>
      <c r="AD534" s="85"/>
      <c r="AE534" s="85"/>
      <c r="AF534" s="85"/>
      <c r="AG534" s="85"/>
      <c r="AH534" s="91"/>
      <c r="AI534" s="85"/>
      <c r="AJ534" s="85"/>
    </row>
    <row r="535" ht="15.75" customHeight="1">
      <c r="A535" s="85"/>
      <c r="B535" s="65"/>
      <c r="C535" s="85"/>
      <c r="D535" s="65"/>
      <c r="E535" s="65"/>
      <c r="F535" s="65"/>
      <c r="G535" s="6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65"/>
      <c r="W535" s="6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91"/>
      <c r="AI535" s="85"/>
      <c r="AJ535" s="85"/>
    </row>
    <row r="536" ht="15.75" customHeight="1">
      <c r="A536" s="85"/>
      <c r="B536" s="65"/>
      <c r="C536" s="85"/>
      <c r="D536" s="65"/>
      <c r="E536" s="65"/>
      <c r="F536" s="65"/>
      <c r="G536" s="6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65"/>
      <c r="W536" s="65"/>
      <c r="X536" s="85"/>
      <c r="Y536" s="85"/>
      <c r="Z536" s="85"/>
      <c r="AA536" s="85"/>
      <c r="AB536" s="85"/>
      <c r="AC536" s="85"/>
      <c r="AD536" s="85"/>
      <c r="AE536" s="85"/>
      <c r="AF536" s="85"/>
      <c r="AG536" s="85"/>
      <c r="AH536" s="91"/>
      <c r="AI536" s="85"/>
      <c r="AJ536" s="85"/>
    </row>
    <row r="537" ht="15.75" customHeight="1">
      <c r="A537" s="85"/>
      <c r="B537" s="65"/>
      <c r="C537" s="85"/>
      <c r="D537" s="65"/>
      <c r="E537" s="65"/>
      <c r="F537" s="65"/>
      <c r="G537" s="6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65"/>
      <c r="W537" s="65"/>
      <c r="X537" s="85"/>
      <c r="Y537" s="85"/>
      <c r="Z537" s="85"/>
      <c r="AA537" s="85"/>
      <c r="AB537" s="85"/>
      <c r="AC537" s="85"/>
      <c r="AD537" s="85"/>
      <c r="AE537" s="85"/>
      <c r="AF537" s="85"/>
      <c r="AG537" s="85"/>
      <c r="AH537" s="91"/>
      <c r="AI537" s="85"/>
      <c r="AJ537" s="85"/>
    </row>
    <row r="538" ht="15.75" customHeight="1">
      <c r="A538" s="85"/>
      <c r="B538" s="65"/>
      <c r="C538" s="85"/>
      <c r="D538" s="65"/>
      <c r="E538" s="65"/>
      <c r="F538" s="65"/>
      <c r="G538" s="6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65"/>
      <c r="W538" s="65"/>
      <c r="X538" s="85"/>
      <c r="Y538" s="85"/>
      <c r="Z538" s="85"/>
      <c r="AA538" s="85"/>
      <c r="AB538" s="85"/>
      <c r="AC538" s="85"/>
      <c r="AD538" s="85"/>
      <c r="AE538" s="85"/>
      <c r="AF538" s="85"/>
      <c r="AG538" s="85"/>
      <c r="AH538" s="91"/>
      <c r="AI538" s="85"/>
      <c r="AJ538" s="85"/>
    </row>
    <row r="539" ht="15.75" customHeight="1">
      <c r="A539" s="85"/>
      <c r="B539" s="65"/>
      <c r="C539" s="85"/>
      <c r="D539" s="65"/>
      <c r="E539" s="65"/>
      <c r="F539" s="65"/>
      <c r="G539" s="6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65"/>
      <c r="W539" s="65"/>
      <c r="X539" s="85"/>
      <c r="Y539" s="85"/>
      <c r="Z539" s="85"/>
      <c r="AA539" s="85"/>
      <c r="AB539" s="85"/>
      <c r="AC539" s="85"/>
      <c r="AD539" s="85"/>
      <c r="AE539" s="85"/>
      <c r="AF539" s="85"/>
      <c r="AG539" s="85"/>
      <c r="AH539" s="91"/>
      <c r="AI539" s="85"/>
      <c r="AJ539" s="85"/>
    </row>
    <row r="540" ht="15.75" customHeight="1">
      <c r="A540" s="85"/>
      <c r="B540" s="65"/>
      <c r="C540" s="85"/>
      <c r="D540" s="65"/>
      <c r="E540" s="65"/>
      <c r="F540" s="65"/>
      <c r="G540" s="6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65"/>
      <c r="W540" s="65"/>
      <c r="X540" s="85"/>
      <c r="Y540" s="85"/>
      <c r="Z540" s="85"/>
      <c r="AA540" s="85"/>
      <c r="AB540" s="85"/>
      <c r="AC540" s="85"/>
      <c r="AD540" s="85"/>
      <c r="AE540" s="85"/>
      <c r="AF540" s="85"/>
      <c r="AG540" s="85"/>
      <c r="AH540" s="91"/>
      <c r="AI540" s="85"/>
      <c r="AJ540" s="85"/>
    </row>
    <row r="541" ht="15.75" customHeight="1">
      <c r="A541" s="85"/>
      <c r="B541" s="65"/>
      <c r="C541" s="85"/>
      <c r="D541" s="65"/>
      <c r="E541" s="65"/>
      <c r="F541" s="65"/>
      <c r="G541" s="6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65"/>
      <c r="W541" s="65"/>
      <c r="X541" s="85"/>
      <c r="Y541" s="85"/>
      <c r="Z541" s="85"/>
      <c r="AA541" s="85"/>
      <c r="AB541" s="85"/>
      <c r="AC541" s="85"/>
      <c r="AD541" s="85"/>
      <c r="AE541" s="85"/>
      <c r="AF541" s="85"/>
      <c r="AG541" s="85"/>
      <c r="AH541" s="91"/>
      <c r="AI541" s="85"/>
      <c r="AJ541" s="85"/>
    </row>
    <row r="542" ht="15.75" customHeight="1">
      <c r="A542" s="85"/>
      <c r="B542" s="65"/>
      <c r="C542" s="85"/>
      <c r="D542" s="65"/>
      <c r="E542" s="65"/>
      <c r="F542" s="65"/>
      <c r="G542" s="6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65"/>
      <c r="W542" s="65"/>
      <c r="X542" s="85"/>
      <c r="Y542" s="85"/>
      <c r="Z542" s="85"/>
      <c r="AA542" s="85"/>
      <c r="AB542" s="85"/>
      <c r="AC542" s="85"/>
      <c r="AD542" s="85"/>
      <c r="AE542" s="85"/>
      <c r="AF542" s="85"/>
      <c r="AG542" s="85"/>
      <c r="AH542" s="91"/>
      <c r="AI542" s="85"/>
      <c r="AJ542" s="85"/>
    </row>
    <row r="543" ht="15.75" customHeight="1">
      <c r="A543" s="85"/>
      <c r="B543" s="65"/>
      <c r="C543" s="85"/>
      <c r="D543" s="65"/>
      <c r="E543" s="65"/>
      <c r="F543" s="65"/>
      <c r="G543" s="6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65"/>
      <c r="W543" s="65"/>
      <c r="X543" s="85"/>
      <c r="Y543" s="85"/>
      <c r="Z543" s="85"/>
      <c r="AA543" s="85"/>
      <c r="AB543" s="85"/>
      <c r="AC543" s="85"/>
      <c r="AD543" s="85"/>
      <c r="AE543" s="85"/>
      <c r="AF543" s="85"/>
      <c r="AG543" s="85"/>
      <c r="AH543" s="91"/>
      <c r="AI543" s="85"/>
      <c r="AJ543" s="85"/>
    </row>
    <row r="544" ht="15.75" customHeight="1">
      <c r="A544" s="85"/>
      <c r="B544" s="65"/>
      <c r="C544" s="85"/>
      <c r="D544" s="65"/>
      <c r="E544" s="65"/>
      <c r="F544" s="65"/>
      <c r="G544" s="6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65"/>
      <c r="W544" s="65"/>
      <c r="X544" s="85"/>
      <c r="Y544" s="85"/>
      <c r="Z544" s="85"/>
      <c r="AA544" s="85"/>
      <c r="AB544" s="85"/>
      <c r="AC544" s="85"/>
      <c r="AD544" s="85"/>
      <c r="AE544" s="85"/>
      <c r="AF544" s="85"/>
      <c r="AG544" s="85"/>
      <c r="AH544" s="91"/>
      <c r="AI544" s="85"/>
      <c r="AJ544" s="85"/>
    </row>
    <row r="545" ht="15.75" customHeight="1">
      <c r="A545" s="85"/>
      <c r="B545" s="65"/>
      <c r="C545" s="85"/>
      <c r="D545" s="65"/>
      <c r="E545" s="65"/>
      <c r="F545" s="65"/>
      <c r="G545" s="6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65"/>
      <c r="W545" s="65"/>
      <c r="X545" s="85"/>
      <c r="Y545" s="85"/>
      <c r="Z545" s="85"/>
      <c r="AA545" s="85"/>
      <c r="AB545" s="85"/>
      <c r="AC545" s="85"/>
      <c r="AD545" s="85"/>
      <c r="AE545" s="85"/>
      <c r="AF545" s="85"/>
      <c r="AG545" s="85"/>
      <c r="AH545" s="91"/>
      <c r="AI545" s="85"/>
      <c r="AJ545" s="85"/>
    </row>
    <row r="546" ht="15.75" customHeight="1">
      <c r="A546" s="85"/>
      <c r="B546" s="65"/>
      <c r="C546" s="85"/>
      <c r="D546" s="65"/>
      <c r="E546" s="65"/>
      <c r="F546" s="65"/>
      <c r="G546" s="6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65"/>
      <c r="W546" s="65"/>
      <c r="X546" s="85"/>
      <c r="Y546" s="85"/>
      <c r="Z546" s="85"/>
      <c r="AA546" s="85"/>
      <c r="AB546" s="85"/>
      <c r="AC546" s="85"/>
      <c r="AD546" s="85"/>
      <c r="AE546" s="85"/>
      <c r="AF546" s="85"/>
      <c r="AG546" s="85"/>
      <c r="AH546" s="91"/>
      <c r="AI546" s="85"/>
      <c r="AJ546" s="85"/>
    </row>
    <row r="547" ht="15.75" customHeight="1">
      <c r="A547" s="85"/>
      <c r="B547" s="65"/>
      <c r="C547" s="85"/>
      <c r="D547" s="65"/>
      <c r="E547" s="65"/>
      <c r="F547" s="65"/>
      <c r="G547" s="6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65"/>
      <c r="W547" s="65"/>
      <c r="X547" s="85"/>
      <c r="Y547" s="85"/>
      <c r="Z547" s="85"/>
      <c r="AA547" s="85"/>
      <c r="AB547" s="85"/>
      <c r="AC547" s="85"/>
      <c r="AD547" s="85"/>
      <c r="AE547" s="85"/>
      <c r="AF547" s="85"/>
      <c r="AG547" s="85"/>
      <c r="AH547" s="91"/>
      <c r="AI547" s="85"/>
      <c r="AJ547" s="85"/>
    </row>
    <row r="548" ht="15.75" customHeight="1">
      <c r="A548" s="85"/>
      <c r="B548" s="65"/>
      <c r="C548" s="85"/>
      <c r="D548" s="65"/>
      <c r="E548" s="65"/>
      <c r="F548" s="65"/>
      <c r="G548" s="6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65"/>
      <c r="W548" s="65"/>
      <c r="X548" s="85"/>
      <c r="Y548" s="85"/>
      <c r="Z548" s="85"/>
      <c r="AA548" s="85"/>
      <c r="AB548" s="85"/>
      <c r="AC548" s="85"/>
      <c r="AD548" s="85"/>
      <c r="AE548" s="85"/>
      <c r="AF548" s="85"/>
      <c r="AG548" s="85"/>
      <c r="AH548" s="91"/>
      <c r="AI548" s="85"/>
      <c r="AJ548" s="85"/>
    </row>
    <row r="549" ht="15.75" customHeight="1">
      <c r="A549" s="85"/>
      <c r="B549" s="65"/>
      <c r="C549" s="85"/>
      <c r="D549" s="65"/>
      <c r="E549" s="65"/>
      <c r="F549" s="65"/>
      <c r="G549" s="6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65"/>
      <c r="W549" s="65"/>
      <c r="X549" s="85"/>
      <c r="Y549" s="85"/>
      <c r="Z549" s="85"/>
      <c r="AA549" s="85"/>
      <c r="AB549" s="85"/>
      <c r="AC549" s="85"/>
      <c r="AD549" s="85"/>
      <c r="AE549" s="85"/>
      <c r="AF549" s="85"/>
      <c r="AG549" s="85"/>
      <c r="AH549" s="91"/>
      <c r="AI549" s="85"/>
      <c r="AJ549" s="85"/>
    </row>
    <row r="550" ht="15.75" customHeight="1">
      <c r="A550" s="85"/>
      <c r="B550" s="65"/>
      <c r="C550" s="85"/>
      <c r="D550" s="65"/>
      <c r="E550" s="65"/>
      <c r="F550" s="65"/>
      <c r="G550" s="6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65"/>
      <c r="W550" s="65"/>
      <c r="X550" s="85"/>
      <c r="Y550" s="85"/>
      <c r="Z550" s="85"/>
      <c r="AA550" s="85"/>
      <c r="AB550" s="85"/>
      <c r="AC550" s="85"/>
      <c r="AD550" s="85"/>
      <c r="AE550" s="85"/>
      <c r="AF550" s="85"/>
      <c r="AG550" s="85"/>
      <c r="AH550" s="91"/>
      <c r="AI550" s="85"/>
      <c r="AJ550" s="85"/>
    </row>
    <row r="551" ht="15.75" customHeight="1">
      <c r="A551" s="85"/>
      <c r="B551" s="65"/>
      <c r="C551" s="85"/>
      <c r="D551" s="65"/>
      <c r="E551" s="65"/>
      <c r="F551" s="65"/>
      <c r="G551" s="6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65"/>
      <c r="W551" s="65"/>
      <c r="X551" s="85"/>
      <c r="Y551" s="85"/>
      <c r="Z551" s="85"/>
      <c r="AA551" s="85"/>
      <c r="AB551" s="85"/>
      <c r="AC551" s="85"/>
      <c r="AD551" s="85"/>
      <c r="AE551" s="85"/>
      <c r="AF551" s="85"/>
      <c r="AG551" s="85"/>
      <c r="AH551" s="91"/>
      <c r="AI551" s="85"/>
      <c r="AJ551" s="85"/>
    </row>
    <row r="552" ht="15.75" customHeight="1">
      <c r="A552" s="85"/>
      <c r="B552" s="65"/>
      <c r="C552" s="85"/>
      <c r="D552" s="65"/>
      <c r="E552" s="65"/>
      <c r="F552" s="65"/>
      <c r="G552" s="6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65"/>
      <c r="W552" s="65"/>
      <c r="X552" s="85"/>
      <c r="Y552" s="85"/>
      <c r="Z552" s="85"/>
      <c r="AA552" s="85"/>
      <c r="AB552" s="85"/>
      <c r="AC552" s="85"/>
      <c r="AD552" s="85"/>
      <c r="AE552" s="85"/>
      <c r="AF552" s="85"/>
      <c r="AG552" s="85"/>
      <c r="AH552" s="91"/>
      <c r="AI552" s="85"/>
      <c r="AJ552" s="85"/>
    </row>
    <row r="553" ht="15.75" customHeight="1">
      <c r="A553" s="85"/>
      <c r="B553" s="65"/>
      <c r="C553" s="85"/>
      <c r="D553" s="65"/>
      <c r="E553" s="65"/>
      <c r="F553" s="65"/>
      <c r="G553" s="6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65"/>
      <c r="W553" s="65"/>
      <c r="X553" s="85"/>
      <c r="Y553" s="85"/>
      <c r="Z553" s="85"/>
      <c r="AA553" s="85"/>
      <c r="AB553" s="85"/>
      <c r="AC553" s="85"/>
      <c r="AD553" s="85"/>
      <c r="AE553" s="85"/>
      <c r="AF553" s="85"/>
      <c r="AG553" s="85"/>
      <c r="AH553" s="91"/>
      <c r="AI553" s="85"/>
      <c r="AJ553" s="85"/>
    </row>
    <row r="554" ht="15.75" customHeight="1">
      <c r="A554" s="85"/>
      <c r="B554" s="65"/>
      <c r="C554" s="85"/>
      <c r="D554" s="65"/>
      <c r="E554" s="65"/>
      <c r="F554" s="65"/>
      <c r="G554" s="6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65"/>
      <c r="W554" s="65"/>
      <c r="X554" s="85"/>
      <c r="Y554" s="85"/>
      <c r="Z554" s="85"/>
      <c r="AA554" s="85"/>
      <c r="AB554" s="85"/>
      <c r="AC554" s="85"/>
      <c r="AD554" s="85"/>
      <c r="AE554" s="85"/>
      <c r="AF554" s="85"/>
      <c r="AG554" s="85"/>
      <c r="AH554" s="91"/>
      <c r="AI554" s="85"/>
      <c r="AJ554" s="85"/>
    </row>
    <row r="555" ht="15.75" customHeight="1">
      <c r="A555" s="85"/>
      <c r="B555" s="65"/>
      <c r="C555" s="85"/>
      <c r="D555" s="65"/>
      <c r="E555" s="65"/>
      <c r="F555" s="65"/>
      <c r="G555" s="6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65"/>
      <c r="W555" s="65"/>
      <c r="X555" s="85"/>
      <c r="Y555" s="85"/>
      <c r="Z555" s="85"/>
      <c r="AA555" s="85"/>
      <c r="AB555" s="85"/>
      <c r="AC555" s="85"/>
      <c r="AD555" s="85"/>
      <c r="AE555" s="85"/>
      <c r="AF555" s="85"/>
      <c r="AG555" s="85"/>
      <c r="AH555" s="91"/>
      <c r="AI555" s="85"/>
      <c r="AJ555" s="85"/>
    </row>
    <row r="556" ht="15.75" customHeight="1">
      <c r="A556" s="85"/>
      <c r="B556" s="65"/>
      <c r="C556" s="85"/>
      <c r="D556" s="65"/>
      <c r="E556" s="65"/>
      <c r="F556" s="65"/>
      <c r="G556" s="6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65"/>
      <c r="W556" s="65"/>
      <c r="X556" s="85"/>
      <c r="Y556" s="85"/>
      <c r="Z556" s="85"/>
      <c r="AA556" s="85"/>
      <c r="AB556" s="85"/>
      <c r="AC556" s="85"/>
      <c r="AD556" s="85"/>
      <c r="AE556" s="85"/>
      <c r="AF556" s="85"/>
      <c r="AG556" s="85"/>
      <c r="AH556" s="91"/>
      <c r="AI556" s="85"/>
      <c r="AJ556" s="85"/>
    </row>
    <row r="557" ht="15.75" customHeight="1">
      <c r="A557" s="85"/>
      <c r="B557" s="65"/>
      <c r="C557" s="85"/>
      <c r="D557" s="65"/>
      <c r="E557" s="65"/>
      <c r="F557" s="65"/>
      <c r="G557" s="6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65"/>
      <c r="W557" s="65"/>
      <c r="X557" s="85"/>
      <c r="Y557" s="85"/>
      <c r="Z557" s="85"/>
      <c r="AA557" s="85"/>
      <c r="AB557" s="85"/>
      <c r="AC557" s="85"/>
      <c r="AD557" s="85"/>
      <c r="AE557" s="85"/>
      <c r="AF557" s="85"/>
      <c r="AG557" s="85"/>
      <c r="AH557" s="91"/>
      <c r="AI557" s="85"/>
      <c r="AJ557" s="85"/>
    </row>
    <row r="558" ht="15.75" customHeight="1">
      <c r="A558" s="85"/>
      <c r="B558" s="65"/>
      <c r="C558" s="85"/>
      <c r="D558" s="65"/>
      <c r="E558" s="65"/>
      <c r="F558" s="65"/>
      <c r="G558" s="6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65"/>
      <c r="W558" s="65"/>
      <c r="X558" s="85"/>
      <c r="Y558" s="85"/>
      <c r="Z558" s="85"/>
      <c r="AA558" s="85"/>
      <c r="AB558" s="85"/>
      <c r="AC558" s="85"/>
      <c r="AD558" s="85"/>
      <c r="AE558" s="85"/>
      <c r="AF558" s="85"/>
      <c r="AG558" s="85"/>
      <c r="AH558" s="91"/>
      <c r="AI558" s="85"/>
      <c r="AJ558" s="85"/>
    </row>
    <row r="559" ht="15.75" customHeight="1">
      <c r="A559" s="85"/>
      <c r="B559" s="65"/>
      <c r="C559" s="85"/>
      <c r="D559" s="65"/>
      <c r="E559" s="65"/>
      <c r="F559" s="65"/>
      <c r="G559" s="6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65"/>
      <c r="W559" s="65"/>
      <c r="X559" s="85"/>
      <c r="Y559" s="85"/>
      <c r="Z559" s="85"/>
      <c r="AA559" s="85"/>
      <c r="AB559" s="85"/>
      <c r="AC559" s="85"/>
      <c r="AD559" s="85"/>
      <c r="AE559" s="85"/>
      <c r="AF559" s="85"/>
      <c r="AG559" s="85"/>
      <c r="AH559" s="91"/>
      <c r="AI559" s="85"/>
      <c r="AJ559" s="85"/>
    </row>
    <row r="560" ht="15.75" customHeight="1">
      <c r="A560" s="85"/>
      <c r="B560" s="65"/>
      <c r="C560" s="85"/>
      <c r="D560" s="65"/>
      <c r="E560" s="65"/>
      <c r="F560" s="65"/>
      <c r="G560" s="6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65"/>
      <c r="W560" s="65"/>
      <c r="X560" s="85"/>
      <c r="Y560" s="85"/>
      <c r="Z560" s="85"/>
      <c r="AA560" s="85"/>
      <c r="AB560" s="85"/>
      <c r="AC560" s="85"/>
      <c r="AD560" s="85"/>
      <c r="AE560" s="85"/>
      <c r="AF560" s="85"/>
      <c r="AG560" s="85"/>
      <c r="AH560" s="91"/>
      <c r="AI560" s="85"/>
      <c r="AJ560" s="85"/>
    </row>
    <row r="561" ht="15.75" customHeight="1">
      <c r="A561" s="85"/>
      <c r="B561" s="65"/>
      <c r="C561" s="85"/>
      <c r="D561" s="65"/>
      <c r="E561" s="65"/>
      <c r="F561" s="65"/>
      <c r="G561" s="6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65"/>
      <c r="W561" s="65"/>
      <c r="X561" s="85"/>
      <c r="Y561" s="85"/>
      <c r="Z561" s="85"/>
      <c r="AA561" s="85"/>
      <c r="AB561" s="85"/>
      <c r="AC561" s="85"/>
      <c r="AD561" s="85"/>
      <c r="AE561" s="85"/>
      <c r="AF561" s="85"/>
      <c r="AG561" s="85"/>
      <c r="AH561" s="91"/>
      <c r="AI561" s="85"/>
      <c r="AJ561" s="85"/>
    </row>
    <row r="562" ht="15.75" customHeight="1">
      <c r="A562" s="85"/>
      <c r="B562" s="65"/>
      <c r="C562" s="85"/>
      <c r="D562" s="65"/>
      <c r="E562" s="65"/>
      <c r="F562" s="65"/>
      <c r="G562" s="6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65"/>
      <c r="W562" s="65"/>
      <c r="X562" s="85"/>
      <c r="Y562" s="85"/>
      <c r="Z562" s="85"/>
      <c r="AA562" s="85"/>
      <c r="AB562" s="85"/>
      <c r="AC562" s="85"/>
      <c r="AD562" s="85"/>
      <c r="AE562" s="85"/>
      <c r="AF562" s="85"/>
      <c r="AG562" s="85"/>
      <c r="AH562" s="91"/>
      <c r="AI562" s="85"/>
      <c r="AJ562" s="85"/>
    </row>
    <row r="563" ht="15.75" customHeight="1">
      <c r="A563" s="85"/>
      <c r="B563" s="65"/>
      <c r="C563" s="85"/>
      <c r="D563" s="65"/>
      <c r="E563" s="65"/>
      <c r="F563" s="65"/>
      <c r="G563" s="6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65"/>
      <c r="W563" s="65"/>
      <c r="X563" s="85"/>
      <c r="Y563" s="85"/>
      <c r="Z563" s="85"/>
      <c r="AA563" s="85"/>
      <c r="AB563" s="85"/>
      <c r="AC563" s="85"/>
      <c r="AD563" s="85"/>
      <c r="AE563" s="85"/>
      <c r="AF563" s="85"/>
      <c r="AG563" s="85"/>
      <c r="AH563" s="91"/>
      <c r="AI563" s="85"/>
      <c r="AJ563" s="85"/>
    </row>
    <row r="564" ht="15.75" customHeight="1">
      <c r="A564" s="85"/>
      <c r="B564" s="65"/>
      <c r="C564" s="85"/>
      <c r="D564" s="65"/>
      <c r="E564" s="65"/>
      <c r="F564" s="65"/>
      <c r="G564" s="6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65"/>
      <c r="W564" s="65"/>
      <c r="X564" s="85"/>
      <c r="Y564" s="85"/>
      <c r="Z564" s="85"/>
      <c r="AA564" s="85"/>
      <c r="AB564" s="85"/>
      <c r="AC564" s="85"/>
      <c r="AD564" s="85"/>
      <c r="AE564" s="85"/>
      <c r="AF564" s="85"/>
      <c r="AG564" s="85"/>
      <c r="AH564" s="91"/>
      <c r="AI564" s="85"/>
      <c r="AJ564" s="85"/>
    </row>
    <row r="565" ht="15.75" customHeight="1">
      <c r="A565" s="85"/>
      <c r="B565" s="65"/>
      <c r="C565" s="85"/>
      <c r="D565" s="65"/>
      <c r="E565" s="65"/>
      <c r="F565" s="65"/>
      <c r="G565" s="6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65"/>
      <c r="W565" s="65"/>
      <c r="X565" s="85"/>
      <c r="Y565" s="85"/>
      <c r="Z565" s="85"/>
      <c r="AA565" s="85"/>
      <c r="AB565" s="85"/>
      <c r="AC565" s="85"/>
      <c r="AD565" s="85"/>
      <c r="AE565" s="85"/>
      <c r="AF565" s="85"/>
      <c r="AG565" s="85"/>
      <c r="AH565" s="91"/>
      <c r="AI565" s="85"/>
      <c r="AJ565" s="85"/>
    </row>
    <row r="566" ht="15.75" customHeight="1">
      <c r="A566" s="85"/>
      <c r="B566" s="65"/>
      <c r="C566" s="85"/>
      <c r="D566" s="65"/>
      <c r="E566" s="65"/>
      <c r="F566" s="65"/>
      <c r="G566" s="6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65"/>
      <c r="W566" s="65"/>
      <c r="X566" s="85"/>
      <c r="Y566" s="85"/>
      <c r="Z566" s="85"/>
      <c r="AA566" s="85"/>
      <c r="AB566" s="85"/>
      <c r="AC566" s="85"/>
      <c r="AD566" s="85"/>
      <c r="AE566" s="85"/>
      <c r="AF566" s="85"/>
      <c r="AG566" s="85"/>
      <c r="AH566" s="91"/>
      <c r="AI566" s="85"/>
      <c r="AJ566" s="85"/>
    </row>
    <row r="567" ht="15.75" customHeight="1">
      <c r="A567" s="85"/>
      <c r="B567" s="65"/>
      <c r="C567" s="85"/>
      <c r="D567" s="65"/>
      <c r="E567" s="65"/>
      <c r="F567" s="65"/>
      <c r="G567" s="6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65"/>
      <c r="W567" s="65"/>
      <c r="X567" s="85"/>
      <c r="Y567" s="85"/>
      <c r="Z567" s="85"/>
      <c r="AA567" s="85"/>
      <c r="AB567" s="85"/>
      <c r="AC567" s="85"/>
      <c r="AD567" s="85"/>
      <c r="AE567" s="85"/>
      <c r="AF567" s="85"/>
      <c r="AG567" s="85"/>
      <c r="AH567" s="91"/>
      <c r="AI567" s="85"/>
      <c r="AJ567" s="85"/>
    </row>
    <row r="568" ht="15.75" customHeight="1">
      <c r="A568" s="85"/>
      <c r="B568" s="65"/>
      <c r="C568" s="85"/>
      <c r="D568" s="65"/>
      <c r="E568" s="65"/>
      <c r="F568" s="65"/>
      <c r="G568" s="6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65"/>
      <c r="W568" s="65"/>
      <c r="X568" s="85"/>
      <c r="Y568" s="85"/>
      <c r="Z568" s="85"/>
      <c r="AA568" s="85"/>
      <c r="AB568" s="85"/>
      <c r="AC568" s="85"/>
      <c r="AD568" s="85"/>
      <c r="AE568" s="85"/>
      <c r="AF568" s="85"/>
      <c r="AG568" s="85"/>
      <c r="AH568" s="91"/>
      <c r="AI568" s="85"/>
      <c r="AJ568" s="85"/>
    </row>
    <row r="569" ht="15.75" customHeight="1">
      <c r="A569" s="85"/>
      <c r="B569" s="65"/>
      <c r="C569" s="85"/>
      <c r="D569" s="65"/>
      <c r="E569" s="65"/>
      <c r="F569" s="65"/>
      <c r="G569" s="6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65"/>
      <c r="W569" s="65"/>
      <c r="X569" s="85"/>
      <c r="Y569" s="85"/>
      <c r="Z569" s="85"/>
      <c r="AA569" s="85"/>
      <c r="AB569" s="85"/>
      <c r="AC569" s="85"/>
      <c r="AD569" s="85"/>
      <c r="AE569" s="85"/>
      <c r="AF569" s="85"/>
      <c r="AG569" s="85"/>
      <c r="AH569" s="91"/>
      <c r="AI569" s="85"/>
      <c r="AJ569" s="85"/>
    </row>
    <row r="570" ht="15.75" customHeight="1">
      <c r="A570" s="85"/>
      <c r="B570" s="65"/>
      <c r="C570" s="85"/>
      <c r="D570" s="65"/>
      <c r="E570" s="65"/>
      <c r="F570" s="65"/>
      <c r="G570" s="6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65"/>
      <c r="W570" s="65"/>
      <c r="X570" s="85"/>
      <c r="Y570" s="85"/>
      <c r="Z570" s="85"/>
      <c r="AA570" s="85"/>
      <c r="AB570" s="85"/>
      <c r="AC570" s="85"/>
      <c r="AD570" s="85"/>
      <c r="AE570" s="85"/>
      <c r="AF570" s="85"/>
      <c r="AG570" s="85"/>
      <c r="AH570" s="91"/>
      <c r="AI570" s="85"/>
      <c r="AJ570" s="85"/>
    </row>
    <row r="571" ht="15.75" customHeight="1">
      <c r="A571" s="85"/>
      <c r="B571" s="65"/>
      <c r="C571" s="85"/>
      <c r="D571" s="65"/>
      <c r="E571" s="65"/>
      <c r="F571" s="65"/>
      <c r="G571" s="6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65"/>
      <c r="W571" s="65"/>
      <c r="X571" s="85"/>
      <c r="Y571" s="85"/>
      <c r="Z571" s="85"/>
      <c r="AA571" s="85"/>
      <c r="AB571" s="85"/>
      <c r="AC571" s="85"/>
      <c r="AD571" s="85"/>
      <c r="AE571" s="85"/>
      <c r="AF571" s="85"/>
      <c r="AG571" s="85"/>
      <c r="AH571" s="91"/>
      <c r="AI571" s="85"/>
      <c r="AJ571" s="85"/>
    </row>
    <row r="572" ht="15.75" customHeight="1">
      <c r="A572" s="85"/>
      <c r="B572" s="65"/>
      <c r="C572" s="85"/>
      <c r="D572" s="65"/>
      <c r="E572" s="65"/>
      <c r="F572" s="65"/>
      <c r="G572" s="6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65"/>
      <c r="W572" s="65"/>
      <c r="X572" s="85"/>
      <c r="Y572" s="85"/>
      <c r="Z572" s="85"/>
      <c r="AA572" s="85"/>
      <c r="AB572" s="85"/>
      <c r="AC572" s="85"/>
      <c r="AD572" s="85"/>
      <c r="AE572" s="85"/>
      <c r="AF572" s="85"/>
      <c r="AG572" s="85"/>
      <c r="AH572" s="91"/>
      <c r="AI572" s="85"/>
      <c r="AJ572" s="85"/>
    </row>
    <row r="573" ht="15.75" customHeight="1">
      <c r="A573" s="85"/>
      <c r="B573" s="65"/>
      <c r="C573" s="85"/>
      <c r="D573" s="65"/>
      <c r="E573" s="65"/>
      <c r="F573" s="65"/>
      <c r="G573" s="6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65"/>
      <c r="W573" s="6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91"/>
      <c r="AI573" s="85"/>
      <c r="AJ573" s="85"/>
    </row>
    <row r="574" ht="15.75" customHeight="1">
      <c r="A574" s="85"/>
      <c r="B574" s="65"/>
      <c r="C574" s="85"/>
      <c r="D574" s="65"/>
      <c r="E574" s="65"/>
      <c r="F574" s="65"/>
      <c r="G574" s="6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65"/>
      <c r="W574" s="65"/>
      <c r="X574" s="85"/>
      <c r="Y574" s="85"/>
      <c r="Z574" s="85"/>
      <c r="AA574" s="85"/>
      <c r="AB574" s="85"/>
      <c r="AC574" s="85"/>
      <c r="AD574" s="85"/>
      <c r="AE574" s="85"/>
      <c r="AF574" s="85"/>
      <c r="AG574" s="85"/>
      <c r="AH574" s="91"/>
      <c r="AI574" s="85"/>
      <c r="AJ574" s="85"/>
    </row>
    <row r="575" ht="15.75" customHeight="1">
      <c r="A575" s="85"/>
      <c r="B575" s="65"/>
      <c r="C575" s="85"/>
      <c r="D575" s="65"/>
      <c r="E575" s="65"/>
      <c r="F575" s="65"/>
      <c r="G575" s="6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65"/>
      <c r="W575" s="65"/>
      <c r="X575" s="85"/>
      <c r="Y575" s="85"/>
      <c r="Z575" s="85"/>
      <c r="AA575" s="85"/>
      <c r="AB575" s="85"/>
      <c r="AC575" s="85"/>
      <c r="AD575" s="85"/>
      <c r="AE575" s="85"/>
      <c r="AF575" s="85"/>
      <c r="AG575" s="85"/>
      <c r="AH575" s="91"/>
      <c r="AI575" s="85"/>
      <c r="AJ575" s="85"/>
    </row>
    <row r="576" ht="15.75" customHeight="1">
      <c r="A576" s="85"/>
      <c r="B576" s="65"/>
      <c r="C576" s="85"/>
      <c r="D576" s="65"/>
      <c r="E576" s="65"/>
      <c r="F576" s="65"/>
      <c r="G576" s="6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65"/>
      <c r="W576" s="65"/>
      <c r="X576" s="85"/>
      <c r="Y576" s="85"/>
      <c r="Z576" s="85"/>
      <c r="AA576" s="85"/>
      <c r="AB576" s="85"/>
      <c r="AC576" s="85"/>
      <c r="AD576" s="85"/>
      <c r="AE576" s="85"/>
      <c r="AF576" s="85"/>
      <c r="AG576" s="85"/>
      <c r="AH576" s="91"/>
      <c r="AI576" s="85"/>
      <c r="AJ576" s="85"/>
    </row>
    <row r="577" ht="15.75" customHeight="1">
      <c r="A577" s="85"/>
      <c r="B577" s="65"/>
      <c r="C577" s="85"/>
      <c r="D577" s="65"/>
      <c r="E577" s="65"/>
      <c r="F577" s="65"/>
      <c r="G577" s="6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65"/>
      <c r="W577" s="65"/>
      <c r="X577" s="85"/>
      <c r="Y577" s="85"/>
      <c r="Z577" s="85"/>
      <c r="AA577" s="85"/>
      <c r="AB577" s="85"/>
      <c r="AC577" s="85"/>
      <c r="AD577" s="85"/>
      <c r="AE577" s="85"/>
      <c r="AF577" s="85"/>
      <c r="AG577" s="85"/>
      <c r="AH577" s="91"/>
      <c r="AI577" s="85"/>
      <c r="AJ577" s="85"/>
    </row>
    <row r="578" ht="15.75" customHeight="1">
      <c r="A578" s="85"/>
      <c r="B578" s="65"/>
      <c r="C578" s="85"/>
      <c r="D578" s="65"/>
      <c r="E578" s="65"/>
      <c r="F578" s="65"/>
      <c r="G578" s="6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65"/>
      <c r="W578" s="65"/>
      <c r="X578" s="85"/>
      <c r="Y578" s="85"/>
      <c r="Z578" s="85"/>
      <c r="AA578" s="85"/>
      <c r="AB578" s="85"/>
      <c r="AC578" s="85"/>
      <c r="AD578" s="85"/>
      <c r="AE578" s="85"/>
      <c r="AF578" s="85"/>
      <c r="AG578" s="85"/>
      <c r="AH578" s="91"/>
      <c r="AI578" s="85"/>
      <c r="AJ578" s="85"/>
    </row>
    <row r="579" ht="15.75" customHeight="1">
      <c r="A579" s="85"/>
      <c r="B579" s="65"/>
      <c r="C579" s="85"/>
      <c r="D579" s="65"/>
      <c r="E579" s="65"/>
      <c r="F579" s="65"/>
      <c r="G579" s="6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65"/>
      <c r="W579" s="65"/>
      <c r="X579" s="85"/>
      <c r="Y579" s="85"/>
      <c r="Z579" s="85"/>
      <c r="AA579" s="85"/>
      <c r="AB579" s="85"/>
      <c r="AC579" s="85"/>
      <c r="AD579" s="85"/>
      <c r="AE579" s="85"/>
      <c r="AF579" s="85"/>
      <c r="AG579" s="85"/>
      <c r="AH579" s="91"/>
      <c r="AI579" s="85"/>
      <c r="AJ579" s="85"/>
    </row>
    <row r="580" ht="15.75" customHeight="1">
      <c r="A580" s="85"/>
      <c r="B580" s="65"/>
      <c r="C580" s="85"/>
      <c r="D580" s="65"/>
      <c r="E580" s="65"/>
      <c r="F580" s="65"/>
      <c r="G580" s="6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65"/>
      <c r="W580" s="65"/>
      <c r="X580" s="85"/>
      <c r="Y580" s="85"/>
      <c r="Z580" s="85"/>
      <c r="AA580" s="85"/>
      <c r="AB580" s="85"/>
      <c r="AC580" s="85"/>
      <c r="AD580" s="85"/>
      <c r="AE580" s="85"/>
      <c r="AF580" s="85"/>
      <c r="AG580" s="85"/>
      <c r="AH580" s="91"/>
      <c r="AI580" s="85"/>
      <c r="AJ580" s="85"/>
    </row>
    <row r="581" ht="15.75" customHeight="1">
      <c r="A581" s="85"/>
      <c r="B581" s="65"/>
      <c r="C581" s="85"/>
      <c r="D581" s="65"/>
      <c r="E581" s="65"/>
      <c r="F581" s="65"/>
      <c r="G581" s="6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65"/>
      <c r="W581" s="65"/>
      <c r="X581" s="85"/>
      <c r="Y581" s="85"/>
      <c r="Z581" s="85"/>
      <c r="AA581" s="85"/>
      <c r="AB581" s="85"/>
      <c r="AC581" s="85"/>
      <c r="AD581" s="85"/>
      <c r="AE581" s="85"/>
      <c r="AF581" s="85"/>
      <c r="AG581" s="85"/>
      <c r="AH581" s="91"/>
      <c r="AI581" s="85"/>
      <c r="AJ581" s="85"/>
    </row>
    <row r="582" ht="15.75" customHeight="1">
      <c r="A582" s="85"/>
      <c r="B582" s="65"/>
      <c r="C582" s="85"/>
      <c r="D582" s="65"/>
      <c r="E582" s="65"/>
      <c r="F582" s="65"/>
      <c r="G582" s="6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65"/>
      <c r="W582" s="65"/>
      <c r="X582" s="85"/>
      <c r="Y582" s="85"/>
      <c r="Z582" s="85"/>
      <c r="AA582" s="85"/>
      <c r="AB582" s="85"/>
      <c r="AC582" s="85"/>
      <c r="AD582" s="85"/>
      <c r="AE582" s="85"/>
      <c r="AF582" s="85"/>
      <c r="AG582" s="85"/>
      <c r="AH582" s="91"/>
      <c r="AI582" s="85"/>
      <c r="AJ582" s="85"/>
    </row>
    <row r="583" ht="15.75" customHeight="1">
      <c r="A583" s="85"/>
      <c r="B583" s="65"/>
      <c r="C583" s="85"/>
      <c r="D583" s="65"/>
      <c r="E583" s="65"/>
      <c r="F583" s="65"/>
      <c r="G583" s="6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65"/>
      <c r="W583" s="65"/>
      <c r="X583" s="85"/>
      <c r="Y583" s="85"/>
      <c r="Z583" s="85"/>
      <c r="AA583" s="85"/>
      <c r="AB583" s="85"/>
      <c r="AC583" s="85"/>
      <c r="AD583" s="85"/>
      <c r="AE583" s="85"/>
      <c r="AF583" s="85"/>
      <c r="AG583" s="85"/>
      <c r="AH583" s="91"/>
      <c r="AI583" s="85"/>
      <c r="AJ583" s="85"/>
    </row>
    <row r="584" ht="15.75" customHeight="1">
      <c r="A584" s="85"/>
      <c r="B584" s="65"/>
      <c r="C584" s="85"/>
      <c r="D584" s="65"/>
      <c r="E584" s="65"/>
      <c r="F584" s="65"/>
      <c r="G584" s="6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65"/>
      <c r="W584" s="65"/>
      <c r="X584" s="85"/>
      <c r="Y584" s="85"/>
      <c r="Z584" s="85"/>
      <c r="AA584" s="85"/>
      <c r="AB584" s="85"/>
      <c r="AC584" s="85"/>
      <c r="AD584" s="85"/>
      <c r="AE584" s="85"/>
      <c r="AF584" s="85"/>
      <c r="AG584" s="85"/>
      <c r="AH584" s="91"/>
      <c r="AI584" s="85"/>
      <c r="AJ584" s="85"/>
    </row>
    <row r="585" ht="15.75" customHeight="1">
      <c r="A585" s="85"/>
      <c r="B585" s="65"/>
      <c r="C585" s="85"/>
      <c r="D585" s="65"/>
      <c r="E585" s="65"/>
      <c r="F585" s="65"/>
      <c r="G585" s="6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65"/>
      <c r="W585" s="65"/>
      <c r="X585" s="85"/>
      <c r="Y585" s="85"/>
      <c r="Z585" s="85"/>
      <c r="AA585" s="85"/>
      <c r="AB585" s="85"/>
      <c r="AC585" s="85"/>
      <c r="AD585" s="85"/>
      <c r="AE585" s="85"/>
      <c r="AF585" s="85"/>
      <c r="AG585" s="85"/>
      <c r="AH585" s="91"/>
      <c r="AI585" s="85"/>
      <c r="AJ585" s="85"/>
    </row>
    <row r="586" ht="15.75" customHeight="1">
      <c r="A586" s="85"/>
      <c r="B586" s="65"/>
      <c r="C586" s="85"/>
      <c r="D586" s="65"/>
      <c r="E586" s="65"/>
      <c r="F586" s="65"/>
      <c r="G586" s="6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65"/>
      <c r="W586" s="65"/>
      <c r="X586" s="85"/>
      <c r="Y586" s="85"/>
      <c r="Z586" s="85"/>
      <c r="AA586" s="85"/>
      <c r="AB586" s="85"/>
      <c r="AC586" s="85"/>
      <c r="AD586" s="85"/>
      <c r="AE586" s="85"/>
      <c r="AF586" s="85"/>
      <c r="AG586" s="85"/>
      <c r="AH586" s="91"/>
      <c r="AI586" s="85"/>
      <c r="AJ586" s="85"/>
    </row>
    <row r="587" ht="15.75" customHeight="1">
      <c r="A587" s="85"/>
      <c r="B587" s="65"/>
      <c r="C587" s="85"/>
      <c r="D587" s="65"/>
      <c r="E587" s="65"/>
      <c r="F587" s="65"/>
      <c r="G587" s="6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65"/>
      <c r="W587" s="65"/>
      <c r="X587" s="85"/>
      <c r="Y587" s="85"/>
      <c r="Z587" s="85"/>
      <c r="AA587" s="85"/>
      <c r="AB587" s="85"/>
      <c r="AC587" s="85"/>
      <c r="AD587" s="85"/>
      <c r="AE587" s="85"/>
      <c r="AF587" s="85"/>
      <c r="AG587" s="85"/>
      <c r="AH587" s="91"/>
      <c r="AI587" s="85"/>
      <c r="AJ587" s="85"/>
    </row>
    <row r="588" ht="15.75" customHeight="1">
      <c r="A588" s="85"/>
      <c r="B588" s="65"/>
      <c r="C588" s="85"/>
      <c r="D588" s="65"/>
      <c r="E588" s="65"/>
      <c r="F588" s="65"/>
      <c r="G588" s="6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65"/>
      <c r="W588" s="65"/>
      <c r="X588" s="85"/>
      <c r="Y588" s="85"/>
      <c r="Z588" s="85"/>
      <c r="AA588" s="85"/>
      <c r="AB588" s="85"/>
      <c r="AC588" s="85"/>
      <c r="AD588" s="85"/>
      <c r="AE588" s="85"/>
      <c r="AF588" s="85"/>
      <c r="AG588" s="85"/>
      <c r="AH588" s="91"/>
      <c r="AI588" s="85"/>
      <c r="AJ588" s="85"/>
    </row>
    <row r="589" ht="15.75" customHeight="1">
      <c r="A589" s="85"/>
      <c r="B589" s="65"/>
      <c r="C589" s="85"/>
      <c r="D589" s="65"/>
      <c r="E589" s="65"/>
      <c r="F589" s="65"/>
      <c r="G589" s="6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65"/>
      <c r="W589" s="65"/>
      <c r="X589" s="85"/>
      <c r="Y589" s="85"/>
      <c r="Z589" s="85"/>
      <c r="AA589" s="85"/>
      <c r="AB589" s="85"/>
      <c r="AC589" s="85"/>
      <c r="AD589" s="85"/>
      <c r="AE589" s="85"/>
      <c r="AF589" s="85"/>
      <c r="AG589" s="85"/>
      <c r="AH589" s="91"/>
      <c r="AI589" s="85"/>
      <c r="AJ589" s="85"/>
    </row>
    <row r="590" ht="15.75" customHeight="1">
      <c r="A590" s="85"/>
      <c r="B590" s="65"/>
      <c r="C590" s="85"/>
      <c r="D590" s="65"/>
      <c r="E590" s="65"/>
      <c r="F590" s="65"/>
      <c r="G590" s="6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65"/>
      <c r="W590" s="65"/>
      <c r="X590" s="85"/>
      <c r="Y590" s="85"/>
      <c r="Z590" s="85"/>
      <c r="AA590" s="85"/>
      <c r="AB590" s="85"/>
      <c r="AC590" s="85"/>
      <c r="AD590" s="85"/>
      <c r="AE590" s="85"/>
      <c r="AF590" s="85"/>
      <c r="AG590" s="85"/>
      <c r="AH590" s="91"/>
      <c r="AI590" s="85"/>
      <c r="AJ590" s="85"/>
    </row>
    <row r="591" ht="15.75" customHeight="1">
      <c r="A591" s="85"/>
      <c r="B591" s="65"/>
      <c r="C591" s="85"/>
      <c r="D591" s="65"/>
      <c r="E591" s="65"/>
      <c r="F591" s="65"/>
      <c r="G591" s="6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65"/>
      <c r="W591" s="65"/>
      <c r="X591" s="85"/>
      <c r="Y591" s="85"/>
      <c r="Z591" s="85"/>
      <c r="AA591" s="85"/>
      <c r="AB591" s="85"/>
      <c r="AC591" s="85"/>
      <c r="AD591" s="85"/>
      <c r="AE591" s="85"/>
      <c r="AF591" s="85"/>
      <c r="AG591" s="85"/>
      <c r="AH591" s="91"/>
      <c r="AI591" s="85"/>
      <c r="AJ591" s="85"/>
    </row>
    <row r="592" ht="15.75" customHeight="1">
      <c r="A592" s="85"/>
      <c r="B592" s="65"/>
      <c r="C592" s="85"/>
      <c r="D592" s="65"/>
      <c r="E592" s="65"/>
      <c r="F592" s="65"/>
      <c r="G592" s="6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65"/>
      <c r="W592" s="65"/>
      <c r="X592" s="85"/>
      <c r="Y592" s="85"/>
      <c r="Z592" s="85"/>
      <c r="AA592" s="85"/>
      <c r="AB592" s="85"/>
      <c r="AC592" s="85"/>
      <c r="AD592" s="85"/>
      <c r="AE592" s="85"/>
      <c r="AF592" s="85"/>
      <c r="AG592" s="85"/>
      <c r="AH592" s="91"/>
      <c r="AI592" s="85"/>
      <c r="AJ592" s="85"/>
    </row>
    <row r="593" ht="15.75" customHeight="1">
      <c r="A593" s="85"/>
      <c r="B593" s="65"/>
      <c r="C593" s="85"/>
      <c r="D593" s="65"/>
      <c r="E593" s="65"/>
      <c r="F593" s="65"/>
      <c r="G593" s="6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65"/>
      <c r="W593" s="65"/>
      <c r="X593" s="85"/>
      <c r="Y593" s="85"/>
      <c r="Z593" s="85"/>
      <c r="AA593" s="85"/>
      <c r="AB593" s="85"/>
      <c r="AC593" s="85"/>
      <c r="AD593" s="85"/>
      <c r="AE593" s="85"/>
      <c r="AF593" s="85"/>
      <c r="AG593" s="85"/>
      <c r="AH593" s="91"/>
      <c r="AI593" s="85"/>
      <c r="AJ593" s="85"/>
    </row>
    <row r="594" ht="15.75" customHeight="1">
      <c r="A594" s="85"/>
      <c r="B594" s="65"/>
      <c r="C594" s="85"/>
      <c r="D594" s="65"/>
      <c r="E594" s="65"/>
      <c r="F594" s="65"/>
      <c r="G594" s="6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65"/>
      <c r="W594" s="65"/>
      <c r="X594" s="85"/>
      <c r="Y594" s="85"/>
      <c r="Z594" s="85"/>
      <c r="AA594" s="85"/>
      <c r="AB594" s="85"/>
      <c r="AC594" s="85"/>
      <c r="AD594" s="85"/>
      <c r="AE594" s="85"/>
      <c r="AF594" s="85"/>
      <c r="AG594" s="85"/>
      <c r="AH594" s="91"/>
      <c r="AI594" s="85"/>
      <c r="AJ594" s="85"/>
    </row>
    <row r="595" ht="15.75" customHeight="1">
      <c r="A595" s="85"/>
      <c r="B595" s="65"/>
      <c r="C595" s="85"/>
      <c r="D595" s="65"/>
      <c r="E595" s="65"/>
      <c r="F595" s="65"/>
      <c r="G595" s="6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65"/>
      <c r="W595" s="65"/>
      <c r="X595" s="85"/>
      <c r="Y595" s="85"/>
      <c r="Z595" s="85"/>
      <c r="AA595" s="85"/>
      <c r="AB595" s="85"/>
      <c r="AC595" s="85"/>
      <c r="AD595" s="85"/>
      <c r="AE595" s="85"/>
      <c r="AF595" s="85"/>
      <c r="AG595" s="85"/>
      <c r="AH595" s="91"/>
      <c r="AI595" s="85"/>
      <c r="AJ595" s="85"/>
    </row>
    <row r="596" ht="15.75" customHeight="1">
      <c r="A596" s="85"/>
      <c r="B596" s="65"/>
      <c r="C596" s="85"/>
      <c r="D596" s="65"/>
      <c r="E596" s="65"/>
      <c r="F596" s="65"/>
      <c r="G596" s="6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65"/>
      <c r="W596" s="65"/>
      <c r="X596" s="85"/>
      <c r="Y596" s="85"/>
      <c r="Z596" s="85"/>
      <c r="AA596" s="85"/>
      <c r="AB596" s="85"/>
      <c r="AC596" s="85"/>
      <c r="AD596" s="85"/>
      <c r="AE596" s="85"/>
      <c r="AF596" s="85"/>
      <c r="AG596" s="85"/>
      <c r="AH596" s="91"/>
      <c r="AI596" s="85"/>
      <c r="AJ596" s="85"/>
    </row>
    <row r="597" ht="15.75" customHeight="1">
      <c r="A597" s="85"/>
      <c r="B597" s="65"/>
      <c r="C597" s="85"/>
      <c r="D597" s="65"/>
      <c r="E597" s="65"/>
      <c r="F597" s="65"/>
      <c r="G597" s="6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65"/>
      <c r="W597" s="65"/>
      <c r="X597" s="85"/>
      <c r="Y597" s="85"/>
      <c r="Z597" s="85"/>
      <c r="AA597" s="85"/>
      <c r="AB597" s="85"/>
      <c r="AC597" s="85"/>
      <c r="AD597" s="85"/>
      <c r="AE597" s="85"/>
      <c r="AF597" s="85"/>
      <c r="AG597" s="85"/>
      <c r="AH597" s="91"/>
      <c r="AI597" s="85"/>
      <c r="AJ597" s="85"/>
    </row>
    <row r="598" ht="15.75" customHeight="1">
      <c r="A598" s="85"/>
      <c r="B598" s="65"/>
      <c r="C598" s="85"/>
      <c r="D598" s="65"/>
      <c r="E598" s="65"/>
      <c r="F598" s="65"/>
      <c r="G598" s="6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65"/>
      <c r="W598" s="65"/>
      <c r="X598" s="85"/>
      <c r="Y598" s="85"/>
      <c r="Z598" s="85"/>
      <c r="AA598" s="85"/>
      <c r="AB598" s="85"/>
      <c r="AC598" s="85"/>
      <c r="AD598" s="85"/>
      <c r="AE598" s="85"/>
      <c r="AF598" s="85"/>
      <c r="AG598" s="85"/>
      <c r="AH598" s="91"/>
      <c r="AI598" s="85"/>
      <c r="AJ598" s="85"/>
    </row>
    <row r="599" ht="15.75" customHeight="1">
      <c r="A599" s="85"/>
      <c r="B599" s="65"/>
      <c r="C599" s="85"/>
      <c r="D599" s="65"/>
      <c r="E599" s="65"/>
      <c r="F599" s="65"/>
      <c r="G599" s="6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65"/>
      <c r="W599" s="65"/>
      <c r="X599" s="85"/>
      <c r="Y599" s="85"/>
      <c r="Z599" s="85"/>
      <c r="AA599" s="85"/>
      <c r="AB599" s="85"/>
      <c r="AC599" s="85"/>
      <c r="AD599" s="85"/>
      <c r="AE599" s="85"/>
      <c r="AF599" s="85"/>
      <c r="AG599" s="85"/>
      <c r="AH599" s="91"/>
      <c r="AI599" s="85"/>
      <c r="AJ599" s="85"/>
    </row>
    <row r="600" ht="15.75" customHeight="1">
      <c r="A600" s="85"/>
      <c r="B600" s="65"/>
      <c r="C600" s="85"/>
      <c r="D600" s="65"/>
      <c r="E600" s="65"/>
      <c r="F600" s="65"/>
      <c r="G600" s="6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65"/>
      <c r="W600" s="65"/>
      <c r="X600" s="85"/>
      <c r="Y600" s="85"/>
      <c r="Z600" s="85"/>
      <c r="AA600" s="85"/>
      <c r="AB600" s="85"/>
      <c r="AC600" s="85"/>
      <c r="AD600" s="85"/>
      <c r="AE600" s="85"/>
      <c r="AF600" s="85"/>
      <c r="AG600" s="85"/>
      <c r="AH600" s="91"/>
      <c r="AI600" s="85"/>
      <c r="AJ600" s="85"/>
    </row>
    <row r="601" ht="15.75" customHeight="1">
      <c r="A601" s="85"/>
      <c r="B601" s="65"/>
      <c r="C601" s="85"/>
      <c r="D601" s="65"/>
      <c r="E601" s="65"/>
      <c r="F601" s="65"/>
      <c r="G601" s="6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65"/>
      <c r="W601" s="65"/>
      <c r="X601" s="85"/>
      <c r="Y601" s="85"/>
      <c r="Z601" s="85"/>
      <c r="AA601" s="85"/>
      <c r="AB601" s="85"/>
      <c r="AC601" s="85"/>
      <c r="AD601" s="85"/>
      <c r="AE601" s="85"/>
      <c r="AF601" s="85"/>
      <c r="AG601" s="85"/>
      <c r="AH601" s="91"/>
      <c r="AI601" s="85"/>
      <c r="AJ601" s="85"/>
    </row>
    <row r="602" ht="15.75" customHeight="1">
      <c r="A602" s="85"/>
      <c r="B602" s="65"/>
      <c r="C602" s="85"/>
      <c r="D602" s="65"/>
      <c r="E602" s="65"/>
      <c r="F602" s="65"/>
      <c r="G602" s="6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65"/>
      <c r="W602" s="65"/>
      <c r="X602" s="85"/>
      <c r="Y602" s="85"/>
      <c r="Z602" s="85"/>
      <c r="AA602" s="85"/>
      <c r="AB602" s="85"/>
      <c r="AC602" s="85"/>
      <c r="AD602" s="85"/>
      <c r="AE602" s="85"/>
      <c r="AF602" s="85"/>
      <c r="AG602" s="85"/>
      <c r="AH602" s="91"/>
      <c r="AI602" s="85"/>
      <c r="AJ602" s="85"/>
    </row>
    <row r="603" ht="15.75" customHeight="1">
      <c r="A603" s="85"/>
      <c r="B603" s="65"/>
      <c r="C603" s="85"/>
      <c r="D603" s="65"/>
      <c r="E603" s="65"/>
      <c r="F603" s="65"/>
      <c r="G603" s="6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65"/>
      <c r="W603" s="65"/>
      <c r="X603" s="85"/>
      <c r="Y603" s="85"/>
      <c r="Z603" s="85"/>
      <c r="AA603" s="85"/>
      <c r="AB603" s="85"/>
      <c r="AC603" s="85"/>
      <c r="AD603" s="85"/>
      <c r="AE603" s="85"/>
      <c r="AF603" s="85"/>
      <c r="AG603" s="85"/>
      <c r="AH603" s="91"/>
      <c r="AI603" s="85"/>
      <c r="AJ603" s="85"/>
    </row>
    <row r="604" ht="15.75" customHeight="1">
      <c r="A604" s="85"/>
      <c r="B604" s="65"/>
      <c r="C604" s="85"/>
      <c r="D604" s="65"/>
      <c r="E604" s="65"/>
      <c r="F604" s="65"/>
      <c r="G604" s="6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65"/>
      <c r="W604" s="65"/>
      <c r="X604" s="85"/>
      <c r="Y604" s="85"/>
      <c r="Z604" s="85"/>
      <c r="AA604" s="85"/>
      <c r="AB604" s="85"/>
      <c r="AC604" s="85"/>
      <c r="AD604" s="85"/>
      <c r="AE604" s="85"/>
      <c r="AF604" s="85"/>
      <c r="AG604" s="85"/>
      <c r="AH604" s="91"/>
      <c r="AI604" s="85"/>
      <c r="AJ604" s="85"/>
    </row>
    <row r="605" ht="15.75" customHeight="1">
      <c r="A605" s="85"/>
      <c r="B605" s="65"/>
      <c r="C605" s="85"/>
      <c r="D605" s="65"/>
      <c r="E605" s="65"/>
      <c r="F605" s="65"/>
      <c r="G605" s="6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65"/>
      <c r="W605" s="65"/>
      <c r="X605" s="85"/>
      <c r="Y605" s="85"/>
      <c r="Z605" s="85"/>
      <c r="AA605" s="85"/>
      <c r="AB605" s="85"/>
      <c r="AC605" s="85"/>
      <c r="AD605" s="85"/>
      <c r="AE605" s="85"/>
      <c r="AF605" s="85"/>
      <c r="AG605" s="85"/>
      <c r="AH605" s="91"/>
      <c r="AI605" s="85"/>
      <c r="AJ605" s="85"/>
    </row>
    <row r="606" ht="15.75" customHeight="1">
      <c r="A606" s="85"/>
      <c r="B606" s="65"/>
      <c r="C606" s="85"/>
      <c r="D606" s="65"/>
      <c r="E606" s="65"/>
      <c r="F606" s="65"/>
      <c r="G606" s="6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65"/>
      <c r="W606" s="65"/>
      <c r="X606" s="85"/>
      <c r="Y606" s="85"/>
      <c r="Z606" s="85"/>
      <c r="AA606" s="85"/>
      <c r="AB606" s="85"/>
      <c r="AC606" s="85"/>
      <c r="AD606" s="85"/>
      <c r="AE606" s="85"/>
      <c r="AF606" s="85"/>
      <c r="AG606" s="85"/>
      <c r="AH606" s="91"/>
      <c r="AI606" s="85"/>
      <c r="AJ606" s="85"/>
    </row>
    <row r="607" ht="15.75" customHeight="1">
      <c r="A607" s="85"/>
      <c r="B607" s="65"/>
      <c r="C607" s="85"/>
      <c r="D607" s="65"/>
      <c r="E607" s="65"/>
      <c r="F607" s="65"/>
      <c r="G607" s="6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65"/>
      <c r="W607" s="65"/>
      <c r="X607" s="85"/>
      <c r="Y607" s="85"/>
      <c r="Z607" s="85"/>
      <c r="AA607" s="85"/>
      <c r="AB607" s="85"/>
      <c r="AC607" s="85"/>
      <c r="AD607" s="85"/>
      <c r="AE607" s="85"/>
      <c r="AF607" s="85"/>
      <c r="AG607" s="85"/>
      <c r="AH607" s="91"/>
      <c r="AI607" s="85"/>
      <c r="AJ607" s="85"/>
    </row>
    <row r="608" ht="15.75" customHeight="1">
      <c r="A608" s="85"/>
      <c r="B608" s="65"/>
      <c r="C608" s="85"/>
      <c r="D608" s="65"/>
      <c r="E608" s="65"/>
      <c r="F608" s="65"/>
      <c r="G608" s="6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65"/>
      <c r="W608" s="65"/>
      <c r="X608" s="85"/>
      <c r="Y608" s="85"/>
      <c r="Z608" s="85"/>
      <c r="AA608" s="85"/>
      <c r="AB608" s="85"/>
      <c r="AC608" s="85"/>
      <c r="AD608" s="85"/>
      <c r="AE608" s="85"/>
      <c r="AF608" s="85"/>
      <c r="AG608" s="85"/>
      <c r="AH608" s="91"/>
      <c r="AI608" s="85"/>
      <c r="AJ608" s="85"/>
    </row>
    <row r="609" ht="15.75" customHeight="1">
      <c r="A609" s="85"/>
      <c r="B609" s="65"/>
      <c r="C609" s="85"/>
      <c r="D609" s="65"/>
      <c r="E609" s="65"/>
      <c r="F609" s="65"/>
      <c r="G609" s="6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65"/>
      <c r="W609" s="65"/>
      <c r="X609" s="85"/>
      <c r="Y609" s="85"/>
      <c r="Z609" s="85"/>
      <c r="AA609" s="85"/>
      <c r="AB609" s="85"/>
      <c r="AC609" s="85"/>
      <c r="AD609" s="85"/>
      <c r="AE609" s="85"/>
      <c r="AF609" s="85"/>
      <c r="AG609" s="85"/>
      <c r="AH609" s="91"/>
      <c r="AI609" s="85"/>
      <c r="AJ609" s="85"/>
    </row>
    <row r="610" ht="15.75" customHeight="1">
      <c r="A610" s="85"/>
      <c r="B610" s="65"/>
      <c r="C610" s="85"/>
      <c r="D610" s="65"/>
      <c r="E610" s="65"/>
      <c r="F610" s="65"/>
      <c r="G610" s="6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65"/>
      <c r="W610" s="65"/>
      <c r="X610" s="85"/>
      <c r="Y610" s="85"/>
      <c r="Z610" s="85"/>
      <c r="AA610" s="85"/>
      <c r="AB610" s="85"/>
      <c r="AC610" s="85"/>
      <c r="AD610" s="85"/>
      <c r="AE610" s="85"/>
      <c r="AF610" s="85"/>
      <c r="AG610" s="85"/>
      <c r="AH610" s="91"/>
      <c r="AI610" s="85"/>
      <c r="AJ610" s="85"/>
    </row>
    <row r="611" ht="15.75" customHeight="1">
      <c r="A611" s="85"/>
      <c r="B611" s="65"/>
      <c r="C611" s="85"/>
      <c r="D611" s="65"/>
      <c r="E611" s="65"/>
      <c r="F611" s="65"/>
      <c r="G611" s="6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65"/>
      <c r="W611" s="6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91"/>
      <c r="AI611" s="85"/>
      <c r="AJ611" s="85"/>
    </row>
    <row r="612" ht="15.75" customHeight="1">
      <c r="A612" s="85"/>
      <c r="B612" s="65"/>
      <c r="C612" s="85"/>
      <c r="D612" s="65"/>
      <c r="E612" s="65"/>
      <c r="F612" s="65"/>
      <c r="G612" s="6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65"/>
      <c r="W612" s="65"/>
      <c r="X612" s="85"/>
      <c r="Y612" s="85"/>
      <c r="Z612" s="85"/>
      <c r="AA612" s="85"/>
      <c r="AB612" s="85"/>
      <c r="AC612" s="85"/>
      <c r="AD612" s="85"/>
      <c r="AE612" s="85"/>
      <c r="AF612" s="85"/>
      <c r="AG612" s="85"/>
      <c r="AH612" s="91"/>
      <c r="AI612" s="85"/>
      <c r="AJ612" s="85"/>
    </row>
    <row r="613" ht="15.75" customHeight="1">
      <c r="A613" s="85"/>
      <c r="B613" s="65"/>
      <c r="C613" s="85"/>
      <c r="D613" s="65"/>
      <c r="E613" s="65"/>
      <c r="F613" s="65"/>
      <c r="G613" s="6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65"/>
      <c r="W613" s="65"/>
      <c r="X613" s="85"/>
      <c r="Y613" s="85"/>
      <c r="Z613" s="85"/>
      <c r="AA613" s="85"/>
      <c r="AB613" s="85"/>
      <c r="AC613" s="85"/>
      <c r="AD613" s="85"/>
      <c r="AE613" s="85"/>
      <c r="AF613" s="85"/>
      <c r="AG613" s="85"/>
      <c r="AH613" s="91"/>
      <c r="AI613" s="85"/>
      <c r="AJ613" s="85"/>
    </row>
    <row r="614" ht="15.75" customHeight="1">
      <c r="A614" s="85"/>
      <c r="B614" s="65"/>
      <c r="C614" s="85"/>
      <c r="D614" s="65"/>
      <c r="E614" s="65"/>
      <c r="F614" s="65"/>
      <c r="G614" s="6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65"/>
      <c r="W614" s="65"/>
      <c r="X614" s="85"/>
      <c r="Y614" s="85"/>
      <c r="Z614" s="85"/>
      <c r="AA614" s="85"/>
      <c r="AB614" s="85"/>
      <c r="AC614" s="85"/>
      <c r="AD614" s="85"/>
      <c r="AE614" s="85"/>
      <c r="AF614" s="85"/>
      <c r="AG614" s="85"/>
      <c r="AH614" s="91"/>
      <c r="AI614" s="85"/>
      <c r="AJ614" s="85"/>
    </row>
    <row r="615" ht="15.75" customHeight="1">
      <c r="A615" s="85"/>
      <c r="B615" s="65"/>
      <c r="C615" s="85"/>
      <c r="D615" s="65"/>
      <c r="E615" s="65"/>
      <c r="F615" s="65"/>
      <c r="G615" s="6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65"/>
      <c r="W615" s="65"/>
      <c r="X615" s="85"/>
      <c r="Y615" s="85"/>
      <c r="Z615" s="85"/>
      <c r="AA615" s="85"/>
      <c r="AB615" s="85"/>
      <c r="AC615" s="85"/>
      <c r="AD615" s="85"/>
      <c r="AE615" s="85"/>
      <c r="AF615" s="85"/>
      <c r="AG615" s="85"/>
      <c r="AH615" s="91"/>
      <c r="AI615" s="85"/>
      <c r="AJ615" s="85"/>
    </row>
    <row r="616" ht="15.75" customHeight="1">
      <c r="A616" s="85"/>
      <c r="B616" s="65"/>
      <c r="C616" s="85"/>
      <c r="D616" s="65"/>
      <c r="E616" s="65"/>
      <c r="F616" s="65"/>
      <c r="G616" s="6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65"/>
      <c r="W616" s="65"/>
      <c r="X616" s="85"/>
      <c r="Y616" s="85"/>
      <c r="Z616" s="85"/>
      <c r="AA616" s="85"/>
      <c r="AB616" s="85"/>
      <c r="AC616" s="85"/>
      <c r="AD616" s="85"/>
      <c r="AE616" s="85"/>
      <c r="AF616" s="85"/>
      <c r="AG616" s="85"/>
      <c r="AH616" s="91"/>
      <c r="AI616" s="85"/>
      <c r="AJ616" s="85"/>
    </row>
    <row r="617" ht="15.75" customHeight="1">
      <c r="A617" s="85"/>
      <c r="B617" s="65"/>
      <c r="C617" s="85"/>
      <c r="D617" s="65"/>
      <c r="E617" s="65"/>
      <c r="F617" s="65"/>
      <c r="G617" s="6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65"/>
      <c r="W617" s="65"/>
      <c r="X617" s="85"/>
      <c r="Y617" s="85"/>
      <c r="Z617" s="85"/>
      <c r="AA617" s="85"/>
      <c r="AB617" s="85"/>
      <c r="AC617" s="85"/>
      <c r="AD617" s="85"/>
      <c r="AE617" s="85"/>
      <c r="AF617" s="85"/>
      <c r="AG617" s="85"/>
      <c r="AH617" s="91"/>
      <c r="AI617" s="85"/>
      <c r="AJ617" s="85"/>
    </row>
    <row r="618" ht="15.75" customHeight="1">
      <c r="A618" s="85"/>
      <c r="B618" s="65"/>
      <c r="C618" s="85"/>
      <c r="D618" s="65"/>
      <c r="E618" s="65"/>
      <c r="F618" s="65"/>
      <c r="G618" s="6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65"/>
      <c r="W618" s="65"/>
      <c r="X618" s="85"/>
      <c r="Y618" s="85"/>
      <c r="Z618" s="85"/>
      <c r="AA618" s="85"/>
      <c r="AB618" s="85"/>
      <c r="AC618" s="85"/>
      <c r="AD618" s="85"/>
      <c r="AE618" s="85"/>
      <c r="AF618" s="85"/>
      <c r="AG618" s="85"/>
      <c r="AH618" s="91"/>
      <c r="AI618" s="85"/>
      <c r="AJ618" s="85"/>
    </row>
    <row r="619" ht="15.75" customHeight="1">
      <c r="A619" s="85"/>
      <c r="B619" s="65"/>
      <c r="C619" s="85"/>
      <c r="D619" s="65"/>
      <c r="E619" s="65"/>
      <c r="F619" s="65"/>
      <c r="G619" s="6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65"/>
      <c r="W619" s="65"/>
      <c r="X619" s="85"/>
      <c r="Y619" s="85"/>
      <c r="Z619" s="85"/>
      <c r="AA619" s="85"/>
      <c r="AB619" s="85"/>
      <c r="AC619" s="85"/>
      <c r="AD619" s="85"/>
      <c r="AE619" s="85"/>
      <c r="AF619" s="85"/>
      <c r="AG619" s="85"/>
      <c r="AH619" s="91"/>
      <c r="AI619" s="85"/>
      <c r="AJ619" s="85"/>
    </row>
    <row r="620" ht="15.75" customHeight="1">
      <c r="A620" s="85"/>
      <c r="B620" s="65"/>
      <c r="C620" s="85"/>
      <c r="D620" s="65"/>
      <c r="E620" s="65"/>
      <c r="F620" s="65"/>
      <c r="G620" s="6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65"/>
      <c r="W620" s="65"/>
      <c r="X620" s="85"/>
      <c r="Y620" s="85"/>
      <c r="Z620" s="85"/>
      <c r="AA620" s="85"/>
      <c r="AB620" s="85"/>
      <c r="AC620" s="85"/>
      <c r="AD620" s="85"/>
      <c r="AE620" s="85"/>
      <c r="AF620" s="85"/>
      <c r="AG620" s="85"/>
      <c r="AH620" s="91"/>
      <c r="AI620" s="85"/>
      <c r="AJ620" s="85"/>
    </row>
    <row r="621" ht="15.75" customHeight="1">
      <c r="A621" s="85"/>
      <c r="B621" s="65"/>
      <c r="C621" s="85"/>
      <c r="D621" s="65"/>
      <c r="E621" s="65"/>
      <c r="F621" s="65"/>
      <c r="G621" s="6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65"/>
      <c r="W621" s="65"/>
      <c r="X621" s="85"/>
      <c r="Y621" s="85"/>
      <c r="Z621" s="85"/>
      <c r="AA621" s="85"/>
      <c r="AB621" s="85"/>
      <c r="AC621" s="85"/>
      <c r="AD621" s="85"/>
      <c r="AE621" s="85"/>
      <c r="AF621" s="85"/>
      <c r="AG621" s="85"/>
      <c r="AH621" s="91"/>
      <c r="AI621" s="85"/>
      <c r="AJ621" s="85"/>
    </row>
    <row r="622" ht="15.75" customHeight="1">
      <c r="A622" s="85"/>
      <c r="B622" s="65"/>
      <c r="C622" s="85"/>
      <c r="D622" s="65"/>
      <c r="E622" s="65"/>
      <c r="F622" s="65"/>
      <c r="G622" s="6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65"/>
      <c r="W622" s="65"/>
      <c r="X622" s="85"/>
      <c r="Y622" s="85"/>
      <c r="Z622" s="85"/>
      <c r="AA622" s="85"/>
      <c r="AB622" s="85"/>
      <c r="AC622" s="85"/>
      <c r="AD622" s="85"/>
      <c r="AE622" s="85"/>
      <c r="AF622" s="85"/>
      <c r="AG622" s="85"/>
      <c r="AH622" s="91"/>
      <c r="AI622" s="85"/>
      <c r="AJ622" s="85"/>
    </row>
    <row r="623" ht="15.75" customHeight="1">
      <c r="A623" s="85"/>
      <c r="B623" s="65"/>
      <c r="C623" s="85"/>
      <c r="D623" s="65"/>
      <c r="E623" s="65"/>
      <c r="F623" s="65"/>
      <c r="G623" s="6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65"/>
      <c r="W623" s="65"/>
      <c r="X623" s="85"/>
      <c r="Y623" s="85"/>
      <c r="Z623" s="85"/>
      <c r="AA623" s="85"/>
      <c r="AB623" s="85"/>
      <c r="AC623" s="85"/>
      <c r="AD623" s="85"/>
      <c r="AE623" s="85"/>
      <c r="AF623" s="85"/>
      <c r="AG623" s="85"/>
      <c r="AH623" s="91"/>
      <c r="AI623" s="85"/>
      <c r="AJ623" s="85"/>
    </row>
    <row r="624" ht="15.75" customHeight="1">
      <c r="A624" s="85"/>
      <c r="B624" s="65"/>
      <c r="C624" s="85"/>
      <c r="D624" s="65"/>
      <c r="E624" s="65"/>
      <c r="F624" s="65"/>
      <c r="G624" s="6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65"/>
      <c r="W624" s="65"/>
      <c r="X624" s="85"/>
      <c r="Y624" s="85"/>
      <c r="Z624" s="85"/>
      <c r="AA624" s="85"/>
      <c r="AB624" s="85"/>
      <c r="AC624" s="85"/>
      <c r="AD624" s="85"/>
      <c r="AE624" s="85"/>
      <c r="AF624" s="85"/>
      <c r="AG624" s="85"/>
      <c r="AH624" s="91"/>
      <c r="AI624" s="85"/>
      <c r="AJ624" s="85"/>
    </row>
    <row r="625" ht="15.75" customHeight="1">
      <c r="A625" s="85"/>
      <c r="B625" s="65"/>
      <c r="C625" s="85"/>
      <c r="D625" s="65"/>
      <c r="E625" s="65"/>
      <c r="F625" s="65"/>
      <c r="G625" s="6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65"/>
      <c r="W625" s="65"/>
      <c r="X625" s="85"/>
      <c r="Y625" s="85"/>
      <c r="Z625" s="85"/>
      <c r="AA625" s="85"/>
      <c r="AB625" s="85"/>
      <c r="AC625" s="85"/>
      <c r="AD625" s="85"/>
      <c r="AE625" s="85"/>
      <c r="AF625" s="85"/>
      <c r="AG625" s="85"/>
      <c r="AH625" s="91"/>
      <c r="AI625" s="85"/>
      <c r="AJ625" s="85"/>
    </row>
    <row r="626" ht="15.75" customHeight="1">
      <c r="A626" s="85"/>
      <c r="B626" s="65"/>
      <c r="C626" s="85"/>
      <c r="D626" s="65"/>
      <c r="E626" s="65"/>
      <c r="F626" s="65"/>
      <c r="G626" s="6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65"/>
      <c r="W626" s="65"/>
      <c r="X626" s="85"/>
      <c r="Y626" s="85"/>
      <c r="Z626" s="85"/>
      <c r="AA626" s="85"/>
      <c r="AB626" s="85"/>
      <c r="AC626" s="85"/>
      <c r="AD626" s="85"/>
      <c r="AE626" s="85"/>
      <c r="AF626" s="85"/>
      <c r="AG626" s="85"/>
      <c r="AH626" s="91"/>
      <c r="AI626" s="85"/>
      <c r="AJ626" s="85"/>
    </row>
    <row r="627" ht="15.75" customHeight="1">
      <c r="A627" s="85"/>
      <c r="B627" s="65"/>
      <c r="C627" s="85"/>
      <c r="D627" s="65"/>
      <c r="E627" s="65"/>
      <c r="F627" s="65"/>
      <c r="G627" s="6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65"/>
      <c r="W627" s="65"/>
      <c r="X627" s="85"/>
      <c r="Y627" s="85"/>
      <c r="Z627" s="85"/>
      <c r="AA627" s="85"/>
      <c r="AB627" s="85"/>
      <c r="AC627" s="85"/>
      <c r="AD627" s="85"/>
      <c r="AE627" s="85"/>
      <c r="AF627" s="85"/>
      <c r="AG627" s="85"/>
      <c r="AH627" s="91"/>
      <c r="AI627" s="85"/>
      <c r="AJ627" s="85"/>
    </row>
    <row r="628" ht="15.75" customHeight="1">
      <c r="A628" s="85"/>
      <c r="B628" s="65"/>
      <c r="C628" s="85"/>
      <c r="D628" s="65"/>
      <c r="E628" s="65"/>
      <c r="F628" s="65"/>
      <c r="G628" s="6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65"/>
      <c r="W628" s="65"/>
      <c r="X628" s="85"/>
      <c r="Y628" s="85"/>
      <c r="Z628" s="85"/>
      <c r="AA628" s="85"/>
      <c r="AB628" s="85"/>
      <c r="AC628" s="85"/>
      <c r="AD628" s="85"/>
      <c r="AE628" s="85"/>
      <c r="AF628" s="85"/>
      <c r="AG628" s="85"/>
      <c r="AH628" s="91"/>
      <c r="AI628" s="85"/>
      <c r="AJ628" s="85"/>
    </row>
    <row r="629" ht="15.75" customHeight="1">
      <c r="A629" s="85"/>
      <c r="B629" s="65"/>
      <c r="C629" s="85"/>
      <c r="D629" s="65"/>
      <c r="E629" s="65"/>
      <c r="F629" s="65"/>
      <c r="G629" s="6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65"/>
      <c r="W629" s="65"/>
      <c r="X629" s="85"/>
      <c r="Y629" s="85"/>
      <c r="Z629" s="85"/>
      <c r="AA629" s="85"/>
      <c r="AB629" s="85"/>
      <c r="AC629" s="85"/>
      <c r="AD629" s="85"/>
      <c r="AE629" s="85"/>
      <c r="AF629" s="85"/>
      <c r="AG629" s="85"/>
      <c r="AH629" s="91"/>
      <c r="AI629" s="85"/>
      <c r="AJ629" s="85"/>
    </row>
    <row r="630" ht="15.75" customHeight="1">
      <c r="A630" s="85"/>
      <c r="B630" s="65"/>
      <c r="C630" s="85"/>
      <c r="D630" s="65"/>
      <c r="E630" s="65"/>
      <c r="F630" s="65"/>
      <c r="G630" s="6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65"/>
      <c r="W630" s="65"/>
      <c r="X630" s="85"/>
      <c r="Y630" s="85"/>
      <c r="Z630" s="85"/>
      <c r="AA630" s="85"/>
      <c r="AB630" s="85"/>
      <c r="AC630" s="85"/>
      <c r="AD630" s="85"/>
      <c r="AE630" s="85"/>
      <c r="AF630" s="85"/>
      <c r="AG630" s="85"/>
      <c r="AH630" s="91"/>
      <c r="AI630" s="85"/>
      <c r="AJ630" s="85"/>
    </row>
    <row r="631" ht="15.75" customHeight="1">
      <c r="A631" s="85"/>
      <c r="B631" s="65"/>
      <c r="C631" s="85"/>
      <c r="D631" s="65"/>
      <c r="E631" s="65"/>
      <c r="F631" s="65"/>
      <c r="G631" s="6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65"/>
      <c r="W631" s="65"/>
      <c r="X631" s="85"/>
      <c r="Y631" s="85"/>
      <c r="Z631" s="85"/>
      <c r="AA631" s="85"/>
      <c r="AB631" s="85"/>
      <c r="AC631" s="85"/>
      <c r="AD631" s="85"/>
      <c r="AE631" s="85"/>
      <c r="AF631" s="85"/>
      <c r="AG631" s="85"/>
      <c r="AH631" s="91"/>
      <c r="AI631" s="85"/>
      <c r="AJ631" s="85"/>
    </row>
    <row r="632" ht="15.75" customHeight="1">
      <c r="A632" s="85"/>
      <c r="B632" s="65"/>
      <c r="C632" s="85"/>
      <c r="D632" s="65"/>
      <c r="E632" s="65"/>
      <c r="F632" s="65"/>
      <c r="G632" s="6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65"/>
      <c r="W632" s="65"/>
      <c r="X632" s="85"/>
      <c r="Y632" s="85"/>
      <c r="Z632" s="85"/>
      <c r="AA632" s="85"/>
      <c r="AB632" s="85"/>
      <c r="AC632" s="85"/>
      <c r="AD632" s="85"/>
      <c r="AE632" s="85"/>
      <c r="AF632" s="85"/>
      <c r="AG632" s="85"/>
      <c r="AH632" s="91"/>
      <c r="AI632" s="85"/>
      <c r="AJ632" s="85"/>
    </row>
    <row r="633" ht="15.75" customHeight="1">
      <c r="A633" s="85"/>
      <c r="B633" s="65"/>
      <c r="C633" s="85"/>
      <c r="D633" s="65"/>
      <c r="E633" s="65"/>
      <c r="F633" s="65"/>
      <c r="G633" s="6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65"/>
      <c r="W633" s="65"/>
      <c r="X633" s="85"/>
      <c r="Y633" s="85"/>
      <c r="Z633" s="85"/>
      <c r="AA633" s="85"/>
      <c r="AB633" s="85"/>
      <c r="AC633" s="85"/>
      <c r="AD633" s="85"/>
      <c r="AE633" s="85"/>
      <c r="AF633" s="85"/>
      <c r="AG633" s="85"/>
      <c r="AH633" s="91"/>
      <c r="AI633" s="85"/>
      <c r="AJ633" s="85"/>
    </row>
    <row r="634" ht="15.75" customHeight="1">
      <c r="A634" s="85"/>
      <c r="B634" s="65"/>
      <c r="C634" s="85"/>
      <c r="D634" s="65"/>
      <c r="E634" s="65"/>
      <c r="F634" s="65"/>
      <c r="G634" s="6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65"/>
      <c r="W634" s="65"/>
      <c r="X634" s="85"/>
      <c r="Y634" s="85"/>
      <c r="Z634" s="85"/>
      <c r="AA634" s="85"/>
      <c r="AB634" s="85"/>
      <c r="AC634" s="85"/>
      <c r="AD634" s="85"/>
      <c r="AE634" s="85"/>
      <c r="AF634" s="85"/>
      <c r="AG634" s="85"/>
      <c r="AH634" s="91"/>
      <c r="AI634" s="85"/>
      <c r="AJ634" s="85"/>
    </row>
    <row r="635" ht="15.75" customHeight="1">
      <c r="A635" s="85"/>
      <c r="B635" s="65"/>
      <c r="C635" s="85"/>
      <c r="D635" s="65"/>
      <c r="E635" s="65"/>
      <c r="F635" s="65"/>
      <c r="G635" s="6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65"/>
      <c r="W635" s="65"/>
      <c r="X635" s="85"/>
      <c r="Y635" s="85"/>
      <c r="Z635" s="85"/>
      <c r="AA635" s="85"/>
      <c r="AB635" s="85"/>
      <c r="AC635" s="85"/>
      <c r="AD635" s="85"/>
      <c r="AE635" s="85"/>
      <c r="AF635" s="85"/>
      <c r="AG635" s="85"/>
      <c r="AH635" s="91"/>
      <c r="AI635" s="85"/>
      <c r="AJ635" s="85"/>
    </row>
    <row r="636" ht="15.75" customHeight="1">
      <c r="A636" s="85"/>
      <c r="B636" s="65"/>
      <c r="C636" s="85"/>
      <c r="D636" s="65"/>
      <c r="E636" s="65"/>
      <c r="F636" s="65"/>
      <c r="G636" s="6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65"/>
      <c r="W636" s="65"/>
      <c r="X636" s="85"/>
      <c r="Y636" s="85"/>
      <c r="Z636" s="85"/>
      <c r="AA636" s="85"/>
      <c r="AB636" s="85"/>
      <c r="AC636" s="85"/>
      <c r="AD636" s="85"/>
      <c r="AE636" s="85"/>
      <c r="AF636" s="85"/>
      <c r="AG636" s="85"/>
      <c r="AH636" s="91"/>
      <c r="AI636" s="85"/>
      <c r="AJ636" s="85"/>
    </row>
    <row r="637" ht="15.75" customHeight="1">
      <c r="A637" s="85"/>
      <c r="B637" s="65"/>
      <c r="C637" s="85"/>
      <c r="D637" s="65"/>
      <c r="E637" s="65"/>
      <c r="F637" s="65"/>
      <c r="G637" s="6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65"/>
      <c r="W637" s="65"/>
      <c r="X637" s="85"/>
      <c r="Y637" s="85"/>
      <c r="Z637" s="85"/>
      <c r="AA637" s="85"/>
      <c r="AB637" s="85"/>
      <c r="AC637" s="85"/>
      <c r="AD637" s="85"/>
      <c r="AE637" s="85"/>
      <c r="AF637" s="85"/>
      <c r="AG637" s="85"/>
      <c r="AH637" s="91"/>
      <c r="AI637" s="85"/>
      <c r="AJ637" s="85"/>
    </row>
    <row r="638" ht="15.75" customHeight="1">
      <c r="A638" s="85"/>
      <c r="B638" s="65"/>
      <c r="C638" s="85"/>
      <c r="D638" s="65"/>
      <c r="E638" s="65"/>
      <c r="F638" s="65"/>
      <c r="G638" s="6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65"/>
      <c r="W638" s="65"/>
      <c r="X638" s="85"/>
      <c r="Y638" s="85"/>
      <c r="Z638" s="85"/>
      <c r="AA638" s="85"/>
      <c r="AB638" s="85"/>
      <c r="AC638" s="85"/>
      <c r="AD638" s="85"/>
      <c r="AE638" s="85"/>
      <c r="AF638" s="85"/>
      <c r="AG638" s="85"/>
      <c r="AH638" s="91"/>
      <c r="AI638" s="85"/>
      <c r="AJ638" s="85"/>
    </row>
    <row r="639" ht="15.75" customHeight="1">
      <c r="A639" s="85"/>
      <c r="B639" s="65"/>
      <c r="C639" s="85"/>
      <c r="D639" s="65"/>
      <c r="E639" s="65"/>
      <c r="F639" s="65"/>
      <c r="G639" s="6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65"/>
      <c r="W639" s="65"/>
      <c r="X639" s="85"/>
      <c r="Y639" s="85"/>
      <c r="Z639" s="85"/>
      <c r="AA639" s="85"/>
      <c r="AB639" s="85"/>
      <c r="AC639" s="85"/>
      <c r="AD639" s="85"/>
      <c r="AE639" s="85"/>
      <c r="AF639" s="85"/>
      <c r="AG639" s="85"/>
      <c r="AH639" s="91"/>
      <c r="AI639" s="85"/>
      <c r="AJ639" s="85"/>
    </row>
    <row r="640" ht="15.75" customHeight="1">
      <c r="A640" s="85"/>
      <c r="B640" s="65"/>
      <c r="C640" s="85"/>
      <c r="D640" s="65"/>
      <c r="E640" s="65"/>
      <c r="F640" s="65"/>
      <c r="G640" s="6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65"/>
      <c r="W640" s="65"/>
      <c r="X640" s="85"/>
      <c r="Y640" s="85"/>
      <c r="Z640" s="85"/>
      <c r="AA640" s="85"/>
      <c r="AB640" s="85"/>
      <c r="AC640" s="85"/>
      <c r="AD640" s="85"/>
      <c r="AE640" s="85"/>
      <c r="AF640" s="85"/>
      <c r="AG640" s="85"/>
      <c r="AH640" s="91"/>
      <c r="AI640" s="85"/>
      <c r="AJ640" s="85"/>
    </row>
    <row r="641" ht="15.75" customHeight="1">
      <c r="A641" s="85"/>
      <c r="B641" s="65"/>
      <c r="C641" s="85"/>
      <c r="D641" s="65"/>
      <c r="E641" s="65"/>
      <c r="F641" s="65"/>
      <c r="G641" s="6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65"/>
      <c r="W641" s="65"/>
      <c r="X641" s="85"/>
      <c r="Y641" s="85"/>
      <c r="Z641" s="85"/>
      <c r="AA641" s="85"/>
      <c r="AB641" s="85"/>
      <c r="AC641" s="85"/>
      <c r="AD641" s="85"/>
      <c r="AE641" s="85"/>
      <c r="AF641" s="85"/>
      <c r="AG641" s="85"/>
      <c r="AH641" s="91"/>
      <c r="AI641" s="85"/>
      <c r="AJ641" s="85"/>
    </row>
    <row r="642" ht="15.75" customHeight="1">
      <c r="A642" s="85"/>
      <c r="B642" s="65"/>
      <c r="C642" s="85"/>
      <c r="D642" s="65"/>
      <c r="E642" s="65"/>
      <c r="F642" s="65"/>
      <c r="G642" s="6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65"/>
      <c r="W642" s="65"/>
      <c r="X642" s="85"/>
      <c r="Y642" s="85"/>
      <c r="Z642" s="85"/>
      <c r="AA642" s="85"/>
      <c r="AB642" s="85"/>
      <c r="AC642" s="85"/>
      <c r="AD642" s="85"/>
      <c r="AE642" s="85"/>
      <c r="AF642" s="85"/>
      <c r="AG642" s="85"/>
      <c r="AH642" s="91"/>
      <c r="AI642" s="85"/>
      <c r="AJ642" s="85"/>
    </row>
    <row r="643" ht="15.75" customHeight="1">
      <c r="A643" s="85"/>
      <c r="B643" s="65"/>
      <c r="C643" s="85"/>
      <c r="D643" s="65"/>
      <c r="E643" s="65"/>
      <c r="F643" s="65"/>
      <c r="G643" s="6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65"/>
      <c r="W643" s="65"/>
      <c r="X643" s="85"/>
      <c r="Y643" s="85"/>
      <c r="Z643" s="85"/>
      <c r="AA643" s="85"/>
      <c r="AB643" s="85"/>
      <c r="AC643" s="85"/>
      <c r="AD643" s="85"/>
      <c r="AE643" s="85"/>
      <c r="AF643" s="85"/>
      <c r="AG643" s="85"/>
      <c r="AH643" s="91"/>
      <c r="AI643" s="85"/>
      <c r="AJ643" s="85"/>
    </row>
    <row r="644" ht="15.75" customHeight="1">
      <c r="A644" s="85"/>
      <c r="B644" s="65"/>
      <c r="C644" s="85"/>
      <c r="D644" s="65"/>
      <c r="E644" s="65"/>
      <c r="F644" s="65"/>
      <c r="G644" s="6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65"/>
      <c r="W644" s="65"/>
      <c r="X644" s="85"/>
      <c r="Y644" s="85"/>
      <c r="Z644" s="85"/>
      <c r="AA644" s="85"/>
      <c r="AB644" s="85"/>
      <c r="AC644" s="85"/>
      <c r="AD644" s="85"/>
      <c r="AE644" s="85"/>
      <c r="AF644" s="85"/>
      <c r="AG644" s="85"/>
      <c r="AH644" s="91"/>
      <c r="AI644" s="85"/>
      <c r="AJ644" s="85"/>
    </row>
    <row r="645" ht="15.75" customHeight="1">
      <c r="A645" s="85"/>
      <c r="B645" s="65"/>
      <c r="C645" s="85"/>
      <c r="D645" s="65"/>
      <c r="E645" s="65"/>
      <c r="F645" s="65"/>
      <c r="G645" s="6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65"/>
      <c r="W645" s="65"/>
      <c r="X645" s="85"/>
      <c r="Y645" s="85"/>
      <c r="Z645" s="85"/>
      <c r="AA645" s="85"/>
      <c r="AB645" s="85"/>
      <c r="AC645" s="85"/>
      <c r="AD645" s="85"/>
      <c r="AE645" s="85"/>
      <c r="AF645" s="85"/>
      <c r="AG645" s="85"/>
      <c r="AH645" s="91"/>
      <c r="AI645" s="85"/>
      <c r="AJ645" s="85"/>
    </row>
    <row r="646" ht="15.75" customHeight="1">
      <c r="A646" s="85"/>
      <c r="B646" s="65"/>
      <c r="C646" s="85"/>
      <c r="D646" s="65"/>
      <c r="E646" s="65"/>
      <c r="F646" s="65"/>
      <c r="G646" s="6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65"/>
      <c r="W646" s="65"/>
      <c r="X646" s="85"/>
      <c r="Y646" s="85"/>
      <c r="Z646" s="85"/>
      <c r="AA646" s="85"/>
      <c r="AB646" s="85"/>
      <c r="AC646" s="85"/>
      <c r="AD646" s="85"/>
      <c r="AE646" s="85"/>
      <c r="AF646" s="85"/>
      <c r="AG646" s="85"/>
      <c r="AH646" s="91"/>
      <c r="AI646" s="85"/>
      <c r="AJ646" s="85"/>
    </row>
    <row r="647" ht="15.75" customHeight="1">
      <c r="A647" s="85"/>
      <c r="B647" s="65"/>
      <c r="C647" s="85"/>
      <c r="D647" s="65"/>
      <c r="E647" s="65"/>
      <c r="F647" s="65"/>
      <c r="G647" s="6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65"/>
      <c r="W647" s="65"/>
      <c r="X647" s="85"/>
      <c r="Y647" s="85"/>
      <c r="Z647" s="85"/>
      <c r="AA647" s="85"/>
      <c r="AB647" s="85"/>
      <c r="AC647" s="85"/>
      <c r="AD647" s="85"/>
      <c r="AE647" s="85"/>
      <c r="AF647" s="85"/>
      <c r="AG647" s="85"/>
      <c r="AH647" s="91"/>
      <c r="AI647" s="85"/>
      <c r="AJ647" s="85"/>
    </row>
    <row r="648" ht="15.75" customHeight="1">
      <c r="A648" s="85"/>
      <c r="B648" s="65"/>
      <c r="C648" s="85"/>
      <c r="D648" s="65"/>
      <c r="E648" s="65"/>
      <c r="F648" s="65"/>
      <c r="G648" s="6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65"/>
      <c r="W648" s="65"/>
      <c r="X648" s="85"/>
      <c r="Y648" s="85"/>
      <c r="Z648" s="85"/>
      <c r="AA648" s="85"/>
      <c r="AB648" s="85"/>
      <c r="AC648" s="85"/>
      <c r="AD648" s="85"/>
      <c r="AE648" s="85"/>
      <c r="AF648" s="85"/>
      <c r="AG648" s="85"/>
      <c r="AH648" s="91"/>
      <c r="AI648" s="85"/>
      <c r="AJ648" s="85"/>
    </row>
    <row r="649" ht="15.75" customHeight="1">
      <c r="A649" s="85"/>
      <c r="B649" s="65"/>
      <c r="C649" s="85"/>
      <c r="D649" s="65"/>
      <c r="E649" s="65"/>
      <c r="F649" s="65"/>
      <c r="G649" s="6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65"/>
      <c r="W649" s="6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91"/>
      <c r="AI649" s="85"/>
      <c r="AJ649" s="85"/>
    </row>
    <row r="650" ht="15.75" customHeight="1">
      <c r="A650" s="85"/>
      <c r="B650" s="65"/>
      <c r="C650" s="85"/>
      <c r="D650" s="65"/>
      <c r="E650" s="65"/>
      <c r="F650" s="65"/>
      <c r="G650" s="6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65"/>
      <c r="W650" s="65"/>
      <c r="X650" s="85"/>
      <c r="Y650" s="85"/>
      <c r="Z650" s="85"/>
      <c r="AA650" s="85"/>
      <c r="AB650" s="85"/>
      <c r="AC650" s="85"/>
      <c r="AD650" s="85"/>
      <c r="AE650" s="85"/>
      <c r="AF650" s="85"/>
      <c r="AG650" s="85"/>
      <c r="AH650" s="91"/>
      <c r="AI650" s="85"/>
      <c r="AJ650" s="85"/>
    </row>
    <row r="651" ht="15.75" customHeight="1">
      <c r="A651" s="85"/>
      <c r="B651" s="65"/>
      <c r="C651" s="85"/>
      <c r="D651" s="65"/>
      <c r="E651" s="65"/>
      <c r="F651" s="65"/>
      <c r="G651" s="6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65"/>
      <c r="W651" s="65"/>
      <c r="X651" s="85"/>
      <c r="Y651" s="85"/>
      <c r="Z651" s="85"/>
      <c r="AA651" s="85"/>
      <c r="AB651" s="85"/>
      <c r="AC651" s="85"/>
      <c r="AD651" s="85"/>
      <c r="AE651" s="85"/>
      <c r="AF651" s="85"/>
      <c r="AG651" s="85"/>
      <c r="AH651" s="91"/>
      <c r="AI651" s="85"/>
      <c r="AJ651" s="85"/>
    </row>
    <row r="652" ht="15.75" customHeight="1">
      <c r="A652" s="85"/>
      <c r="B652" s="65"/>
      <c r="C652" s="85"/>
      <c r="D652" s="65"/>
      <c r="E652" s="65"/>
      <c r="F652" s="65"/>
      <c r="G652" s="6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65"/>
      <c r="W652" s="65"/>
      <c r="X652" s="85"/>
      <c r="Y652" s="85"/>
      <c r="Z652" s="85"/>
      <c r="AA652" s="85"/>
      <c r="AB652" s="85"/>
      <c r="AC652" s="85"/>
      <c r="AD652" s="85"/>
      <c r="AE652" s="85"/>
      <c r="AF652" s="85"/>
      <c r="AG652" s="85"/>
      <c r="AH652" s="91"/>
      <c r="AI652" s="85"/>
      <c r="AJ652" s="85"/>
    </row>
    <row r="653" ht="15.75" customHeight="1">
      <c r="A653" s="85"/>
      <c r="B653" s="65"/>
      <c r="C653" s="85"/>
      <c r="D653" s="65"/>
      <c r="E653" s="65"/>
      <c r="F653" s="65"/>
      <c r="G653" s="6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65"/>
      <c r="W653" s="65"/>
      <c r="X653" s="85"/>
      <c r="Y653" s="85"/>
      <c r="Z653" s="85"/>
      <c r="AA653" s="85"/>
      <c r="AB653" s="85"/>
      <c r="AC653" s="85"/>
      <c r="AD653" s="85"/>
      <c r="AE653" s="85"/>
      <c r="AF653" s="85"/>
      <c r="AG653" s="85"/>
      <c r="AH653" s="91"/>
      <c r="AI653" s="85"/>
      <c r="AJ653" s="85"/>
    </row>
    <row r="654" ht="15.75" customHeight="1">
      <c r="A654" s="85"/>
      <c r="B654" s="65"/>
      <c r="C654" s="85"/>
      <c r="D654" s="65"/>
      <c r="E654" s="65"/>
      <c r="F654" s="65"/>
      <c r="G654" s="6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65"/>
      <c r="W654" s="65"/>
      <c r="X654" s="85"/>
      <c r="Y654" s="85"/>
      <c r="Z654" s="85"/>
      <c r="AA654" s="85"/>
      <c r="AB654" s="85"/>
      <c r="AC654" s="85"/>
      <c r="AD654" s="85"/>
      <c r="AE654" s="85"/>
      <c r="AF654" s="85"/>
      <c r="AG654" s="85"/>
      <c r="AH654" s="91"/>
      <c r="AI654" s="85"/>
      <c r="AJ654" s="85"/>
    </row>
    <row r="655" ht="15.75" customHeight="1">
      <c r="A655" s="85"/>
      <c r="B655" s="65"/>
      <c r="C655" s="85"/>
      <c r="D655" s="65"/>
      <c r="E655" s="65"/>
      <c r="F655" s="65"/>
      <c r="G655" s="6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65"/>
      <c r="W655" s="65"/>
      <c r="X655" s="85"/>
      <c r="Y655" s="85"/>
      <c r="Z655" s="85"/>
      <c r="AA655" s="85"/>
      <c r="AB655" s="85"/>
      <c r="AC655" s="85"/>
      <c r="AD655" s="85"/>
      <c r="AE655" s="85"/>
      <c r="AF655" s="85"/>
      <c r="AG655" s="85"/>
      <c r="AH655" s="91"/>
      <c r="AI655" s="85"/>
      <c r="AJ655" s="85"/>
    </row>
    <row r="656" ht="15.75" customHeight="1">
      <c r="A656" s="85"/>
      <c r="B656" s="65"/>
      <c r="C656" s="85"/>
      <c r="D656" s="65"/>
      <c r="E656" s="65"/>
      <c r="F656" s="65"/>
      <c r="G656" s="6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65"/>
      <c r="W656" s="65"/>
      <c r="X656" s="85"/>
      <c r="Y656" s="85"/>
      <c r="Z656" s="85"/>
      <c r="AA656" s="85"/>
      <c r="AB656" s="85"/>
      <c r="AC656" s="85"/>
      <c r="AD656" s="85"/>
      <c r="AE656" s="85"/>
      <c r="AF656" s="85"/>
      <c r="AG656" s="85"/>
      <c r="AH656" s="91"/>
      <c r="AI656" s="85"/>
      <c r="AJ656" s="85"/>
    </row>
    <row r="657" ht="15.75" customHeight="1">
      <c r="A657" s="85"/>
      <c r="B657" s="65"/>
      <c r="C657" s="85"/>
      <c r="D657" s="65"/>
      <c r="E657" s="65"/>
      <c r="F657" s="65"/>
      <c r="G657" s="6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65"/>
      <c r="W657" s="65"/>
      <c r="X657" s="85"/>
      <c r="Y657" s="85"/>
      <c r="Z657" s="85"/>
      <c r="AA657" s="85"/>
      <c r="AB657" s="85"/>
      <c r="AC657" s="85"/>
      <c r="AD657" s="85"/>
      <c r="AE657" s="85"/>
      <c r="AF657" s="85"/>
      <c r="AG657" s="85"/>
      <c r="AH657" s="91"/>
      <c r="AI657" s="85"/>
      <c r="AJ657" s="85"/>
    </row>
    <row r="658" ht="15.75" customHeight="1">
      <c r="A658" s="85"/>
      <c r="B658" s="65"/>
      <c r="C658" s="85"/>
      <c r="D658" s="65"/>
      <c r="E658" s="65"/>
      <c r="F658" s="65"/>
      <c r="G658" s="6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65"/>
      <c r="W658" s="65"/>
      <c r="X658" s="85"/>
      <c r="Y658" s="85"/>
      <c r="Z658" s="85"/>
      <c r="AA658" s="85"/>
      <c r="AB658" s="85"/>
      <c r="AC658" s="85"/>
      <c r="AD658" s="85"/>
      <c r="AE658" s="85"/>
      <c r="AF658" s="85"/>
      <c r="AG658" s="85"/>
      <c r="AH658" s="91"/>
      <c r="AI658" s="85"/>
      <c r="AJ658" s="85"/>
    </row>
    <row r="659" ht="15.75" customHeight="1">
      <c r="A659" s="85"/>
      <c r="B659" s="65"/>
      <c r="C659" s="85"/>
      <c r="D659" s="65"/>
      <c r="E659" s="65"/>
      <c r="F659" s="65"/>
      <c r="G659" s="6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65"/>
      <c r="W659" s="65"/>
      <c r="X659" s="85"/>
      <c r="Y659" s="85"/>
      <c r="Z659" s="85"/>
      <c r="AA659" s="85"/>
      <c r="AB659" s="85"/>
      <c r="AC659" s="85"/>
      <c r="AD659" s="85"/>
      <c r="AE659" s="85"/>
      <c r="AF659" s="85"/>
      <c r="AG659" s="85"/>
      <c r="AH659" s="91"/>
      <c r="AI659" s="85"/>
      <c r="AJ659" s="85"/>
    </row>
    <row r="660" ht="15.75" customHeight="1">
      <c r="A660" s="85"/>
      <c r="B660" s="65"/>
      <c r="C660" s="85"/>
      <c r="D660" s="65"/>
      <c r="E660" s="65"/>
      <c r="F660" s="65"/>
      <c r="G660" s="6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65"/>
      <c r="W660" s="65"/>
      <c r="X660" s="85"/>
      <c r="Y660" s="85"/>
      <c r="Z660" s="85"/>
      <c r="AA660" s="85"/>
      <c r="AB660" s="85"/>
      <c r="AC660" s="85"/>
      <c r="AD660" s="85"/>
      <c r="AE660" s="85"/>
      <c r="AF660" s="85"/>
      <c r="AG660" s="85"/>
      <c r="AH660" s="91"/>
      <c r="AI660" s="85"/>
      <c r="AJ660" s="85"/>
    </row>
    <row r="661" ht="15.75" customHeight="1">
      <c r="A661" s="85"/>
      <c r="B661" s="65"/>
      <c r="C661" s="85"/>
      <c r="D661" s="65"/>
      <c r="E661" s="65"/>
      <c r="F661" s="65"/>
      <c r="G661" s="6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65"/>
      <c r="W661" s="65"/>
      <c r="X661" s="85"/>
      <c r="Y661" s="85"/>
      <c r="Z661" s="85"/>
      <c r="AA661" s="85"/>
      <c r="AB661" s="85"/>
      <c r="AC661" s="85"/>
      <c r="AD661" s="85"/>
      <c r="AE661" s="85"/>
      <c r="AF661" s="85"/>
      <c r="AG661" s="85"/>
      <c r="AH661" s="91"/>
      <c r="AI661" s="85"/>
      <c r="AJ661" s="85"/>
    </row>
    <row r="662" ht="15.75" customHeight="1">
      <c r="A662" s="85"/>
      <c r="B662" s="65"/>
      <c r="C662" s="85"/>
      <c r="D662" s="65"/>
      <c r="E662" s="65"/>
      <c r="F662" s="65"/>
      <c r="G662" s="6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65"/>
      <c r="W662" s="65"/>
      <c r="X662" s="85"/>
      <c r="Y662" s="85"/>
      <c r="Z662" s="85"/>
      <c r="AA662" s="85"/>
      <c r="AB662" s="85"/>
      <c r="AC662" s="85"/>
      <c r="AD662" s="85"/>
      <c r="AE662" s="85"/>
      <c r="AF662" s="85"/>
      <c r="AG662" s="85"/>
      <c r="AH662" s="91"/>
      <c r="AI662" s="85"/>
      <c r="AJ662" s="85"/>
    </row>
    <row r="663" ht="15.75" customHeight="1">
      <c r="A663" s="85"/>
      <c r="B663" s="65"/>
      <c r="C663" s="85"/>
      <c r="D663" s="65"/>
      <c r="E663" s="65"/>
      <c r="F663" s="65"/>
      <c r="G663" s="6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65"/>
      <c r="W663" s="65"/>
      <c r="X663" s="85"/>
      <c r="Y663" s="85"/>
      <c r="Z663" s="85"/>
      <c r="AA663" s="85"/>
      <c r="AB663" s="85"/>
      <c r="AC663" s="85"/>
      <c r="AD663" s="85"/>
      <c r="AE663" s="85"/>
      <c r="AF663" s="85"/>
      <c r="AG663" s="85"/>
      <c r="AH663" s="91"/>
      <c r="AI663" s="85"/>
      <c r="AJ663" s="85"/>
    </row>
    <row r="664" ht="15.75" customHeight="1">
      <c r="A664" s="85"/>
      <c r="B664" s="65"/>
      <c r="C664" s="85"/>
      <c r="D664" s="65"/>
      <c r="E664" s="65"/>
      <c r="F664" s="65"/>
      <c r="G664" s="6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65"/>
      <c r="W664" s="65"/>
      <c r="X664" s="85"/>
      <c r="Y664" s="85"/>
      <c r="Z664" s="85"/>
      <c r="AA664" s="85"/>
      <c r="AB664" s="85"/>
      <c r="AC664" s="85"/>
      <c r="AD664" s="85"/>
      <c r="AE664" s="85"/>
      <c r="AF664" s="85"/>
      <c r="AG664" s="85"/>
      <c r="AH664" s="91"/>
      <c r="AI664" s="85"/>
      <c r="AJ664" s="85"/>
    </row>
    <row r="665" ht="15.75" customHeight="1">
      <c r="A665" s="85"/>
      <c r="B665" s="65"/>
      <c r="C665" s="85"/>
      <c r="D665" s="65"/>
      <c r="E665" s="65"/>
      <c r="F665" s="65"/>
      <c r="G665" s="6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65"/>
      <c r="W665" s="65"/>
      <c r="X665" s="85"/>
      <c r="Y665" s="85"/>
      <c r="Z665" s="85"/>
      <c r="AA665" s="85"/>
      <c r="AB665" s="85"/>
      <c r="AC665" s="85"/>
      <c r="AD665" s="85"/>
      <c r="AE665" s="85"/>
      <c r="AF665" s="85"/>
      <c r="AG665" s="85"/>
      <c r="AH665" s="91"/>
      <c r="AI665" s="85"/>
      <c r="AJ665" s="85"/>
    </row>
    <row r="666" ht="15.75" customHeight="1">
      <c r="A666" s="85"/>
      <c r="B666" s="65"/>
      <c r="C666" s="85"/>
      <c r="D666" s="65"/>
      <c r="E666" s="65"/>
      <c r="F666" s="65"/>
      <c r="G666" s="6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65"/>
      <c r="W666" s="65"/>
      <c r="X666" s="85"/>
      <c r="Y666" s="85"/>
      <c r="Z666" s="85"/>
      <c r="AA666" s="85"/>
      <c r="AB666" s="85"/>
      <c r="AC666" s="85"/>
      <c r="AD666" s="85"/>
      <c r="AE666" s="85"/>
      <c r="AF666" s="85"/>
      <c r="AG666" s="85"/>
      <c r="AH666" s="91"/>
      <c r="AI666" s="85"/>
      <c r="AJ666" s="85"/>
    </row>
    <row r="667" ht="15.75" customHeight="1">
      <c r="A667" s="85"/>
      <c r="B667" s="65"/>
      <c r="C667" s="85"/>
      <c r="D667" s="65"/>
      <c r="E667" s="65"/>
      <c r="F667" s="65"/>
      <c r="G667" s="6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65"/>
      <c r="W667" s="65"/>
      <c r="X667" s="85"/>
      <c r="Y667" s="85"/>
      <c r="Z667" s="85"/>
      <c r="AA667" s="85"/>
      <c r="AB667" s="85"/>
      <c r="AC667" s="85"/>
      <c r="AD667" s="85"/>
      <c r="AE667" s="85"/>
      <c r="AF667" s="85"/>
      <c r="AG667" s="85"/>
      <c r="AH667" s="91"/>
      <c r="AI667" s="85"/>
      <c r="AJ667" s="85"/>
    </row>
    <row r="668" ht="15.75" customHeight="1">
      <c r="A668" s="85"/>
      <c r="B668" s="65"/>
      <c r="C668" s="85"/>
      <c r="D668" s="65"/>
      <c r="E668" s="65"/>
      <c r="F668" s="65"/>
      <c r="G668" s="6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65"/>
      <c r="W668" s="65"/>
      <c r="X668" s="85"/>
      <c r="Y668" s="85"/>
      <c r="Z668" s="85"/>
      <c r="AA668" s="85"/>
      <c r="AB668" s="85"/>
      <c r="AC668" s="85"/>
      <c r="AD668" s="85"/>
      <c r="AE668" s="85"/>
      <c r="AF668" s="85"/>
      <c r="AG668" s="85"/>
      <c r="AH668" s="91"/>
      <c r="AI668" s="85"/>
      <c r="AJ668" s="85"/>
    </row>
    <row r="669" ht="15.75" customHeight="1">
      <c r="A669" s="85"/>
      <c r="B669" s="65"/>
      <c r="C669" s="85"/>
      <c r="D669" s="65"/>
      <c r="E669" s="65"/>
      <c r="F669" s="65"/>
      <c r="G669" s="6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65"/>
      <c r="W669" s="65"/>
      <c r="X669" s="85"/>
      <c r="Y669" s="85"/>
      <c r="Z669" s="85"/>
      <c r="AA669" s="85"/>
      <c r="AB669" s="85"/>
      <c r="AC669" s="85"/>
      <c r="AD669" s="85"/>
      <c r="AE669" s="85"/>
      <c r="AF669" s="85"/>
      <c r="AG669" s="85"/>
      <c r="AH669" s="91"/>
      <c r="AI669" s="85"/>
      <c r="AJ669" s="85"/>
    </row>
    <row r="670" ht="15.75" customHeight="1">
      <c r="A670" s="85"/>
      <c r="B670" s="65"/>
      <c r="C670" s="85"/>
      <c r="D670" s="65"/>
      <c r="E670" s="65"/>
      <c r="F670" s="65"/>
      <c r="G670" s="6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65"/>
      <c r="W670" s="65"/>
      <c r="X670" s="85"/>
      <c r="Y670" s="85"/>
      <c r="Z670" s="85"/>
      <c r="AA670" s="85"/>
      <c r="AB670" s="85"/>
      <c r="AC670" s="85"/>
      <c r="AD670" s="85"/>
      <c r="AE670" s="85"/>
      <c r="AF670" s="85"/>
      <c r="AG670" s="85"/>
      <c r="AH670" s="91"/>
      <c r="AI670" s="85"/>
      <c r="AJ670" s="85"/>
    </row>
    <row r="671" ht="15.75" customHeight="1">
      <c r="A671" s="85"/>
      <c r="B671" s="65"/>
      <c r="C671" s="85"/>
      <c r="D671" s="65"/>
      <c r="E671" s="65"/>
      <c r="F671" s="65"/>
      <c r="G671" s="6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65"/>
      <c r="W671" s="65"/>
      <c r="X671" s="85"/>
      <c r="Y671" s="85"/>
      <c r="Z671" s="85"/>
      <c r="AA671" s="85"/>
      <c r="AB671" s="85"/>
      <c r="AC671" s="85"/>
      <c r="AD671" s="85"/>
      <c r="AE671" s="85"/>
      <c r="AF671" s="85"/>
      <c r="AG671" s="85"/>
      <c r="AH671" s="91"/>
      <c r="AI671" s="85"/>
      <c r="AJ671" s="85"/>
    </row>
    <row r="672" ht="15.75" customHeight="1">
      <c r="A672" s="85"/>
      <c r="B672" s="65"/>
      <c r="C672" s="85"/>
      <c r="D672" s="65"/>
      <c r="E672" s="65"/>
      <c r="F672" s="65"/>
      <c r="G672" s="6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65"/>
      <c r="W672" s="65"/>
      <c r="X672" s="85"/>
      <c r="Y672" s="85"/>
      <c r="Z672" s="85"/>
      <c r="AA672" s="85"/>
      <c r="AB672" s="85"/>
      <c r="AC672" s="85"/>
      <c r="AD672" s="85"/>
      <c r="AE672" s="85"/>
      <c r="AF672" s="85"/>
      <c r="AG672" s="85"/>
      <c r="AH672" s="91"/>
      <c r="AI672" s="85"/>
      <c r="AJ672" s="85"/>
    </row>
    <row r="673" ht="15.75" customHeight="1">
      <c r="A673" s="85"/>
      <c r="B673" s="65"/>
      <c r="C673" s="85"/>
      <c r="D673" s="65"/>
      <c r="E673" s="65"/>
      <c r="F673" s="65"/>
      <c r="G673" s="6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65"/>
      <c r="W673" s="65"/>
      <c r="X673" s="85"/>
      <c r="Y673" s="85"/>
      <c r="Z673" s="85"/>
      <c r="AA673" s="85"/>
      <c r="AB673" s="85"/>
      <c r="AC673" s="85"/>
      <c r="AD673" s="85"/>
      <c r="AE673" s="85"/>
      <c r="AF673" s="85"/>
      <c r="AG673" s="85"/>
      <c r="AH673" s="91"/>
      <c r="AI673" s="85"/>
      <c r="AJ673" s="85"/>
    </row>
    <row r="674" ht="15.75" customHeight="1">
      <c r="A674" s="85"/>
      <c r="B674" s="65"/>
      <c r="C674" s="85"/>
      <c r="D674" s="65"/>
      <c r="E674" s="65"/>
      <c r="F674" s="65"/>
      <c r="G674" s="6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65"/>
      <c r="W674" s="65"/>
      <c r="X674" s="85"/>
      <c r="Y674" s="85"/>
      <c r="Z674" s="85"/>
      <c r="AA674" s="85"/>
      <c r="AB674" s="85"/>
      <c r="AC674" s="85"/>
      <c r="AD674" s="85"/>
      <c r="AE674" s="85"/>
      <c r="AF674" s="85"/>
      <c r="AG674" s="85"/>
      <c r="AH674" s="91"/>
      <c r="AI674" s="85"/>
      <c r="AJ674" s="85"/>
    </row>
    <row r="675" ht="15.75" customHeight="1">
      <c r="A675" s="85"/>
      <c r="B675" s="65"/>
      <c r="C675" s="85"/>
      <c r="D675" s="65"/>
      <c r="E675" s="65"/>
      <c r="F675" s="65"/>
      <c r="G675" s="6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65"/>
      <c r="W675" s="65"/>
      <c r="X675" s="85"/>
      <c r="Y675" s="85"/>
      <c r="Z675" s="85"/>
      <c r="AA675" s="85"/>
      <c r="AB675" s="85"/>
      <c r="AC675" s="85"/>
      <c r="AD675" s="85"/>
      <c r="AE675" s="85"/>
      <c r="AF675" s="85"/>
      <c r="AG675" s="85"/>
      <c r="AH675" s="91"/>
      <c r="AI675" s="85"/>
      <c r="AJ675" s="85"/>
    </row>
    <row r="676" ht="15.75" customHeight="1">
      <c r="A676" s="85"/>
      <c r="B676" s="65"/>
      <c r="C676" s="85"/>
      <c r="D676" s="65"/>
      <c r="E676" s="65"/>
      <c r="F676" s="65"/>
      <c r="G676" s="6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65"/>
      <c r="W676" s="65"/>
      <c r="X676" s="85"/>
      <c r="Y676" s="85"/>
      <c r="Z676" s="85"/>
      <c r="AA676" s="85"/>
      <c r="AB676" s="85"/>
      <c r="AC676" s="85"/>
      <c r="AD676" s="85"/>
      <c r="AE676" s="85"/>
      <c r="AF676" s="85"/>
      <c r="AG676" s="85"/>
      <c r="AH676" s="91"/>
      <c r="AI676" s="85"/>
      <c r="AJ676" s="85"/>
    </row>
    <row r="677" ht="15.75" customHeight="1">
      <c r="A677" s="85"/>
      <c r="B677" s="65"/>
      <c r="C677" s="85"/>
      <c r="D677" s="65"/>
      <c r="E677" s="65"/>
      <c r="F677" s="65"/>
      <c r="G677" s="6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65"/>
      <c r="W677" s="65"/>
      <c r="X677" s="85"/>
      <c r="Y677" s="85"/>
      <c r="Z677" s="85"/>
      <c r="AA677" s="85"/>
      <c r="AB677" s="85"/>
      <c r="AC677" s="85"/>
      <c r="AD677" s="85"/>
      <c r="AE677" s="85"/>
      <c r="AF677" s="85"/>
      <c r="AG677" s="85"/>
      <c r="AH677" s="91"/>
      <c r="AI677" s="85"/>
      <c r="AJ677" s="85"/>
    </row>
    <row r="678" ht="15.75" customHeight="1">
      <c r="A678" s="85"/>
      <c r="B678" s="65"/>
      <c r="C678" s="85"/>
      <c r="D678" s="65"/>
      <c r="E678" s="65"/>
      <c r="F678" s="65"/>
      <c r="G678" s="6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65"/>
      <c r="W678" s="65"/>
      <c r="X678" s="85"/>
      <c r="Y678" s="85"/>
      <c r="Z678" s="85"/>
      <c r="AA678" s="85"/>
      <c r="AB678" s="85"/>
      <c r="AC678" s="85"/>
      <c r="AD678" s="85"/>
      <c r="AE678" s="85"/>
      <c r="AF678" s="85"/>
      <c r="AG678" s="85"/>
      <c r="AH678" s="91"/>
      <c r="AI678" s="85"/>
      <c r="AJ678" s="85"/>
    </row>
    <row r="679" ht="15.75" customHeight="1">
      <c r="A679" s="85"/>
      <c r="B679" s="65"/>
      <c r="C679" s="85"/>
      <c r="D679" s="65"/>
      <c r="E679" s="65"/>
      <c r="F679" s="65"/>
      <c r="G679" s="6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65"/>
      <c r="W679" s="65"/>
      <c r="X679" s="85"/>
      <c r="Y679" s="85"/>
      <c r="Z679" s="85"/>
      <c r="AA679" s="85"/>
      <c r="AB679" s="85"/>
      <c r="AC679" s="85"/>
      <c r="AD679" s="85"/>
      <c r="AE679" s="85"/>
      <c r="AF679" s="85"/>
      <c r="AG679" s="85"/>
      <c r="AH679" s="91"/>
      <c r="AI679" s="85"/>
      <c r="AJ679" s="85"/>
    </row>
    <row r="680" ht="15.75" customHeight="1">
      <c r="A680" s="85"/>
      <c r="B680" s="65"/>
      <c r="C680" s="85"/>
      <c r="D680" s="65"/>
      <c r="E680" s="65"/>
      <c r="F680" s="65"/>
      <c r="G680" s="6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65"/>
      <c r="W680" s="65"/>
      <c r="X680" s="85"/>
      <c r="Y680" s="85"/>
      <c r="Z680" s="85"/>
      <c r="AA680" s="85"/>
      <c r="AB680" s="85"/>
      <c r="AC680" s="85"/>
      <c r="AD680" s="85"/>
      <c r="AE680" s="85"/>
      <c r="AF680" s="85"/>
      <c r="AG680" s="85"/>
      <c r="AH680" s="91"/>
      <c r="AI680" s="85"/>
      <c r="AJ680" s="85"/>
    </row>
    <row r="681" ht="15.75" customHeight="1">
      <c r="A681" s="85"/>
      <c r="B681" s="65"/>
      <c r="C681" s="85"/>
      <c r="D681" s="65"/>
      <c r="E681" s="65"/>
      <c r="F681" s="65"/>
      <c r="G681" s="6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65"/>
      <c r="W681" s="65"/>
      <c r="X681" s="85"/>
      <c r="Y681" s="85"/>
      <c r="Z681" s="85"/>
      <c r="AA681" s="85"/>
      <c r="AB681" s="85"/>
      <c r="AC681" s="85"/>
      <c r="AD681" s="85"/>
      <c r="AE681" s="85"/>
      <c r="AF681" s="85"/>
      <c r="AG681" s="85"/>
      <c r="AH681" s="91"/>
      <c r="AI681" s="85"/>
      <c r="AJ681" s="85"/>
    </row>
    <row r="682" ht="15.75" customHeight="1">
      <c r="A682" s="85"/>
      <c r="B682" s="65"/>
      <c r="C682" s="85"/>
      <c r="D682" s="65"/>
      <c r="E682" s="65"/>
      <c r="F682" s="65"/>
      <c r="G682" s="6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65"/>
      <c r="W682" s="65"/>
      <c r="X682" s="85"/>
      <c r="Y682" s="85"/>
      <c r="Z682" s="85"/>
      <c r="AA682" s="85"/>
      <c r="AB682" s="85"/>
      <c r="AC682" s="85"/>
      <c r="AD682" s="85"/>
      <c r="AE682" s="85"/>
      <c r="AF682" s="85"/>
      <c r="AG682" s="85"/>
      <c r="AH682" s="91"/>
      <c r="AI682" s="85"/>
      <c r="AJ682" s="85"/>
    </row>
    <row r="683" ht="15.75" customHeight="1">
      <c r="A683" s="85"/>
      <c r="B683" s="65"/>
      <c r="C683" s="85"/>
      <c r="D683" s="65"/>
      <c r="E683" s="65"/>
      <c r="F683" s="65"/>
      <c r="G683" s="6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65"/>
      <c r="W683" s="65"/>
      <c r="X683" s="85"/>
      <c r="Y683" s="85"/>
      <c r="Z683" s="85"/>
      <c r="AA683" s="85"/>
      <c r="AB683" s="85"/>
      <c r="AC683" s="85"/>
      <c r="AD683" s="85"/>
      <c r="AE683" s="85"/>
      <c r="AF683" s="85"/>
      <c r="AG683" s="85"/>
      <c r="AH683" s="91"/>
      <c r="AI683" s="85"/>
      <c r="AJ683" s="85"/>
    </row>
    <row r="684" ht="15.75" customHeight="1">
      <c r="A684" s="85"/>
      <c r="B684" s="65"/>
      <c r="C684" s="85"/>
      <c r="D684" s="65"/>
      <c r="E684" s="65"/>
      <c r="F684" s="65"/>
      <c r="G684" s="6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65"/>
      <c r="W684" s="65"/>
      <c r="X684" s="85"/>
      <c r="Y684" s="85"/>
      <c r="Z684" s="85"/>
      <c r="AA684" s="85"/>
      <c r="AB684" s="85"/>
      <c r="AC684" s="85"/>
      <c r="AD684" s="85"/>
      <c r="AE684" s="85"/>
      <c r="AF684" s="85"/>
      <c r="AG684" s="85"/>
      <c r="AH684" s="91"/>
      <c r="AI684" s="85"/>
      <c r="AJ684" s="85"/>
    </row>
    <row r="685" ht="15.75" customHeight="1">
      <c r="A685" s="85"/>
      <c r="B685" s="65"/>
      <c r="C685" s="85"/>
      <c r="D685" s="65"/>
      <c r="E685" s="65"/>
      <c r="F685" s="65"/>
      <c r="G685" s="6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65"/>
      <c r="W685" s="65"/>
      <c r="X685" s="85"/>
      <c r="Y685" s="85"/>
      <c r="Z685" s="85"/>
      <c r="AA685" s="85"/>
      <c r="AB685" s="85"/>
      <c r="AC685" s="85"/>
      <c r="AD685" s="85"/>
      <c r="AE685" s="85"/>
      <c r="AF685" s="85"/>
      <c r="AG685" s="85"/>
      <c r="AH685" s="91"/>
      <c r="AI685" s="85"/>
      <c r="AJ685" s="85"/>
    </row>
    <row r="686" ht="15.75" customHeight="1">
      <c r="A686" s="85"/>
      <c r="B686" s="65"/>
      <c r="C686" s="85"/>
      <c r="D686" s="65"/>
      <c r="E686" s="65"/>
      <c r="F686" s="65"/>
      <c r="G686" s="6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65"/>
      <c r="W686" s="65"/>
      <c r="X686" s="85"/>
      <c r="Y686" s="85"/>
      <c r="Z686" s="85"/>
      <c r="AA686" s="85"/>
      <c r="AB686" s="85"/>
      <c r="AC686" s="85"/>
      <c r="AD686" s="85"/>
      <c r="AE686" s="85"/>
      <c r="AF686" s="85"/>
      <c r="AG686" s="85"/>
      <c r="AH686" s="91"/>
      <c r="AI686" s="85"/>
      <c r="AJ686" s="85"/>
    </row>
    <row r="687" ht="15.75" customHeight="1">
      <c r="A687" s="85"/>
      <c r="B687" s="65"/>
      <c r="C687" s="85"/>
      <c r="D687" s="65"/>
      <c r="E687" s="65"/>
      <c r="F687" s="65"/>
      <c r="G687" s="6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65"/>
      <c r="W687" s="6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91"/>
      <c r="AI687" s="85"/>
      <c r="AJ687" s="85"/>
    </row>
    <row r="688" ht="15.75" customHeight="1">
      <c r="A688" s="85"/>
      <c r="B688" s="65"/>
      <c r="C688" s="85"/>
      <c r="D688" s="65"/>
      <c r="E688" s="65"/>
      <c r="F688" s="65"/>
      <c r="G688" s="6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65"/>
      <c r="W688" s="65"/>
      <c r="X688" s="85"/>
      <c r="Y688" s="85"/>
      <c r="Z688" s="85"/>
      <c r="AA688" s="85"/>
      <c r="AB688" s="85"/>
      <c r="AC688" s="85"/>
      <c r="AD688" s="85"/>
      <c r="AE688" s="85"/>
      <c r="AF688" s="85"/>
      <c r="AG688" s="85"/>
      <c r="AH688" s="91"/>
      <c r="AI688" s="85"/>
      <c r="AJ688" s="85"/>
    </row>
    <row r="689" ht="15.75" customHeight="1">
      <c r="A689" s="85"/>
      <c r="B689" s="65"/>
      <c r="C689" s="85"/>
      <c r="D689" s="65"/>
      <c r="E689" s="65"/>
      <c r="F689" s="65"/>
      <c r="G689" s="6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65"/>
      <c r="W689" s="65"/>
      <c r="X689" s="85"/>
      <c r="Y689" s="85"/>
      <c r="Z689" s="85"/>
      <c r="AA689" s="85"/>
      <c r="AB689" s="85"/>
      <c r="AC689" s="85"/>
      <c r="AD689" s="85"/>
      <c r="AE689" s="85"/>
      <c r="AF689" s="85"/>
      <c r="AG689" s="85"/>
      <c r="AH689" s="91"/>
      <c r="AI689" s="85"/>
      <c r="AJ689" s="85"/>
    </row>
    <row r="690" ht="15.75" customHeight="1">
      <c r="A690" s="85"/>
      <c r="B690" s="65"/>
      <c r="C690" s="85"/>
      <c r="D690" s="65"/>
      <c r="E690" s="65"/>
      <c r="F690" s="65"/>
      <c r="G690" s="6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65"/>
      <c r="W690" s="65"/>
      <c r="X690" s="85"/>
      <c r="Y690" s="85"/>
      <c r="Z690" s="85"/>
      <c r="AA690" s="85"/>
      <c r="AB690" s="85"/>
      <c r="AC690" s="85"/>
      <c r="AD690" s="85"/>
      <c r="AE690" s="85"/>
      <c r="AF690" s="85"/>
      <c r="AG690" s="85"/>
      <c r="AH690" s="91"/>
      <c r="AI690" s="85"/>
      <c r="AJ690" s="85"/>
    </row>
    <row r="691" ht="15.75" customHeight="1">
      <c r="A691" s="85"/>
      <c r="B691" s="65"/>
      <c r="C691" s="85"/>
      <c r="D691" s="65"/>
      <c r="E691" s="65"/>
      <c r="F691" s="65"/>
      <c r="G691" s="6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65"/>
      <c r="W691" s="65"/>
      <c r="X691" s="85"/>
      <c r="Y691" s="85"/>
      <c r="Z691" s="85"/>
      <c r="AA691" s="85"/>
      <c r="AB691" s="85"/>
      <c r="AC691" s="85"/>
      <c r="AD691" s="85"/>
      <c r="AE691" s="85"/>
      <c r="AF691" s="85"/>
      <c r="AG691" s="85"/>
      <c r="AH691" s="91"/>
      <c r="AI691" s="85"/>
      <c r="AJ691" s="85"/>
    </row>
    <row r="692" ht="15.75" customHeight="1">
      <c r="A692" s="85"/>
      <c r="B692" s="65"/>
      <c r="C692" s="85"/>
      <c r="D692" s="65"/>
      <c r="E692" s="65"/>
      <c r="F692" s="65"/>
      <c r="G692" s="6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65"/>
      <c r="W692" s="65"/>
      <c r="X692" s="85"/>
      <c r="Y692" s="85"/>
      <c r="Z692" s="85"/>
      <c r="AA692" s="85"/>
      <c r="AB692" s="85"/>
      <c r="AC692" s="85"/>
      <c r="AD692" s="85"/>
      <c r="AE692" s="85"/>
      <c r="AF692" s="85"/>
      <c r="AG692" s="85"/>
      <c r="AH692" s="91"/>
      <c r="AI692" s="85"/>
      <c r="AJ692" s="85"/>
    </row>
    <row r="693" ht="15.75" customHeight="1">
      <c r="A693" s="85"/>
      <c r="B693" s="65"/>
      <c r="C693" s="85"/>
      <c r="D693" s="65"/>
      <c r="E693" s="65"/>
      <c r="F693" s="65"/>
      <c r="G693" s="6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65"/>
      <c r="W693" s="65"/>
      <c r="X693" s="85"/>
      <c r="Y693" s="85"/>
      <c r="Z693" s="85"/>
      <c r="AA693" s="85"/>
      <c r="AB693" s="85"/>
      <c r="AC693" s="85"/>
      <c r="AD693" s="85"/>
      <c r="AE693" s="85"/>
      <c r="AF693" s="85"/>
      <c r="AG693" s="85"/>
      <c r="AH693" s="91"/>
      <c r="AI693" s="85"/>
      <c r="AJ693" s="85"/>
    </row>
    <row r="694" ht="15.75" customHeight="1">
      <c r="A694" s="85"/>
      <c r="B694" s="65"/>
      <c r="C694" s="85"/>
      <c r="D694" s="65"/>
      <c r="E694" s="65"/>
      <c r="F694" s="65"/>
      <c r="G694" s="6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65"/>
      <c r="W694" s="65"/>
      <c r="X694" s="85"/>
      <c r="Y694" s="85"/>
      <c r="Z694" s="85"/>
      <c r="AA694" s="85"/>
      <c r="AB694" s="85"/>
      <c r="AC694" s="85"/>
      <c r="AD694" s="85"/>
      <c r="AE694" s="85"/>
      <c r="AF694" s="85"/>
      <c r="AG694" s="85"/>
      <c r="AH694" s="91"/>
      <c r="AI694" s="85"/>
      <c r="AJ694" s="85"/>
    </row>
    <row r="695" ht="15.75" customHeight="1">
      <c r="A695" s="85"/>
      <c r="B695" s="65"/>
      <c r="C695" s="85"/>
      <c r="D695" s="65"/>
      <c r="E695" s="65"/>
      <c r="F695" s="65"/>
      <c r="G695" s="6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65"/>
      <c r="W695" s="65"/>
      <c r="X695" s="85"/>
      <c r="Y695" s="85"/>
      <c r="Z695" s="85"/>
      <c r="AA695" s="85"/>
      <c r="AB695" s="85"/>
      <c r="AC695" s="85"/>
      <c r="AD695" s="85"/>
      <c r="AE695" s="85"/>
      <c r="AF695" s="85"/>
      <c r="AG695" s="85"/>
      <c r="AH695" s="91"/>
      <c r="AI695" s="85"/>
      <c r="AJ695" s="85"/>
    </row>
    <row r="696" ht="15.75" customHeight="1">
      <c r="A696" s="85"/>
      <c r="B696" s="65"/>
      <c r="C696" s="85"/>
      <c r="D696" s="65"/>
      <c r="E696" s="65"/>
      <c r="F696" s="65"/>
      <c r="G696" s="6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65"/>
      <c r="W696" s="65"/>
      <c r="X696" s="85"/>
      <c r="Y696" s="85"/>
      <c r="Z696" s="85"/>
      <c r="AA696" s="85"/>
      <c r="AB696" s="85"/>
      <c r="AC696" s="85"/>
      <c r="AD696" s="85"/>
      <c r="AE696" s="85"/>
      <c r="AF696" s="85"/>
      <c r="AG696" s="85"/>
      <c r="AH696" s="91"/>
      <c r="AI696" s="85"/>
      <c r="AJ696" s="85"/>
    </row>
    <row r="697" ht="15.75" customHeight="1">
      <c r="A697" s="85"/>
      <c r="B697" s="65"/>
      <c r="C697" s="85"/>
      <c r="D697" s="65"/>
      <c r="E697" s="65"/>
      <c r="F697" s="65"/>
      <c r="G697" s="6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65"/>
      <c r="W697" s="65"/>
      <c r="X697" s="85"/>
      <c r="Y697" s="85"/>
      <c r="Z697" s="85"/>
      <c r="AA697" s="85"/>
      <c r="AB697" s="85"/>
      <c r="AC697" s="85"/>
      <c r="AD697" s="85"/>
      <c r="AE697" s="85"/>
      <c r="AF697" s="85"/>
      <c r="AG697" s="85"/>
      <c r="AH697" s="91"/>
      <c r="AI697" s="85"/>
      <c r="AJ697" s="85"/>
    </row>
    <row r="698" ht="15.75" customHeight="1">
      <c r="A698" s="85"/>
      <c r="B698" s="65"/>
      <c r="C698" s="85"/>
      <c r="D698" s="65"/>
      <c r="E698" s="65"/>
      <c r="F698" s="65"/>
      <c r="G698" s="6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65"/>
      <c r="W698" s="65"/>
      <c r="X698" s="85"/>
      <c r="Y698" s="85"/>
      <c r="Z698" s="85"/>
      <c r="AA698" s="85"/>
      <c r="AB698" s="85"/>
      <c r="AC698" s="85"/>
      <c r="AD698" s="85"/>
      <c r="AE698" s="85"/>
      <c r="AF698" s="85"/>
      <c r="AG698" s="85"/>
      <c r="AH698" s="91"/>
      <c r="AI698" s="85"/>
      <c r="AJ698" s="85"/>
    </row>
    <row r="699" ht="15.75" customHeight="1">
      <c r="A699" s="85"/>
      <c r="B699" s="65"/>
      <c r="C699" s="85"/>
      <c r="D699" s="65"/>
      <c r="E699" s="65"/>
      <c r="F699" s="65"/>
      <c r="G699" s="6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65"/>
      <c r="W699" s="65"/>
      <c r="X699" s="85"/>
      <c r="Y699" s="85"/>
      <c r="Z699" s="85"/>
      <c r="AA699" s="85"/>
      <c r="AB699" s="85"/>
      <c r="AC699" s="85"/>
      <c r="AD699" s="85"/>
      <c r="AE699" s="85"/>
      <c r="AF699" s="85"/>
      <c r="AG699" s="85"/>
      <c r="AH699" s="91"/>
      <c r="AI699" s="85"/>
      <c r="AJ699" s="85"/>
    </row>
    <row r="700" ht="15.75" customHeight="1">
      <c r="A700" s="85"/>
      <c r="B700" s="65"/>
      <c r="C700" s="85"/>
      <c r="D700" s="65"/>
      <c r="E700" s="65"/>
      <c r="F700" s="65"/>
      <c r="G700" s="6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65"/>
      <c r="W700" s="65"/>
      <c r="X700" s="85"/>
      <c r="Y700" s="85"/>
      <c r="Z700" s="85"/>
      <c r="AA700" s="85"/>
      <c r="AB700" s="85"/>
      <c r="AC700" s="85"/>
      <c r="AD700" s="85"/>
      <c r="AE700" s="85"/>
      <c r="AF700" s="85"/>
      <c r="AG700" s="85"/>
      <c r="AH700" s="91"/>
      <c r="AI700" s="85"/>
      <c r="AJ700" s="85"/>
    </row>
    <row r="701" ht="15.75" customHeight="1">
      <c r="A701" s="85"/>
      <c r="B701" s="65"/>
      <c r="C701" s="85"/>
      <c r="D701" s="65"/>
      <c r="E701" s="65"/>
      <c r="F701" s="65"/>
      <c r="G701" s="6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65"/>
      <c r="W701" s="65"/>
      <c r="X701" s="85"/>
      <c r="Y701" s="85"/>
      <c r="Z701" s="85"/>
      <c r="AA701" s="85"/>
      <c r="AB701" s="85"/>
      <c r="AC701" s="85"/>
      <c r="AD701" s="85"/>
      <c r="AE701" s="85"/>
      <c r="AF701" s="85"/>
      <c r="AG701" s="85"/>
      <c r="AH701" s="91"/>
      <c r="AI701" s="85"/>
      <c r="AJ701" s="85"/>
    </row>
    <row r="702" ht="15.75" customHeight="1">
      <c r="A702" s="85"/>
      <c r="B702" s="65"/>
      <c r="C702" s="85"/>
      <c r="D702" s="65"/>
      <c r="E702" s="65"/>
      <c r="F702" s="65"/>
      <c r="G702" s="6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65"/>
      <c r="W702" s="65"/>
      <c r="X702" s="85"/>
      <c r="Y702" s="85"/>
      <c r="Z702" s="85"/>
      <c r="AA702" s="85"/>
      <c r="AB702" s="85"/>
      <c r="AC702" s="85"/>
      <c r="AD702" s="85"/>
      <c r="AE702" s="85"/>
      <c r="AF702" s="85"/>
      <c r="AG702" s="85"/>
      <c r="AH702" s="91"/>
      <c r="AI702" s="85"/>
      <c r="AJ702" s="85"/>
    </row>
    <row r="703" ht="15.75" customHeight="1">
      <c r="A703" s="85"/>
      <c r="B703" s="65"/>
      <c r="C703" s="85"/>
      <c r="D703" s="65"/>
      <c r="E703" s="65"/>
      <c r="F703" s="65"/>
      <c r="G703" s="6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65"/>
      <c r="W703" s="65"/>
      <c r="X703" s="85"/>
      <c r="Y703" s="85"/>
      <c r="Z703" s="85"/>
      <c r="AA703" s="85"/>
      <c r="AB703" s="85"/>
      <c r="AC703" s="85"/>
      <c r="AD703" s="85"/>
      <c r="AE703" s="85"/>
      <c r="AF703" s="85"/>
      <c r="AG703" s="85"/>
      <c r="AH703" s="91"/>
      <c r="AI703" s="85"/>
      <c r="AJ703" s="85"/>
    </row>
    <row r="704" ht="15.75" customHeight="1">
      <c r="A704" s="85"/>
      <c r="B704" s="65"/>
      <c r="C704" s="85"/>
      <c r="D704" s="65"/>
      <c r="E704" s="65"/>
      <c r="F704" s="65"/>
      <c r="G704" s="6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65"/>
      <c r="W704" s="65"/>
      <c r="X704" s="85"/>
      <c r="Y704" s="85"/>
      <c r="Z704" s="85"/>
      <c r="AA704" s="85"/>
      <c r="AB704" s="85"/>
      <c r="AC704" s="85"/>
      <c r="AD704" s="85"/>
      <c r="AE704" s="85"/>
      <c r="AF704" s="85"/>
      <c r="AG704" s="85"/>
      <c r="AH704" s="91"/>
      <c r="AI704" s="85"/>
      <c r="AJ704" s="85"/>
    </row>
    <row r="705" ht="15.75" customHeight="1">
      <c r="A705" s="85"/>
      <c r="B705" s="65"/>
      <c r="C705" s="85"/>
      <c r="D705" s="65"/>
      <c r="E705" s="65"/>
      <c r="F705" s="65"/>
      <c r="G705" s="6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65"/>
      <c r="W705" s="65"/>
      <c r="X705" s="85"/>
      <c r="Y705" s="85"/>
      <c r="Z705" s="85"/>
      <c r="AA705" s="85"/>
      <c r="AB705" s="85"/>
      <c r="AC705" s="85"/>
      <c r="AD705" s="85"/>
      <c r="AE705" s="85"/>
      <c r="AF705" s="85"/>
      <c r="AG705" s="85"/>
      <c r="AH705" s="91"/>
      <c r="AI705" s="85"/>
      <c r="AJ705" s="85"/>
    </row>
    <row r="706" ht="15.75" customHeight="1">
      <c r="A706" s="85"/>
      <c r="B706" s="65"/>
      <c r="C706" s="85"/>
      <c r="D706" s="65"/>
      <c r="E706" s="65"/>
      <c r="F706" s="65"/>
      <c r="G706" s="6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65"/>
      <c r="W706" s="65"/>
      <c r="X706" s="85"/>
      <c r="Y706" s="85"/>
      <c r="Z706" s="85"/>
      <c r="AA706" s="85"/>
      <c r="AB706" s="85"/>
      <c r="AC706" s="85"/>
      <c r="AD706" s="85"/>
      <c r="AE706" s="85"/>
      <c r="AF706" s="85"/>
      <c r="AG706" s="85"/>
      <c r="AH706" s="91"/>
      <c r="AI706" s="85"/>
      <c r="AJ706" s="85"/>
    </row>
    <row r="707" ht="15.75" customHeight="1">
      <c r="A707" s="85"/>
      <c r="B707" s="65"/>
      <c r="C707" s="85"/>
      <c r="D707" s="65"/>
      <c r="E707" s="65"/>
      <c r="F707" s="65"/>
      <c r="G707" s="6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65"/>
      <c r="W707" s="65"/>
      <c r="X707" s="85"/>
      <c r="Y707" s="85"/>
      <c r="Z707" s="85"/>
      <c r="AA707" s="85"/>
      <c r="AB707" s="85"/>
      <c r="AC707" s="85"/>
      <c r="AD707" s="85"/>
      <c r="AE707" s="85"/>
      <c r="AF707" s="85"/>
      <c r="AG707" s="85"/>
      <c r="AH707" s="91"/>
      <c r="AI707" s="85"/>
      <c r="AJ707" s="85"/>
    </row>
    <row r="708" ht="15.75" customHeight="1">
      <c r="A708" s="85"/>
      <c r="B708" s="65"/>
      <c r="C708" s="85"/>
      <c r="D708" s="65"/>
      <c r="E708" s="65"/>
      <c r="F708" s="65"/>
      <c r="G708" s="6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65"/>
      <c r="W708" s="65"/>
      <c r="X708" s="85"/>
      <c r="Y708" s="85"/>
      <c r="Z708" s="85"/>
      <c r="AA708" s="85"/>
      <c r="AB708" s="85"/>
      <c r="AC708" s="85"/>
      <c r="AD708" s="85"/>
      <c r="AE708" s="85"/>
      <c r="AF708" s="85"/>
      <c r="AG708" s="85"/>
      <c r="AH708" s="91"/>
      <c r="AI708" s="85"/>
      <c r="AJ708" s="85"/>
    </row>
    <row r="709" ht="15.75" customHeight="1">
      <c r="A709" s="85"/>
      <c r="B709" s="65"/>
      <c r="C709" s="85"/>
      <c r="D709" s="65"/>
      <c r="E709" s="65"/>
      <c r="F709" s="65"/>
      <c r="G709" s="6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65"/>
      <c r="W709" s="65"/>
      <c r="X709" s="85"/>
      <c r="Y709" s="85"/>
      <c r="Z709" s="85"/>
      <c r="AA709" s="85"/>
      <c r="AB709" s="85"/>
      <c r="AC709" s="85"/>
      <c r="AD709" s="85"/>
      <c r="AE709" s="85"/>
      <c r="AF709" s="85"/>
      <c r="AG709" s="85"/>
      <c r="AH709" s="91"/>
      <c r="AI709" s="85"/>
      <c r="AJ709" s="85"/>
    </row>
    <row r="710" ht="15.75" customHeight="1">
      <c r="A710" s="85"/>
      <c r="B710" s="65"/>
      <c r="C710" s="85"/>
      <c r="D710" s="65"/>
      <c r="E710" s="65"/>
      <c r="F710" s="65"/>
      <c r="G710" s="6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65"/>
      <c r="W710" s="65"/>
      <c r="X710" s="85"/>
      <c r="Y710" s="85"/>
      <c r="Z710" s="85"/>
      <c r="AA710" s="85"/>
      <c r="AB710" s="85"/>
      <c r="AC710" s="85"/>
      <c r="AD710" s="85"/>
      <c r="AE710" s="85"/>
      <c r="AF710" s="85"/>
      <c r="AG710" s="85"/>
      <c r="AH710" s="91"/>
      <c r="AI710" s="85"/>
      <c r="AJ710" s="85"/>
    </row>
    <row r="711" ht="15.75" customHeight="1">
      <c r="A711" s="85"/>
      <c r="B711" s="65"/>
      <c r="C711" s="85"/>
      <c r="D711" s="65"/>
      <c r="E711" s="65"/>
      <c r="F711" s="65"/>
      <c r="G711" s="6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65"/>
      <c r="W711" s="65"/>
      <c r="X711" s="85"/>
      <c r="Y711" s="85"/>
      <c r="Z711" s="85"/>
      <c r="AA711" s="85"/>
      <c r="AB711" s="85"/>
      <c r="AC711" s="85"/>
      <c r="AD711" s="85"/>
      <c r="AE711" s="85"/>
      <c r="AF711" s="85"/>
      <c r="AG711" s="85"/>
      <c r="AH711" s="91"/>
      <c r="AI711" s="85"/>
      <c r="AJ711" s="85"/>
    </row>
    <row r="712" ht="15.75" customHeight="1">
      <c r="A712" s="85"/>
      <c r="B712" s="65"/>
      <c r="C712" s="85"/>
      <c r="D712" s="65"/>
      <c r="E712" s="65"/>
      <c r="F712" s="65"/>
      <c r="G712" s="6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65"/>
      <c r="W712" s="65"/>
      <c r="X712" s="85"/>
      <c r="Y712" s="85"/>
      <c r="Z712" s="85"/>
      <c r="AA712" s="85"/>
      <c r="AB712" s="85"/>
      <c r="AC712" s="85"/>
      <c r="AD712" s="85"/>
      <c r="AE712" s="85"/>
      <c r="AF712" s="85"/>
      <c r="AG712" s="85"/>
      <c r="AH712" s="91"/>
      <c r="AI712" s="85"/>
      <c r="AJ712" s="85"/>
    </row>
    <row r="713" ht="15.75" customHeight="1">
      <c r="A713" s="85"/>
      <c r="B713" s="65"/>
      <c r="C713" s="85"/>
      <c r="D713" s="65"/>
      <c r="E713" s="65"/>
      <c r="F713" s="65"/>
      <c r="G713" s="6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65"/>
      <c r="W713" s="65"/>
      <c r="X713" s="85"/>
      <c r="Y713" s="85"/>
      <c r="Z713" s="85"/>
      <c r="AA713" s="85"/>
      <c r="AB713" s="85"/>
      <c r="AC713" s="85"/>
      <c r="AD713" s="85"/>
      <c r="AE713" s="85"/>
      <c r="AF713" s="85"/>
      <c r="AG713" s="85"/>
      <c r="AH713" s="91"/>
      <c r="AI713" s="85"/>
      <c r="AJ713" s="85"/>
    </row>
    <row r="714" ht="15.75" customHeight="1">
      <c r="A714" s="85"/>
      <c r="B714" s="65"/>
      <c r="C714" s="85"/>
      <c r="D714" s="65"/>
      <c r="E714" s="65"/>
      <c r="F714" s="65"/>
      <c r="G714" s="6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65"/>
      <c r="W714" s="65"/>
      <c r="X714" s="85"/>
      <c r="Y714" s="85"/>
      <c r="Z714" s="85"/>
      <c r="AA714" s="85"/>
      <c r="AB714" s="85"/>
      <c r="AC714" s="85"/>
      <c r="AD714" s="85"/>
      <c r="AE714" s="85"/>
      <c r="AF714" s="85"/>
      <c r="AG714" s="85"/>
      <c r="AH714" s="91"/>
      <c r="AI714" s="85"/>
      <c r="AJ714" s="85"/>
    </row>
    <row r="715" ht="15.75" customHeight="1">
      <c r="A715" s="85"/>
      <c r="B715" s="65"/>
      <c r="C715" s="85"/>
      <c r="D715" s="65"/>
      <c r="E715" s="65"/>
      <c r="F715" s="65"/>
      <c r="G715" s="6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65"/>
      <c r="W715" s="65"/>
      <c r="X715" s="85"/>
      <c r="Y715" s="85"/>
      <c r="Z715" s="85"/>
      <c r="AA715" s="85"/>
      <c r="AB715" s="85"/>
      <c r="AC715" s="85"/>
      <c r="AD715" s="85"/>
      <c r="AE715" s="85"/>
      <c r="AF715" s="85"/>
      <c r="AG715" s="85"/>
      <c r="AH715" s="91"/>
      <c r="AI715" s="85"/>
      <c r="AJ715" s="85"/>
    </row>
    <row r="716" ht="15.75" customHeight="1">
      <c r="A716" s="85"/>
      <c r="B716" s="65"/>
      <c r="C716" s="85"/>
      <c r="D716" s="65"/>
      <c r="E716" s="65"/>
      <c r="F716" s="65"/>
      <c r="G716" s="6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65"/>
      <c r="W716" s="65"/>
      <c r="X716" s="85"/>
      <c r="Y716" s="85"/>
      <c r="Z716" s="85"/>
      <c r="AA716" s="85"/>
      <c r="AB716" s="85"/>
      <c r="AC716" s="85"/>
      <c r="AD716" s="85"/>
      <c r="AE716" s="85"/>
      <c r="AF716" s="85"/>
      <c r="AG716" s="85"/>
      <c r="AH716" s="91"/>
      <c r="AI716" s="85"/>
      <c r="AJ716" s="85"/>
    </row>
    <row r="717" ht="15.75" customHeight="1">
      <c r="A717" s="85"/>
      <c r="B717" s="65"/>
      <c r="C717" s="85"/>
      <c r="D717" s="65"/>
      <c r="E717" s="65"/>
      <c r="F717" s="65"/>
      <c r="G717" s="6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65"/>
      <c r="W717" s="65"/>
      <c r="X717" s="85"/>
      <c r="Y717" s="85"/>
      <c r="Z717" s="85"/>
      <c r="AA717" s="85"/>
      <c r="AB717" s="85"/>
      <c r="AC717" s="85"/>
      <c r="AD717" s="85"/>
      <c r="AE717" s="85"/>
      <c r="AF717" s="85"/>
      <c r="AG717" s="85"/>
      <c r="AH717" s="91"/>
      <c r="AI717" s="85"/>
      <c r="AJ717" s="85"/>
    </row>
    <row r="718" ht="15.75" customHeight="1">
      <c r="A718" s="85"/>
      <c r="B718" s="65"/>
      <c r="C718" s="85"/>
      <c r="D718" s="65"/>
      <c r="E718" s="65"/>
      <c r="F718" s="65"/>
      <c r="G718" s="6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65"/>
      <c r="W718" s="65"/>
      <c r="X718" s="85"/>
      <c r="Y718" s="85"/>
      <c r="Z718" s="85"/>
      <c r="AA718" s="85"/>
      <c r="AB718" s="85"/>
      <c r="AC718" s="85"/>
      <c r="AD718" s="85"/>
      <c r="AE718" s="85"/>
      <c r="AF718" s="85"/>
      <c r="AG718" s="85"/>
      <c r="AH718" s="91"/>
      <c r="AI718" s="85"/>
      <c r="AJ718" s="85"/>
    </row>
    <row r="719" ht="15.75" customHeight="1">
      <c r="A719" s="85"/>
      <c r="B719" s="65"/>
      <c r="C719" s="85"/>
      <c r="D719" s="65"/>
      <c r="E719" s="65"/>
      <c r="F719" s="65"/>
      <c r="G719" s="6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65"/>
      <c r="W719" s="65"/>
      <c r="X719" s="85"/>
      <c r="Y719" s="85"/>
      <c r="Z719" s="85"/>
      <c r="AA719" s="85"/>
      <c r="AB719" s="85"/>
      <c r="AC719" s="85"/>
      <c r="AD719" s="85"/>
      <c r="AE719" s="85"/>
      <c r="AF719" s="85"/>
      <c r="AG719" s="85"/>
      <c r="AH719" s="91"/>
      <c r="AI719" s="85"/>
      <c r="AJ719" s="85"/>
    </row>
    <row r="720" ht="15.75" customHeight="1">
      <c r="A720" s="85"/>
      <c r="B720" s="65"/>
      <c r="C720" s="85"/>
      <c r="D720" s="65"/>
      <c r="E720" s="65"/>
      <c r="F720" s="65"/>
      <c r="G720" s="6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65"/>
      <c r="W720" s="65"/>
      <c r="X720" s="85"/>
      <c r="Y720" s="85"/>
      <c r="Z720" s="85"/>
      <c r="AA720" s="85"/>
      <c r="AB720" s="85"/>
      <c r="AC720" s="85"/>
      <c r="AD720" s="85"/>
      <c r="AE720" s="85"/>
      <c r="AF720" s="85"/>
      <c r="AG720" s="85"/>
      <c r="AH720" s="91"/>
      <c r="AI720" s="85"/>
      <c r="AJ720" s="85"/>
    </row>
    <row r="721" ht="15.75" customHeight="1">
      <c r="A721" s="85"/>
      <c r="B721" s="65"/>
      <c r="C721" s="85"/>
      <c r="D721" s="65"/>
      <c r="E721" s="65"/>
      <c r="F721" s="65"/>
      <c r="G721" s="6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65"/>
      <c r="W721" s="65"/>
      <c r="X721" s="85"/>
      <c r="Y721" s="85"/>
      <c r="Z721" s="85"/>
      <c r="AA721" s="85"/>
      <c r="AB721" s="85"/>
      <c r="AC721" s="85"/>
      <c r="AD721" s="85"/>
      <c r="AE721" s="85"/>
      <c r="AF721" s="85"/>
      <c r="AG721" s="85"/>
      <c r="AH721" s="91"/>
      <c r="AI721" s="85"/>
      <c r="AJ721" s="85"/>
    </row>
    <row r="722" ht="15.75" customHeight="1">
      <c r="A722" s="85"/>
      <c r="B722" s="65"/>
      <c r="C722" s="85"/>
      <c r="D722" s="65"/>
      <c r="E722" s="65"/>
      <c r="F722" s="65"/>
      <c r="G722" s="6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65"/>
      <c r="W722" s="65"/>
      <c r="X722" s="85"/>
      <c r="Y722" s="85"/>
      <c r="Z722" s="85"/>
      <c r="AA722" s="85"/>
      <c r="AB722" s="85"/>
      <c r="AC722" s="85"/>
      <c r="AD722" s="85"/>
      <c r="AE722" s="85"/>
      <c r="AF722" s="85"/>
      <c r="AG722" s="85"/>
      <c r="AH722" s="91"/>
      <c r="AI722" s="85"/>
      <c r="AJ722" s="85"/>
    </row>
    <row r="723" ht="15.75" customHeight="1">
      <c r="A723" s="85"/>
      <c r="B723" s="65"/>
      <c r="C723" s="85"/>
      <c r="D723" s="65"/>
      <c r="E723" s="65"/>
      <c r="F723" s="65"/>
      <c r="G723" s="6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65"/>
      <c r="W723" s="65"/>
      <c r="X723" s="85"/>
      <c r="Y723" s="85"/>
      <c r="Z723" s="85"/>
      <c r="AA723" s="85"/>
      <c r="AB723" s="85"/>
      <c r="AC723" s="85"/>
      <c r="AD723" s="85"/>
      <c r="AE723" s="85"/>
      <c r="AF723" s="85"/>
      <c r="AG723" s="85"/>
      <c r="AH723" s="91"/>
      <c r="AI723" s="85"/>
      <c r="AJ723" s="85"/>
    </row>
    <row r="724" ht="15.75" customHeight="1">
      <c r="A724" s="85"/>
      <c r="B724" s="65"/>
      <c r="C724" s="85"/>
      <c r="D724" s="65"/>
      <c r="E724" s="65"/>
      <c r="F724" s="65"/>
      <c r="G724" s="6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65"/>
      <c r="W724" s="65"/>
      <c r="X724" s="85"/>
      <c r="Y724" s="85"/>
      <c r="Z724" s="85"/>
      <c r="AA724" s="85"/>
      <c r="AB724" s="85"/>
      <c r="AC724" s="85"/>
      <c r="AD724" s="85"/>
      <c r="AE724" s="85"/>
      <c r="AF724" s="85"/>
      <c r="AG724" s="85"/>
      <c r="AH724" s="91"/>
      <c r="AI724" s="85"/>
      <c r="AJ724" s="85"/>
    </row>
    <row r="725" ht="15.75" customHeight="1">
      <c r="A725" s="85"/>
      <c r="B725" s="65"/>
      <c r="C725" s="85"/>
      <c r="D725" s="65"/>
      <c r="E725" s="65"/>
      <c r="F725" s="65"/>
      <c r="G725" s="6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65"/>
      <c r="W725" s="6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91"/>
      <c r="AI725" s="85"/>
      <c r="AJ725" s="85"/>
    </row>
    <row r="726" ht="15.75" customHeight="1">
      <c r="A726" s="85"/>
      <c r="B726" s="65"/>
      <c r="C726" s="85"/>
      <c r="D726" s="65"/>
      <c r="E726" s="65"/>
      <c r="F726" s="65"/>
      <c r="G726" s="6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65"/>
      <c r="W726" s="65"/>
      <c r="X726" s="85"/>
      <c r="Y726" s="85"/>
      <c r="Z726" s="85"/>
      <c r="AA726" s="85"/>
      <c r="AB726" s="85"/>
      <c r="AC726" s="85"/>
      <c r="AD726" s="85"/>
      <c r="AE726" s="85"/>
      <c r="AF726" s="85"/>
      <c r="AG726" s="85"/>
      <c r="AH726" s="91"/>
      <c r="AI726" s="85"/>
      <c r="AJ726" s="85"/>
    </row>
    <row r="727" ht="15.75" customHeight="1">
      <c r="A727" s="85"/>
      <c r="B727" s="65"/>
      <c r="C727" s="85"/>
      <c r="D727" s="65"/>
      <c r="E727" s="65"/>
      <c r="F727" s="65"/>
      <c r="G727" s="6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65"/>
      <c r="W727" s="65"/>
      <c r="X727" s="85"/>
      <c r="Y727" s="85"/>
      <c r="Z727" s="85"/>
      <c r="AA727" s="85"/>
      <c r="AB727" s="85"/>
      <c r="AC727" s="85"/>
      <c r="AD727" s="85"/>
      <c r="AE727" s="85"/>
      <c r="AF727" s="85"/>
      <c r="AG727" s="85"/>
      <c r="AH727" s="91"/>
      <c r="AI727" s="85"/>
      <c r="AJ727" s="85"/>
    </row>
    <row r="728" ht="15.75" customHeight="1">
      <c r="A728" s="85"/>
      <c r="B728" s="65"/>
      <c r="C728" s="85"/>
      <c r="D728" s="65"/>
      <c r="E728" s="65"/>
      <c r="F728" s="65"/>
      <c r="G728" s="6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65"/>
      <c r="W728" s="65"/>
      <c r="X728" s="85"/>
      <c r="Y728" s="85"/>
      <c r="Z728" s="85"/>
      <c r="AA728" s="85"/>
      <c r="AB728" s="85"/>
      <c r="AC728" s="85"/>
      <c r="AD728" s="85"/>
      <c r="AE728" s="85"/>
      <c r="AF728" s="85"/>
      <c r="AG728" s="85"/>
      <c r="AH728" s="91"/>
      <c r="AI728" s="85"/>
      <c r="AJ728" s="85"/>
    </row>
    <row r="729" ht="15.75" customHeight="1">
      <c r="A729" s="85"/>
      <c r="B729" s="65"/>
      <c r="C729" s="85"/>
      <c r="D729" s="65"/>
      <c r="E729" s="65"/>
      <c r="F729" s="65"/>
      <c r="G729" s="6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65"/>
      <c r="W729" s="65"/>
      <c r="X729" s="85"/>
      <c r="Y729" s="85"/>
      <c r="Z729" s="85"/>
      <c r="AA729" s="85"/>
      <c r="AB729" s="85"/>
      <c r="AC729" s="85"/>
      <c r="AD729" s="85"/>
      <c r="AE729" s="85"/>
      <c r="AF729" s="85"/>
      <c r="AG729" s="85"/>
      <c r="AH729" s="91"/>
      <c r="AI729" s="85"/>
      <c r="AJ729" s="85"/>
    </row>
    <row r="730" ht="15.75" customHeight="1">
      <c r="A730" s="85"/>
      <c r="B730" s="65"/>
      <c r="C730" s="85"/>
      <c r="D730" s="65"/>
      <c r="E730" s="65"/>
      <c r="F730" s="65"/>
      <c r="G730" s="6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65"/>
      <c r="W730" s="65"/>
      <c r="X730" s="85"/>
      <c r="Y730" s="85"/>
      <c r="Z730" s="85"/>
      <c r="AA730" s="85"/>
      <c r="AB730" s="85"/>
      <c r="AC730" s="85"/>
      <c r="AD730" s="85"/>
      <c r="AE730" s="85"/>
      <c r="AF730" s="85"/>
      <c r="AG730" s="85"/>
      <c r="AH730" s="91"/>
      <c r="AI730" s="85"/>
      <c r="AJ730" s="85"/>
    </row>
    <row r="731" ht="15.75" customHeight="1">
      <c r="A731" s="85"/>
      <c r="B731" s="65"/>
      <c r="C731" s="85"/>
      <c r="D731" s="65"/>
      <c r="E731" s="65"/>
      <c r="F731" s="65"/>
      <c r="G731" s="6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65"/>
      <c r="W731" s="65"/>
      <c r="X731" s="85"/>
      <c r="Y731" s="85"/>
      <c r="Z731" s="85"/>
      <c r="AA731" s="85"/>
      <c r="AB731" s="85"/>
      <c r="AC731" s="85"/>
      <c r="AD731" s="85"/>
      <c r="AE731" s="85"/>
      <c r="AF731" s="85"/>
      <c r="AG731" s="85"/>
      <c r="AH731" s="91"/>
      <c r="AI731" s="85"/>
      <c r="AJ731" s="85"/>
    </row>
    <row r="732" ht="15.75" customHeight="1">
      <c r="A732" s="85"/>
      <c r="B732" s="65"/>
      <c r="C732" s="85"/>
      <c r="D732" s="65"/>
      <c r="E732" s="65"/>
      <c r="F732" s="65"/>
      <c r="G732" s="6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65"/>
      <c r="W732" s="65"/>
      <c r="X732" s="85"/>
      <c r="Y732" s="85"/>
      <c r="Z732" s="85"/>
      <c r="AA732" s="85"/>
      <c r="AB732" s="85"/>
      <c r="AC732" s="85"/>
      <c r="AD732" s="85"/>
      <c r="AE732" s="85"/>
      <c r="AF732" s="85"/>
      <c r="AG732" s="85"/>
      <c r="AH732" s="91"/>
      <c r="AI732" s="85"/>
      <c r="AJ732" s="85"/>
    </row>
    <row r="733" ht="15.75" customHeight="1">
      <c r="A733" s="85"/>
      <c r="B733" s="65"/>
      <c r="C733" s="85"/>
      <c r="D733" s="65"/>
      <c r="E733" s="65"/>
      <c r="F733" s="65"/>
      <c r="G733" s="6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65"/>
      <c r="W733" s="65"/>
      <c r="X733" s="85"/>
      <c r="Y733" s="85"/>
      <c r="Z733" s="85"/>
      <c r="AA733" s="85"/>
      <c r="AB733" s="85"/>
      <c r="AC733" s="85"/>
      <c r="AD733" s="85"/>
      <c r="AE733" s="85"/>
      <c r="AF733" s="85"/>
      <c r="AG733" s="85"/>
      <c r="AH733" s="91"/>
      <c r="AI733" s="85"/>
      <c r="AJ733" s="85"/>
    </row>
    <row r="734" ht="15.75" customHeight="1">
      <c r="A734" s="85"/>
      <c r="B734" s="65"/>
      <c r="C734" s="85"/>
      <c r="D734" s="65"/>
      <c r="E734" s="65"/>
      <c r="F734" s="65"/>
      <c r="G734" s="6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65"/>
      <c r="W734" s="65"/>
      <c r="X734" s="85"/>
      <c r="Y734" s="85"/>
      <c r="Z734" s="85"/>
      <c r="AA734" s="85"/>
      <c r="AB734" s="85"/>
      <c r="AC734" s="85"/>
      <c r="AD734" s="85"/>
      <c r="AE734" s="85"/>
      <c r="AF734" s="85"/>
      <c r="AG734" s="85"/>
      <c r="AH734" s="91"/>
      <c r="AI734" s="85"/>
      <c r="AJ734" s="85"/>
    </row>
    <row r="735" ht="15.75" customHeight="1">
      <c r="A735" s="85"/>
      <c r="B735" s="65"/>
      <c r="C735" s="85"/>
      <c r="D735" s="65"/>
      <c r="E735" s="65"/>
      <c r="F735" s="65"/>
      <c r="G735" s="6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65"/>
      <c r="W735" s="65"/>
      <c r="X735" s="85"/>
      <c r="Y735" s="85"/>
      <c r="Z735" s="85"/>
      <c r="AA735" s="85"/>
      <c r="AB735" s="85"/>
      <c r="AC735" s="85"/>
      <c r="AD735" s="85"/>
      <c r="AE735" s="85"/>
      <c r="AF735" s="85"/>
      <c r="AG735" s="85"/>
      <c r="AH735" s="91"/>
      <c r="AI735" s="85"/>
      <c r="AJ735" s="85"/>
    </row>
    <row r="736" ht="15.75" customHeight="1">
      <c r="A736" s="85"/>
      <c r="B736" s="65"/>
      <c r="C736" s="85"/>
      <c r="D736" s="65"/>
      <c r="E736" s="65"/>
      <c r="F736" s="65"/>
      <c r="G736" s="6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65"/>
      <c r="W736" s="65"/>
      <c r="X736" s="85"/>
      <c r="Y736" s="85"/>
      <c r="Z736" s="85"/>
      <c r="AA736" s="85"/>
      <c r="AB736" s="85"/>
      <c r="AC736" s="85"/>
      <c r="AD736" s="85"/>
      <c r="AE736" s="85"/>
      <c r="AF736" s="85"/>
      <c r="AG736" s="85"/>
      <c r="AH736" s="91"/>
      <c r="AI736" s="85"/>
      <c r="AJ736" s="85"/>
    </row>
    <row r="737" ht="15.75" customHeight="1">
      <c r="A737" s="85"/>
      <c r="B737" s="65"/>
      <c r="C737" s="85"/>
      <c r="D737" s="65"/>
      <c r="E737" s="65"/>
      <c r="F737" s="65"/>
      <c r="G737" s="6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65"/>
      <c r="W737" s="65"/>
      <c r="X737" s="85"/>
      <c r="Y737" s="85"/>
      <c r="Z737" s="85"/>
      <c r="AA737" s="85"/>
      <c r="AB737" s="85"/>
      <c r="AC737" s="85"/>
      <c r="AD737" s="85"/>
      <c r="AE737" s="85"/>
      <c r="AF737" s="85"/>
      <c r="AG737" s="85"/>
      <c r="AH737" s="91"/>
      <c r="AI737" s="85"/>
      <c r="AJ737" s="85"/>
    </row>
    <row r="738" ht="15.75" customHeight="1">
      <c r="A738" s="85"/>
      <c r="B738" s="65"/>
      <c r="C738" s="85"/>
      <c r="D738" s="65"/>
      <c r="E738" s="65"/>
      <c r="F738" s="65"/>
      <c r="G738" s="6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65"/>
      <c r="W738" s="65"/>
      <c r="X738" s="85"/>
      <c r="Y738" s="85"/>
      <c r="Z738" s="85"/>
      <c r="AA738" s="85"/>
      <c r="AB738" s="85"/>
      <c r="AC738" s="85"/>
      <c r="AD738" s="85"/>
      <c r="AE738" s="85"/>
      <c r="AF738" s="85"/>
      <c r="AG738" s="85"/>
      <c r="AH738" s="91"/>
      <c r="AI738" s="85"/>
      <c r="AJ738" s="85"/>
    </row>
    <row r="739" ht="15.75" customHeight="1">
      <c r="A739" s="85"/>
      <c r="B739" s="65"/>
      <c r="C739" s="85"/>
      <c r="D739" s="65"/>
      <c r="E739" s="65"/>
      <c r="F739" s="65"/>
      <c r="G739" s="6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65"/>
      <c r="W739" s="65"/>
      <c r="X739" s="85"/>
      <c r="Y739" s="85"/>
      <c r="Z739" s="85"/>
      <c r="AA739" s="85"/>
      <c r="AB739" s="85"/>
      <c r="AC739" s="85"/>
      <c r="AD739" s="85"/>
      <c r="AE739" s="85"/>
      <c r="AF739" s="85"/>
      <c r="AG739" s="85"/>
      <c r="AH739" s="91"/>
      <c r="AI739" s="85"/>
      <c r="AJ739" s="85"/>
    </row>
    <row r="740" ht="15.75" customHeight="1">
      <c r="A740" s="85"/>
      <c r="B740" s="65"/>
      <c r="C740" s="85"/>
      <c r="D740" s="65"/>
      <c r="E740" s="65"/>
      <c r="F740" s="65"/>
      <c r="G740" s="6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65"/>
      <c r="W740" s="65"/>
      <c r="X740" s="85"/>
      <c r="Y740" s="85"/>
      <c r="Z740" s="85"/>
      <c r="AA740" s="85"/>
      <c r="AB740" s="85"/>
      <c r="AC740" s="85"/>
      <c r="AD740" s="85"/>
      <c r="AE740" s="85"/>
      <c r="AF740" s="85"/>
      <c r="AG740" s="85"/>
      <c r="AH740" s="91"/>
      <c r="AI740" s="85"/>
      <c r="AJ740" s="85"/>
    </row>
    <row r="741" ht="15.75" customHeight="1">
      <c r="A741" s="85"/>
      <c r="B741" s="65"/>
      <c r="C741" s="85"/>
      <c r="D741" s="65"/>
      <c r="E741" s="65"/>
      <c r="F741" s="65"/>
      <c r="G741" s="6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65"/>
      <c r="W741" s="65"/>
      <c r="X741" s="85"/>
      <c r="Y741" s="85"/>
      <c r="Z741" s="85"/>
      <c r="AA741" s="85"/>
      <c r="AB741" s="85"/>
      <c r="AC741" s="85"/>
      <c r="AD741" s="85"/>
      <c r="AE741" s="85"/>
      <c r="AF741" s="85"/>
      <c r="AG741" s="85"/>
      <c r="AH741" s="91"/>
      <c r="AI741" s="85"/>
      <c r="AJ741" s="85"/>
    </row>
    <row r="742" ht="15.75" customHeight="1">
      <c r="A742" s="85"/>
      <c r="B742" s="65"/>
      <c r="C742" s="85"/>
      <c r="D742" s="65"/>
      <c r="E742" s="65"/>
      <c r="F742" s="65"/>
      <c r="G742" s="6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65"/>
      <c r="W742" s="65"/>
      <c r="X742" s="85"/>
      <c r="Y742" s="85"/>
      <c r="Z742" s="85"/>
      <c r="AA742" s="85"/>
      <c r="AB742" s="85"/>
      <c r="AC742" s="85"/>
      <c r="AD742" s="85"/>
      <c r="AE742" s="85"/>
      <c r="AF742" s="85"/>
      <c r="AG742" s="85"/>
      <c r="AH742" s="91"/>
      <c r="AI742" s="85"/>
      <c r="AJ742" s="85"/>
    </row>
    <row r="743" ht="15.75" customHeight="1">
      <c r="A743" s="85"/>
      <c r="B743" s="65"/>
      <c r="C743" s="85"/>
      <c r="D743" s="65"/>
      <c r="E743" s="65"/>
      <c r="F743" s="65"/>
      <c r="G743" s="6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65"/>
      <c r="W743" s="65"/>
      <c r="X743" s="85"/>
      <c r="Y743" s="85"/>
      <c r="Z743" s="85"/>
      <c r="AA743" s="85"/>
      <c r="AB743" s="85"/>
      <c r="AC743" s="85"/>
      <c r="AD743" s="85"/>
      <c r="AE743" s="85"/>
      <c r="AF743" s="85"/>
      <c r="AG743" s="85"/>
      <c r="AH743" s="91"/>
      <c r="AI743" s="85"/>
      <c r="AJ743" s="85"/>
    </row>
    <row r="744" ht="15.75" customHeight="1">
      <c r="A744" s="85"/>
      <c r="B744" s="65"/>
      <c r="C744" s="85"/>
      <c r="D744" s="65"/>
      <c r="E744" s="65"/>
      <c r="F744" s="65"/>
      <c r="G744" s="6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65"/>
      <c r="W744" s="65"/>
      <c r="X744" s="85"/>
      <c r="Y744" s="85"/>
      <c r="Z744" s="85"/>
      <c r="AA744" s="85"/>
      <c r="AB744" s="85"/>
      <c r="AC744" s="85"/>
      <c r="AD744" s="85"/>
      <c r="AE744" s="85"/>
      <c r="AF744" s="85"/>
      <c r="AG744" s="85"/>
      <c r="AH744" s="91"/>
      <c r="AI744" s="85"/>
      <c r="AJ744" s="85"/>
    </row>
    <row r="745" ht="15.75" customHeight="1">
      <c r="A745" s="85"/>
      <c r="B745" s="65"/>
      <c r="C745" s="85"/>
      <c r="D745" s="65"/>
      <c r="E745" s="65"/>
      <c r="F745" s="65"/>
      <c r="G745" s="6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65"/>
      <c r="W745" s="65"/>
      <c r="X745" s="85"/>
      <c r="Y745" s="85"/>
      <c r="Z745" s="85"/>
      <c r="AA745" s="85"/>
      <c r="AB745" s="85"/>
      <c r="AC745" s="85"/>
      <c r="AD745" s="85"/>
      <c r="AE745" s="85"/>
      <c r="AF745" s="85"/>
      <c r="AG745" s="85"/>
      <c r="AH745" s="91"/>
      <c r="AI745" s="85"/>
      <c r="AJ745" s="85"/>
    </row>
    <row r="746" ht="15.75" customHeight="1">
      <c r="A746" s="85"/>
      <c r="B746" s="65"/>
      <c r="C746" s="85"/>
      <c r="D746" s="65"/>
      <c r="E746" s="65"/>
      <c r="F746" s="65"/>
      <c r="G746" s="6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65"/>
      <c r="W746" s="65"/>
      <c r="X746" s="85"/>
      <c r="Y746" s="85"/>
      <c r="Z746" s="85"/>
      <c r="AA746" s="85"/>
      <c r="AB746" s="85"/>
      <c r="AC746" s="85"/>
      <c r="AD746" s="85"/>
      <c r="AE746" s="85"/>
      <c r="AF746" s="85"/>
      <c r="AG746" s="85"/>
      <c r="AH746" s="91"/>
      <c r="AI746" s="85"/>
      <c r="AJ746" s="85"/>
    </row>
    <row r="747" ht="15.75" customHeight="1">
      <c r="A747" s="85"/>
      <c r="B747" s="65"/>
      <c r="C747" s="85"/>
      <c r="D747" s="65"/>
      <c r="E747" s="65"/>
      <c r="F747" s="65"/>
      <c r="G747" s="6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65"/>
      <c r="W747" s="65"/>
      <c r="X747" s="85"/>
      <c r="Y747" s="85"/>
      <c r="Z747" s="85"/>
      <c r="AA747" s="85"/>
      <c r="AB747" s="85"/>
      <c r="AC747" s="85"/>
      <c r="AD747" s="85"/>
      <c r="AE747" s="85"/>
      <c r="AF747" s="85"/>
      <c r="AG747" s="85"/>
      <c r="AH747" s="91"/>
      <c r="AI747" s="85"/>
      <c r="AJ747" s="85"/>
    </row>
    <row r="748" ht="15.75" customHeight="1">
      <c r="A748" s="85"/>
      <c r="B748" s="65"/>
      <c r="C748" s="85"/>
      <c r="D748" s="65"/>
      <c r="E748" s="65"/>
      <c r="F748" s="65"/>
      <c r="G748" s="6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65"/>
      <c r="W748" s="65"/>
      <c r="X748" s="85"/>
      <c r="Y748" s="85"/>
      <c r="Z748" s="85"/>
      <c r="AA748" s="85"/>
      <c r="AB748" s="85"/>
      <c r="AC748" s="85"/>
      <c r="AD748" s="85"/>
      <c r="AE748" s="85"/>
      <c r="AF748" s="85"/>
      <c r="AG748" s="85"/>
      <c r="AH748" s="91"/>
      <c r="AI748" s="85"/>
      <c r="AJ748" s="85"/>
    </row>
    <row r="749" ht="15.75" customHeight="1">
      <c r="A749" s="85"/>
      <c r="B749" s="65"/>
      <c r="C749" s="85"/>
      <c r="D749" s="65"/>
      <c r="E749" s="65"/>
      <c r="F749" s="65"/>
      <c r="G749" s="6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65"/>
      <c r="W749" s="65"/>
      <c r="X749" s="85"/>
      <c r="Y749" s="85"/>
      <c r="Z749" s="85"/>
      <c r="AA749" s="85"/>
      <c r="AB749" s="85"/>
      <c r="AC749" s="85"/>
      <c r="AD749" s="85"/>
      <c r="AE749" s="85"/>
      <c r="AF749" s="85"/>
      <c r="AG749" s="85"/>
      <c r="AH749" s="91"/>
      <c r="AI749" s="85"/>
      <c r="AJ749" s="85"/>
    </row>
    <row r="750" ht="15.75" customHeight="1">
      <c r="A750" s="85"/>
      <c r="B750" s="65"/>
      <c r="C750" s="85"/>
      <c r="D750" s="65"/>
      <c r="E750" s="65"/>
      <c r="F750" s="65"/>
      <c r="G750" s="6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65"/>
      <c r="W750" s="65"/>
      <c r="X750" s="85"/>
      <c r="Y750" s="85"/>
      <c r="Z750" s="85"/>
      <c r="AA750" s="85"/>
      <c r="AB750" s="85"/>
      <c r="AC750" s="85"/>
      <c r="AD750" s="85"/>
      <c r="AE750" s="85"/>
      <c r="AF750" s="85"/>
      <c r="AG750" s="85"/>
      <c r="AH750" s="91"/>
      <c r="AI750" s="85"/>
      <c r="AJ750" s="85"/>
    </row>
    <row r="751" ht="15.75" customHeight="1">
      <c r="A751" s="85"/>
      <c r="B751" s="65"/>
      <c r="C751" s="85"/>
      <c r="D751" s="65"/>
      <c r="E751" s="65"/>
      <c r="F751" s="65"/>
      <c r="G751" s="6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65"/>
      <c r="W751" s="65"/>
      <c r="X751" s="85"/>
      <c r="Y751" s="85"/>
      <c r="Z751" s="85"/>
      <c r="AA751" s="85"/>
      <c r="AB751" s="85"/>
      <c r="AC751" s="85"/>
      <c r="AD751" s="85"/>
      <c r="AE751" s="85"/>
      <c r="AF751" s="85"/>
      <c r="AG751" s="85"/>
      <c r="AH751" s="91"/>
      <c r="AI751" s="85"/>
      <c r="AJ751" s="85"/>
    </row>
    <row r="752" ht="15.75" customHeight="1">
      <c r="A752" s="85"/>
      <c r="B752" s="65"/>
      <c r="C752" s="85"/>
      <c r="D752" s="65"/>
      <c r="E752" s="65"/>
      <c r="F752" s="65"/>
      <c r="G752" s="6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65"/>
      <c r="W752" s="65"/>
      <c r="X752" s="85"/>
      <c r="Y752" s="85"/>
      <c r="Z752" s="85"/>
      <c r="AA752" s="85"/>
      <c r="AB752" s="85"/>
      <c r="AC752" s="85"/>
      <c r="AD752" s="85"/>
      <c r="AE752" s="85"/>
      <c r="AF752" s="85"/>
      <c r="AG752" s="85"/>
      <c r="AH752" s="91"/>
      <c r="AI752" s="85"/>
      <c r="AJ752" s="85"/>
    </row>
    <row r="753" ht="15.75" customHeight="1">
      <c r="A753" s="85"/>
      <c r="B753" s="65"/>
      <c r="C753" s="85"/>
      <c r="D753" s="65"/>
      <c r="E753" s="65"/>
      <c r="F753" s="65"/>
      <c r="G753" s="6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65"/>
      <c r="W753" s="65"/>
      <c r="X753" s="85"/>
      <c r="Y753" s="85"/>
      <c r="Z753" s="85"/>
      <c r="AA753" s="85"/>
      <c r="AB753" s="85"/>
      <c r="AC753" s="85"/>
      <c r="AD753" s="85"/>
      <c r="AE753" s="85"/>
      <c r="AF753" s="85"/>
      <c r="AG753" s="85"/>
      <c r="AH753" s="91"/>
      <c r="AI753" s="85"/>
      <c r="AJ753" s="85"/>
    </row>
    <row r="754" ht="15.75" customHeight="1">
      <c r="A754" s="85"/>
      <c r="B754" s="65"/>
      <c r="C754" s="85"/>
      <c r="D754" s="65"/>
      <c r="E754" s="65"/>
      <c r="F754" s="65"/>
      <c r="G754" s="6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65"/>
      <c r="W754" s="65"/>
      <c r="X754" s="85"/>
      <c r="Y754" s="85"/>
      <c r="Z754" s="85"/>
      <c r="AA754" s="85"/>
      <c r="AB754" s="85"/>
      <c r="AC754" s="85"/>
      <c r="AD754" s="85"/>
      <c r="AE754" s="85"/>
      <c r="AF754" s="85"/>
      <c r="AG754" s="85"/>
      <c r="AH754" s="91"/>
      <c r="AI754" s="85"/>
      <c r="AJ754" s="85"/>
    </row>
    <row r="755" ht="15.75" customHeight="1">
      <c r="A755" s="85"/>
      <c r="B755" s="65"/>
      <c r="C755" s="85"/>
      <c r="D755" s="65"/>
      <c r="E755" s="65"/>
      <c r="F755" s="65"/>
      <c r="G755" s="6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65"/>
      <c r="W755" s="65"/>
      <c r="X755" s="85"/>
      <c r="Y755" s="85"/>
      <c r="Z755" s="85"/>
      <c r="AA755" s="85"/>
      <c r="AB755" s="85"/>
      <c r="AC755" s="85"/>
      <c r="AD755" s="85"/>
      <c r="AE755" s="85"/>
      <c r="AF755" s="85"/>
      <c r="AG755" s="85"/>
      <c r="AH755" s="91"/>
      <c r="AI755" s="85"/>
      <c r="AJ755" s="85"/>
    </row>
    <row r="756" ht="15.75" customHeight="1">
      <c r="A756" s="85"/>
      <c r="B756" s="65"/>
      <c r="C756" s="85"/>
      <c r="D756" s="65"/>
      <c r="E756" s="65"/>
      <c r="F756" s="65"/>
      <c r="G756" s="6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65"/>
      <c r="W756" s="65"/>
      <c r="X756" s="85"/>
      <c r="Y756" s="85"/>
      <c r="Z756" s="85"/>
      <c r="AA756" s="85"/>
      <c r="AB756" s="85"/>
      <c r="AC756" s="85"/>
      <c r="AD756" s="85"/>
      <c r="AE756" s="85"/>
      <c r="AF756" s="85"/>
      <c r="AG756" s="85"/>
      <c r="AH756" s="91"/>
      <c r="AI756" s="85"/>
      <c r="AJ756" s="85"/>
    </row>
    <row r="757" ht="15.75" customHeight="1">
      <c r="A757" s="85"/>
      <c r="B757" s="65"/>
      <c r="C757" s="85"/>
      <c r="D757" s="65"/>
      <c r="E757" s="65"/>
      <c r="F757" s="65"/>
      <c r="G757" s="6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65"/>
      <c r="W757" s="65"/>
      <c r="X757" s="85"/>
      <c r="Y757" s="85"/>
      <c r="Z757" s="85"/>
      <c r="AA757" s="85"/>
      <c r="AB757" s="85"/>
      <c r="AC757" s="85"/>
      <c r="AD757" s="85"/>
      <c r="AE757" s="85"/>
      <c r="AF757" s="85"/>
      <c r="AG757" s="85"/>
      <c r="AH757" s="91"/>
      <c r="AI757" s="85"/>
      <c r="AJ757" s="85"/>
    </row>
    <row r="758" ht="15.75" customHeight="1">
      <c r="A758" s="85"/>
      <c r="B758" s="65"/>
      <c r="C758" s="85"/>
      <c r="D758" s="65"/>
      <c r="E758" s="65"/>
      <c r="F758" s="65"/>
      <c r="G758" s="6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65"/>
      <c r="W758" s="65"/>
      <c r="X758" s="85"/>
      <c r="Y758" s="85"/>
      <c r="Z758" s="85"/>
      <c r="AA758" s="85"/>
      <c r="AB758" s="85"/>
      <c r="AC758" s="85"/>
      <c r="AD758" s="85"/>
      <c r="AE758" s="85"/>
      <c r="AF758" s="85"/>
      <c r="AG758" s="85"/>
      <c r="AH758" s="91"/>
      <c r="AI758" s="85"/>
      <c r="AJ758" s="85"/>
    </row>
    <row r="759" ht="15.75" customHeight="1">
      <c r="A759" s="85"/>
      <c r="B759" s="65"/>
      <c r="C759" s="85"/>
      <c r="D759" s="65"/>
      <c r="E759" s="65"/>
      <c r="F759" s="65"/>
      <c r="G759" s="6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65"/>
      <c r="W759" s="65"/>
      <c r="X759" s="85"/>
      <c r="Y759" s="85"/>
      <c r="Z759" s="85"/>
      <c r="AA759" s="85"/>
      <c r="AB759" s="85"/>
      <c r="AC759" s="85"/>
      <c r="AD759" s="85"/>
      <c r="AE759" s="85"/>
      <c r="AF759" s="85"/>
      <c r="AG759" s="85"/>
      <c r="AH759" s="91"/>
      <c r="AI759" s="85"/>
      <c r="AJ759" s="85"/>
    </row>
    <row r="760" ht="15.75" customHeight="1">
      <c r="A760" s="85"/>
      <c r="B760" s="65"/>
      <c r="C760" s="85"/>
      <c r="D760" s="65"/>
      <c r="E760" s="65"/>
      <c r="F760" s="65"/>
      <c r="G760" s="6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65"/>
      <c r="W760" s="65"/>
      <c r="X760" s="85"/>
      <c r="Y760" s="85"/>
      <c r="Z760" s="85"/>
      <c r="AA760" s="85"/>
      <c r="AB760" s="85"/>
      <c r="AC760" s="85"/>
      <c r="AD760" s="85"/>
      <c r="AE760" s="85"/>
      <c r="AF760" s="85"/>
      <c r="AG760" s="85"/>
      <c r="AH760" s="91"/>
      <c r="AI760" s="85"/>
      <c r="AJ760" s="85"/>
    </row>
    <row r="761" ht="15.75" customHeight="1">
      <c r="A761" s="85"/>
      <c r="B761" s="65"/>
      <c r="C761" s="85"/>
      <c r="D761" s="65"/>
      <c r="E761" s="65"/>
      <c r="F761" s="65"/>
      <c r="G761" s="6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65"/>
      <c r="W761" s="65"/>
      <c r="X761" s="85"/>
      <c r="Y761" s="85"/>
      <c r="Z761" s="85"/>
      <c r="AA761" s="85"/>
      <c r="AB761" s="85"/>
      <c r="AC761" s="85"/>
      <c r="AD761" s="85"/>
      <c r="AE761" s="85"/>
      <c r="AF761" s="85"/>
      <c r="AG761" s="85"/>
      <c r="AH761" s="91"/>
      <c r="AI761" s="85"/>
      <c r="AJ761" s="85"/>
    </row>
    <row r="762" ht="15.75" customHeight="1">
      <c r="A762" s="85"/>
      <c r="B762" s="65"/>
      <c r="C762" s="85"/>
      <c r="D762" s="65"/>
      <c r="E762" s="65"/>
      <c r="F762" s="65"/>
      <c r="G762" s="6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65"/>
      <c r="W762" s="65"/>
      <c r="X762" s="85"/>
      <c r="Y762" s="85"/>
      <c r="Z762" s="85"/>
      <c r="AA762" s="85"/>
      <c r="AB762" s="85"/>
      <c r="AC762" s="85"/>
      <c r="AD762" s="85"/>
      <c r="AE762" s="85"/>
      <c r="AF762" s="85"/>
      <c r="AG762" s="85"/>
      <c r="AH762" s="91"/>
      <c r="AI762" s="85"/>
      <c r="AJ762" s="85"/>
    </row>
    <row r="763" ht="15.75" customHeight="1">
      <c r="A763" s="85"/>
      <c r="B763" s="65"/>
      <c r="C763" s="85"/>
      <c r="D763" s="65"/>
      <c r="E763" s="65"/>
      <c r="F763" s="65"/>
      <c r="G763" s="6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65"/>
      <c r="W763" s="6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91"/>
      <c r="AI763" s="85"/>
      <c r="AJ763" s="85"/>
    </row>
    <row r="764" ht="15.75" customHeight="1">
      <c r="A764" s="85"/>
      <c r="B764" s="65"/>
      <c r="C764" s="85"/>
      <c r="D764" s="65"/>
      <c r="E764" s="65"/>
      <c r="F764" s="65"/>
      <c r="G764" s="6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65"/>
      <c r="W764" s="65"/>
      <c r="X764" s="85"/>
      <c r="Y764" s="85"/>
      <c r="Z764" s="85"/>
      <c r="AA764" s="85"/>
      <c r="AB764" s="85"/>
      <c r="AC764" s="85"/>
      <c r="AD764" s="85"/>
      <c r="AE764" s="85"/>
      <c r="AF764" s="85"/>
      <c r="AG764" s="85"/>
      <c r="AH764" s="91"/>
      <c r="AI764" s="85"/>
      <c r="AJ764" s="85"/>
    </row>
    <row r="765" ht="15.75" customHeight="1">
      <c r="A765" s="85"/>
      <c r="B765" s="65"/>
      <c r="C765" s="85"/>
      <c r="D765" s="65"/>
      <c r="E765" s="65"/>
      <c r="F765" s="65"/>
      <c r="G765" s="6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65"/>
      <c r="W765" s="65"/>
      <c r="X765" s="85"/>
      <c r="Y765" s="85"/>
      <c r="Z765" s="85"/>
      <c r="AA765" s="85"/>
      <c r="AB765" s="85"/>
      <c r="AC765" s="85"/>
      <c r="AD765" s="85"/>
      <c r="AE765" s="85"/>
      <c r="AF765" s="85"/>
      <c r="AG765" s="85"/>
      <c r="AH765" s="91"/>
      <c r="AI765" s="85"/>
      <c r="AJ765" s="85"/>
    </row>
    <row r="766" ht="15.75" customHeight="1">
      <c r="A766" s="85"/>
      <c r="B766" s="65"/>
      <c r="C766" s="85"/>
      <c r="D766" s="65"/>
      <c r="E766" s="65"/>
      <c r="F766" s="65"/>
      <c r="G766" s="6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65"/>
      <c r="W766" s="65"/>
      <c r="X766" s="85"/>
      <c r="Y766" s="85"/>
      <c r="Z766" s="85"/>
      <c r="AA766" s="85"/>
      <c r="AB766" s="85"/>
      <c r="AC766" s="85"/>
      <c r="AD766" s="85"/>
      <c r="AE766" s="85"/>
      <c r="AF766" s="85"/>
      <c r="AG766" s="85"/>
      <c r="AH766" s="91"/>
      <c r="AI766" s="85"/>
      <c r="AJ766" s="85"/>
    </row>
    <row r="767" ht="15.75" customHeight="1">
      <c r="A767" s="85"/>
      <c r="B767" s="65"/>
      <c r="C767" s="85"/>
      <c r="D767" s="65"/>
      <c r="E767" s="65"/>
      <c r="F767" s="65"/>
      <c r="G767" s="6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65"/>
      <c r="W767" s="65"/>
      <c r="X767" s="85"/>
      <c r="Y767" s="85"/>
      <c r="Z767" s="85"/>
      <c r="AA767" s="85"/>
      <c r="AB767" s="85"/>
      <c r="AC767" s="85"/>
      <c r="AD767" s="85"/>
      <c r="AE767" s="85"/>
      <c r="AF767" s="85"/>
      <c r="AG767" s="85"/>
      <c r="AH767" s="91"/>
      <c r="AI767" s="85"/>
      <c r="AJ767" s="85"/>
    </row>
    <row r="768" ht="15.75" customHeight="1">
      <c r="A768" s="85"/>
      <c r="B768" s="65"/>
      <c r="C768" s="85"/>
      <c r="D768" s="65"/>
      <c r="E768" s="65"/>
      <c r="F768" s="65"/>
      <c r="G768" s="6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65"/>
      <c r="W768" s="65"/>
      <c r="X768" s="85"/>
      <c r="Y768" s="85"/>
      <c r="Z768" s="85"/>
      <c r="AA768" s="85"/>
      <c r="AB768" s="85"/>
      <c r="AC768" s="85"/>
      <c r="AD768" s="85"/>
      <c r="AE768" s="85"/>
      <c r="AF768" s="85"/>
      <c r="AG768" s="85"/>
      <c r="AH768" s="91"/>
      <c r="AI768" s="85"/>
      <c r="AJ768" s="85"/>
    </row>
    <row r="769" ht="15.75" customHeight="1">
      <c r="A769" s="85"/>
      <c r="B769" s="65"/>
      <c r="C769" s="85"/>
      <c r="D769" s="65"/>
      <c r="E769" s="65"/>
      <c r="F769" s="65"/>
      <c r="G769" s="6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65"/>
      <c r="W769" s="65"/>
      <c r="X769" s="85"/>
      <c r="Y769" s="85"/>
      <c r="Z769" s="85"/>
      <c r="AA769" s="85"/>
      <c r="AB769" s="85"/>
      <c r="AC769" s="85"/>
      <c r="AD769" s="85"/>
      <c r="AE769" s="85"/>
      <c r="AF769" s="85"/>
      <c r="AG769" s="85"/>
      <c r="AH769" s="91"/>
      <c r="AI769" s="85"/>
      <c r="AJ769" s="85"/>
    </row>
    <row r="770" ht="15.75" customHeight="1">
      <c r="A770" s="85"/>
      <c r="B770" s="65"/>
      <c r="C770" s="85"/>
      <c r="D770" s="65"/>
      <c r="E770" s="65"/>
      <c r="F770" s="65"/>
      <c r="G770" s="6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65"/>
      <c r="W770" s="65"/>
      <c r="X770" s="85"/>
      <c r="Y770" s="85"/>
      <c r="Z770" s="85"/>
      <c r="AA770" s="85"/>
      <c r="AB770" s="85"/>
      <c r="AC770" s="85"/>
      <c r="AD770" s="85"/>
      <c r="AE770" s="85"/>
      <c r="AF770" s="85"/>
      <c r="AG770" s="85"/>
      <c r="AH770" s="91"/>
      <c r="AI770" s="85"/>
      <c r="AJ770" s="85"/>
    </row>
    <row r="771" ht="15.75" customHeight="1">
      <c r="A771" s="85"/>
      <c r="B771" s="65"/>
      <c r="C771" s="85"/>
      <c r="D771" s="65"/>
      <c r="E771" s="65"/>
      <c r="F771" s="65"/>
      <c r="G771" s="6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65"/>
      <c r="W771" s="65"/>
      <c r="X771" s="85"/>
      <c r="Y771" s="85"/>
      <c r="Z771" s="85"/>
      <c r="AA771" s="85"/>
      <c r="AB771" s="85"/>
      <c r="AC771" s="85"/>
      <c r="AD771" s="85"/>
      <c r="AE771" s="85"/>
      <c r="AF771" s="85"/>
      <c r="AG771" s="85"/>
      <c r="AH771" s="91"/>
      <c r="AI771" s="85"/>
      <c r="AJ771" s="85"/>
    </row>
    <row r="772" ht="15.75" customHeight="1">
      <c r="A772" s="85"/>
      <c r="B772" s="65"/>
      <c r="C772" s="85"/>
      <c r="D772" s="65"/>
      <c r="E772" s="65"/>
      <c r="F772" s="65"/>
      <c r="G772" s="6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65"/>
      <c r="W772" s="65"/>
      <c r="X772" s="85"/>
      <c r="Y772" s="85"/>
      <c r="Z772" s="85"/>
      <c r="AA772" s="85"/>
      <c r="AB772" s="85"/>
      <c r="AC772" s="85"/>
      <c r="AD772" s="85"/>
      <c r="AE772" s="85"/>
      <c r="AF772" s="85"/>
      <c r="AG772" s="85"/>
      <c r="AH772" s="91"/>
      <c r="AI772" s="85"/>
      <c r="AJ772" s="85"/>
    </row>
    <row r="773" ht="15.75" customHeight="1">
      <c r="A773" s="85"/>
      <c r="B773" s="65"/>
      <c r="C773" s="85"/>
      <c r="D773" s="65"/>
      <c r="E773" s="65"/>
      <c r="F773" s="65"/>
      <c r="G773" s="6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65"/>
      <c r="W773" s="65"/>
      <c r="X773" s="85"/>
      <c r="Y773" s="85"/>
      <c r="Z773" s="85"/>
      <c r="AA773" s="85"/>
      <c r="AB773" s="85"/>
      <c r="AC773" s="85"/>
      <c r="AD773" s="85"/>
      <c r="AE773" s="85"/>
      <c r="AF773" s="85"/>
      <c r="AG773" s="85"/>
      <c r="AH773" s="91"/>
      <c r="AI773" s="85"/>
      <c r="AJ773" s="85"/>
    </row>
    <row r="774" ht="15.75" customHeight="1">
      <c r="A774" s="85"/>
      <c r="B774" s="65"/>
      <c r="C774" s="85"/>
      <c r="D774" s="65"/>
      <c r="E774" s="65"/>
      <c r="F774" s="65"/>
      <c r="G774" s="6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65"/>
      <c r="W774" s="65"/>
      <c r="X774" s="85"/>
      <c r="Y774" s="85"/>
      <c r="Z774" s="85"/>
      <c r="AA774" s="85"/>
      <c r="AB774" s="85"/>
      <c r="AC774" s="85"/>
      <c r="AD774" s="85"/>
      <c r="AE774" s="85"/>
      <c r="AF774" s="85"/>
      <c r="AG774" s="85"/>
      <c r="AH774" s="91"/>
      <c r="AI774" s="85"/>
      <c r="AJ774" s="85"/>
    </row>
    <row r="775" ht="15.75" customHeight="1">
      <c r="A775" s="85"/>
      <c r="B775" s="65"/>
      <c r="C775" s="85"/>
      <c r="D775" s="65"/>
      <c r="E775" s="65"/>
      <c r="F775" s="65"/>
      <c r="G775" s="6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65"/>
      <c r="W775" s="65"/>
      <c r="X775" s="85"/>
      <c r="Y775" s="85"/>
      <c r="Z775" s="85"/>
      <c r="AA775" s="85"/>
      <c r="AB775" s="85"/>
      <c r="AC775" s="85"/>
      <c r="AD775" s="85"/>
      <c r="AE775" s="85"/>
      <c r="AF775" s="85"/>
      <c r="AG775" s="85"/>
      <c r="AH775" s="91"/>
      <c r="AI775" s="85"/>
      <c r="AJ775" s="85"/>
    </row>
    <row r="776" ht="15.75" customHeight="1">
      <c r="A776" s="85"/>
      <c r="B776" s="65"/>
      <c r="C776" s="85"/>
      <c r="D776" s="65"/>
      <c r="E776" s="65"/>
      <c r="F776" s="65"/>
      <c r="G776" s="6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65"/>
      <c r="W776" s="65"/>
      <c r="X776" s="85"/>
      <c r="Y776" s="85"/>
      <c r="Z776" s="85"/>
      <c r="AA776" s="85"/>
      <c r="AB776" s="85"/>
      <c r="AC776" s="85"/>
      <c r="AD776" s="85"/>
      <c r="AE776" s="85"/>
      <c r="AF776" s="85"/>
      <c r="AG776" s="85"/>
      <c r="AH776" s="91"/>
      <c r="AI776" s="85"/>
      <c r="AJ776" s="85"/>
    </row>
    <row r="777" ht="15.75" customHeight="1">
      <c r="A777" s="85"/>
      <c r="B777" s="65"/>
      <c r="C777" s="85"/>
      <c r="D777" s="65"/>
      <c r="E777" s="65"/>
      <c r="F777" s="65"/>
      <c r="G777" s="6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65"/>
      <c r="W777" s="65"/>
      <c r="X777" s="85"/>
      <c r="Y777" s="85"/>
      <c r="Z777" s="85"/>
      <c r="AA777" s="85"/>
      <c r="AB777" s="85"/>
      <c r="AC777" s="85"/>
      <c r="AD777" s="85"/>
      <c r="AE777" s="85"/>
      <c r="AF777" s="85"/>
      <c r="AG777" s="85"/>
      <c r="AH777" s="91"/>
      <c r="AI777" s="85"/>
      <c r="AJ777" s="85"/>
    </row>
    <row r="778" ht="15.75" customHeight="1">
      <c r="A778" s="85"/>
      <c r="B778" s="65"/>
      <c r="C778" s="85"/>
      <c r="D778" s="65"/>
      <c r="E778" s="65"/>
      <c r="F778" s="65"/>
      <c r="G778" s="6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65"/>
      <c r="W778" s="65"/>
      <c r="X778" s="85"/>
      <c r="Y778" s="85"/>
      <c r="Z778" s="85"/>
      <c r="AA778" s="85"/>
      <c r="AB778" s="85"/>
      <c r="AC778" s="85"/>
      <c r="AD778" s="85"/>
      <c r="AE778" s="85"/>
      <c r="AF778" s="85"/>
      <c r="AG778" s="85"/>
      <c r="AH778" s="91"/>
      <c r="AI778" s="85"/>
      <c r="AJ778" s="85"/>
    </row>
    <row r="779" ht="15.75" customHeight="1">
      <c r="A779" s="85"/>
      <c r="B779" s="65"/>
      <c r="C779" s="85"/>
      <c r="D779" s="65"/>
      <c r="E779" s="65"/>
      <c r="F779" s="65"/>
      <c r="G779" s="6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65"/>
      <c r="W779" s="65"/>
      <c r="X779" s="85"/>
      <c r="Y779" s="85"/>
      <c r="Z779" s="85"/>
      <c r="AA779" s="85"/>
      <c r="AB779" s="85"/>
      <c r="AC779" s="85"/>
      <c r="AD779" s="85"/>
      <c r="AE779" s="85"/>
      <c r="AF779" s="85"/>
      <c r="AG779" s="85"/>
      <c r="AH779" s="91"/>
      <c r="AI779" s="85"/>
      <c r="AJ779" s="85"/>
    </row>
    <row r="780" ht="15.75" customHeight="1">
      <c r="A780" s="85"/>
      <c r="B780" s="65"/>
      <c r="C780" s="85"/>
      <c r="D780" s="65"/>
      <c r="E780" s="65"/>
      <c r="F780" s="65"/>
      <c r="G780" s="6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65"/>
      <c r="W780" s="65"/>
      <c r="X780" s="85"/>
      <c r="Y780" s="85"/>
      <c r="Z780" s="85"/>
      <c r="AA780" s="85"/>
      <c r="AB780" s="85"/>
      <c r="AC780" s="85"/>
      <c r="AD780" s="85"/>
      <c r="AE780" s="85"/>
      <c r="AF780" s="85"/>
      <c r="AG780" s="85"/>
      <c r="AH780" s="91"/>
      <c r="AI780" s="85"/>
      <c r="AJ780" s="85"/>
    </row>
    <row r="781" ht="15.75" customHeight="1">
      <c r="A781" s="85"/>
      <c r="B781" s="65"/>
      <c r="C781" s="85"/>
      <c r="D781" s="65"/>
      <c r="E781" s="65"/>
      <c r="F781" s="65"/>
      <c r="G781" s="6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65"/>
      <c r="W781" s="65"/>
      <c r="X781" s="85"/>
      <c r="Y781" s="85"/>
      <c r="Z781" s="85"/>
      <c r="AA781" s="85"/>
      <c r="AB781" s="85"/>
      <c r="AC781" s="85"/>
      <c r="AD781" s="85"/>
      <c r="AE781" s="85"/>
      <c r="AF781" s="85"/>
      <c r="AG781" s="85"/>
      <c r="AH781" s="91"/>
      <c r="AI781" s="85"/>
      <c r="AJ781" s="85"/>
    </row>
    <row r="782" ht="15.75" customHeight="1">
      <c r="A782" s="85"/>
      <c r="B782" s="65"/>
      <c r="C782" s="85"/>
      <c r="D782" s="65"/>
      <c r="E782" s="65"/>
      <c r="F782" s="65"/>
      <c r="G782" s="6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65"/>
      <c r="W782" s="65"/>
      <c r="X782" s="85"/>
      <c r="Y782" s="85"/>
      <c r="Z782" s="85"/>
      <c r="AA782" s="85"/>
      <c r="AB782" s="85"/>
      <c r="AC782" s="85"/>
      <c r="AD782" s="85"/>
      <c r="AE782" s="85"/>
      <c r="AF782" s="85"/>
      <c r="AG782" s="85"/>
      <c r="AH782" s="91"/>
      <c r="AI782" s="85"/>
      <c r="AJ782" s="85"/>
    </row>
    <row r="783" ht="15.75" customHeight="1">
      <c r="A783" s="85"/>
      <c r="B783" s="65"/>
      <c r="C783" s="85"/>
      <c r="D783" s="65"/>
      <c r="E783" s="65"/>
      <c r="F783" s="65"/>
      <c r="G783" s="6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65"/>
      <c r="W783" s="65"/>
      <c r="X783" s="85"/>
      <c r="Y783" s="85"/>
      <c r="Z783" s="85"/>
      <c r="AA783" s="85"/>
      <c r="AB783" s="85"/>
      <c r="AC783" s="85"/>
      <c r="AD783" s="85"/>
      <c r="AE783" s="85"/>
      <c r="AF783" s="85"/>
      <c r="AG783" s="85"/>
      <c r="AH783" s="91"/>
      <c r="AI783" s="85"/>
      <c r="AJ783" s="85"/>
    </row>
    <row r="784" ht="15.75" customHeight="1">
      <c r="A784" s="85"/>
      <c r="B784" s="65"/>
      <c r="C784" s="85"/>
      <c r="D784" s="65"/>
      <c r="E784" s="65"/>
      <c r="F784" s="65"/>
      <c r="G784" s="6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65"/>
      <c r="W784" s="65"/>
      <c r="X784" s="85"/>
      <c r="Y784" s="85"/>
      <c r="Z784" s="85"/>
      <c r="AA784" s="85"/>
      <c r="AB784" s="85"/>
      <c r="AC784" s="85"/>
      <c r="AD784" s="85"/>
      <c r="AE784" s="85"/>
      <c r="AF784" s="85"/>
      <c r="AG784" s="85"/>
      <c r="AH784" s="91"/>
      <c r="AI784" s="85"/>
      <c r="AJ784" s="85"/>
    </row>
    <row r="785" ht="15.75" customHeight="1">
      <c r="A785" s="85"/>
      <c r="B785" s="65"/>
      <c r="C785" s="85"/>
      <c r="D785" s="65"/>
      <c r="E785" s="65"/>
      <c r="F785" s="65"/>
      <c r="G785" s="6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65"/>
      <c r="W785" s="65"/>
      <c r="X785" s="85"/>
      <c r="Y785" s="85"/>
      <c r="Z785" s="85"/>
      <c r="AA785" s="85"/>
      <c r="AB785" s="85"/>
      <c r="AC785" s="85"/>
      <c r="AD785" s="85"/>
      <c r="AE785" s="85"/>
      <c r="AF785" s="85"/>
      <c r="AG785" s="85"/>
      <c r="AH785" s="91"/>
      <c r="AI785" s="85"/>
      <c r="AJ785" s="85"/>
    </row>
    <row r="786" ht="15.75" customHeight="1">
      <c r="A786" s="85"/>
      <c r="B786" s="65"/>
      <c r="C786" s="85"/>
      <c r="D786" s="65"/>
      <c r="E786" s="65"/>
      <c r="F786" s="65"/>
      <c r="G786" s="6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65"/>
      <c r="W786" s="65"/>
      <c r="X786" s="85"/>
      <c r="Y786" s="85"/>
      <c r="Z786" s="85"/>
      <c r="AA786" s="85"/>
      <c r="AB786" s="85"/>
      <c r="AC786" s="85"/>
      <c r="AD786" s="85"/>
      <c r="AE786" s="85"/>
      <c r="AF786" s="85"/>
      <c r="AG786" s="85"/>
      <c r="AH786" s="91"/>
      <c r="AI786" s="85"/>
      <c r="AJ786" s="85"/>
    </row>
    <row r="787" ht="15.75" customHeight="1">
      <c r="A787" s="85"/>
      <c r="B787" s="65"/>
      <c r="C787" s="85"/>
      <c r="D787" s="65"/>
      <c r="E787" s="65"/>
      <c r="F787" s="65"/>
      <c r="G787" s="6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65"/>
      <c r="W787" s="65"/>
      <c r="X787" s="85"/>
      <c r="Y787" s="85"/>
      <c r="Z787" s="85"/>
      <c r="AA787" s="85"/>
      <c r="AB787" s="85"/>
      <c r="AC787" s="85"/>
      <c r="AD787" s="85"/>
      <c r="AE787" s="85"/>
      <c r="AF787" s="85"/>
      <c r="AG787" s="85"/>
      <c r="AH787" s="91"/>
      <c r="AI787" s="85"/>
      <c r="AJ787" s="85"/>
    </row>
    <row r="788" ht="15.75" customHeight="1">
      <c r="A788" s="85"/>
      <c r="B788" s="65"/>
      <c r="C788" s="85"/>
      <c r="D788" s="65"/>
      <c r="E788" s="65"/>
      <c r="F788" s="65"/>
      <c r="G788" s="6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65"/>
      <c r="W788" s="65"/>
      <c r="X788" s="85"/>
      <c r="Y788" s="85"/>
      <c r="Z788" s="85"/>
      <c r="AA788" s="85"/>
      <c r="AB788" s="85"/>
      <c r="AC788" s="85"/>
      <c r="AD788" s="85"/>
      <c r="AE788" s="85"/>
      <c r="AF788" s="85"/>
      <c r="AG788" s="85"/>
      <c r="AH788" s="91"/>
      <c r="AI788" s="85"/>
      <c r="AJ788" s="85"/>
    </row>
    <row r="789" ht="15.75" customHeight="1">
      <c r="A789" s="85"/>
      <c r="B789" s="65"/>
      <c r="C789" s="85"/>
      <c r="D789" s="65"/>
      <c r="E789" s="65"/>
      <c r="F789" s="65"/>
      <c r="G789" s="6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65"/>
      <c r="W789" s="65"/>
      <c r="X789" s="85"/>
      <c r="Y789" s="85"/>
      <c r="Z789" s="85"/>
      <c r="AA789" s="85"/>
      <c r="AB789" s="85"/>
      <c r="AC789" s="85"/>
      <c r="AD789" s="85"/>
      <c r="AE789" s="85"/>
      <c r="AF789" s="85"/>
      <c r="AG789" s="85"/>
      <c r="AH789" s="91"/>
      <c r="AI789" s="85"/>
      <c r="AJ789" s="85"/>
    </row>
    <row r="790" ht="15.75" customHeight="1">
      <c r="A790" s="85"/>
      <c r="B790" s="65"/>
      <c r="C790" s="85"/>
      <c r="D790" s="65"/>
      <c r="E790" s="65"/>
      <c r="F790" s="65"/>
      <c r="G790" s="6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65"/>
      <c r="W790" s="65"/>
      <c r="X790" s="85"/>
      <c r="Y790" s="85"/>
      <c r="Z790" s="85"/>
      <c r="AA790" s="85"/>
      <c r="AB790" s="85"/>
      <c r="AC790" s="85"/>
      <c r="AD790" s="85"/>
      <c r="AE790" s="85"/>
      <c r="AF790" s="85"/>
      <c r="AG790" s="85"/>
      <c r="AH790" s="91"/>
      <c r="AI790" s="85"/>
      <c r="AJ790" s="85"/>
    </row>
    <row r="791" ht="15.75" customHeight="1">
      <c r="A791" s="85"/>
      <c r="B791" s="65"/>
      <c r="C791" s="85"/>
      <c r="D791" s="65"/>
      <c r="E791" s="65"/>
      <c r="F791" s="65"/>
      <c r="G791" s="6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65"/>
      <c r="W791" s="65"/>
      <c r="X791" s="85"/>
      <c r="Y791" s="85"/>
      <c r="Z791" s="85"/>
      <c r="AA791" s="85"/>
      <c r="AB791" s="85"/>
      <c r="AC791" s="85"/>
      <c r="AD791" s="85"/>
      <c r="AE791" s="85"/>
      <c r="AF791" s="85"/>
      <c r="AG791" s="85"/>
      <c r="AH791" s="91"/>
      <c r="AI791" s="85"/>
      <c r="AJ791" s="85"/>
    </row>
    <row r="792" ht="15.75" customHeight="1">
      <c r="A792" s="85"/>
      <c r="B792" s="65"/>
      <c r="C792" s="85"/>
      <c r="D792" s="65"/>
      <c r="E792" s="65"/>
      <c r="F792" s="65"/>
      <c r="G792" s="6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65"/>
      <c r="W792" s="65"/>
      <c r="X792" s="85"/>
      <c r="Y792" s="85"/>
      <c r="Z792" s="85"/>
      <c r="AA792" s="85"/>
      <c r="AB792" s="85"/>
      <c r="AC792" s="85"/>
      <c r="AD792" s="85"/>
      <c r="AE792" s="85"/>
      <c r="AF792" s="85"/>
      <c r="AG792" s="85"/>
      <c r="AH792" s="91"/>
      <c r="AI792" s="85"/>
      <c r="AJ792" s="85"/>
    </row>
    <row r="793" ht="15.75" customHeight="1">
      <c r="A793" s="85"/>
      <c r="B793" s="65"/>
      <c r="C793" s="85"/>
      <c r="D793" s="65"/>
      <c r="E793" s="65"/>
      <c r="F793" s="65"/>
      <c r="G793" s="6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65"/>
      <c r="W793" s="65"/>
      <c r="X793" s="85"/>
      <c r="Y793" s="85"/>
      <c r="Z793" s="85"/>
      <c r="AA793" s="85"/>
      <c r="AB793" s="85"/>
      <c r="AC793" s="85"/>
      <c r="AD793" s="85"/>
      <c r="AE793" s="85"/>
      <c r="AF793" s="85"/>
      <c r="AG793" s="85"/>
      <c r="AH793" s="91"/>
      <c r="AI793" s="85"/>
      <c r="AJ793" s="85"/>
    </row>
    <row r="794" ht="15.75" customHeight="1">
      <c r="A794" s="85"/>
      <c r="B794" s="65"/>
      <c r="C794" s="85"/>
      <c r="D794" s="65"/>
      <c r="E794" s="65"/>
      <c r="F794" s="65"/>
      <c r="G794" s="6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65"/>
      <c r="W794" s="65"/>
      <c r="X794" s="85"/>
      <c r="Y794" s="85"/>
      <c r="Z794" s="85"/>
      <c r="AA794" s="85"/>
      <c r="AB794" s="85"/>
      <c r="AC794" s="85"/>
      <c r="AD794" s="85"/>
      <c r="AE794" s="85"/>
      <c r="AF794" s="85"/>
      <c r="AG794" s="85"/>
      <c r="AH794" s="91"/>
      <c r="AI794" s="85"/>
      <c r="AJ794" s="85"/>
    </row>
    <row r="795" ht="15.75" customHeight="1">
      <c r="A795" s="85"/>
      <c r="B795" s="65"/>
      <c r="C795" s="85"/>
      <c r="D795" s="65"/>
      <c r="E795" s="65"/>
      <c r="F795" s="65"/>
      <c r="G795" s="6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65"/>
      <c r="W795" s="65"/>
      <c r="X795" s="85"/>
      <c r="Y795" s="85"/>
      <c r="Z795" s="85"/>
      <c r="AA795" s="85"/>
      <c r="AB795" s="85"/>
      <c r="AC795" s="85"/>
      <c r="AD795" s="85"/>
      <c r="AE795" s="85"/>
      <c r="AF795" s="85"/>
      <c r="AG795" s="85"/>
      <c r="AH795" s="91"/>
      <c r="AI795" s="85"/>
      <c r="AJ795" s="85"/>
    </row>
    <row r="796" ht="15.75" customHeight="1">
      <c r="A796" s="85"/>
      <c r="B796" s="65"/>
      <c r="C796" s="85"/>
      <c r="D796" s="65"/>
      <c r="E796" s="65"/>
      <c r="F796" s="65"/>
      <c r="G796" s="6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65"/>
      <c r="W796" s="65"/>
      <c r="X796" s="85"/>
      <c r="Y796" s="85"/>
      <c r="Z796" s="85"/>
      <c r="AA796" s="85"/>
      <c r="AB796" s="85"/>
      <c r="AC796" s="85"/>
      <c r="AD796" s="85"/>
      <c r="AE796" s="85"/>
      <c r="AF796" s="85"/>
      <c r="AG796" s="85"/>
      <c r="AH796" s="91"/>
      <c r="AI796" s="85"/>
      <c r="AJ796" s="85"/>
    </row>
    <row r="797" ht="15.75" customHeight="1">
      <c r="A797" s="85"/>
      <c r="B797" s="65"/>
      <c r="C797" s="85"/>
      <c r="D797" s="65"/>
      <c r="E797" s="65"/>
      <c r="F797" s="65"/>
      <c r="G797" s="6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65"/>
      <c r="W797" s="65"/>
      <c r="X797" s="85"/>
      <c r="Y797" s="85"/>
      <c r="Z797" s="85"/>
      <c r="AA797" s="85"/>
      <c r="AB797" s="85"/>
      <c r="AC797" s="85"/>
      <c r="AD797" s="85"/>
      <c r="AE797" s="85"/>
      <c r="AF797" s="85"/>
      <c r="AG797" s="85"/>
      <c r="AH797" s="91"/>
      <c r="AI797" s="85"/>
      <c r="AJ797" s="85"/>
    </row>
    <row r="798" ht="15.75" customHeight="1">
      <c r="A798" s="85"/>
      <c r="B798" s="65"/>
      <c r="C798" s="85"/>
      <c r="D798" s="65"/>
      <c r="E798" s="65"/>
      <c r="F798" s="65"/>
      <c r="G798" s="6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65"/>
      <c r="W798" s="65"/>
      <c r="X798" s="85"/>
      <c r="Y798" s="85"/>
      <c r="Z798" s="85"/>
      <c r="AA798" s="85"/>
      <c r="AB798" s="85"/>
      <c r="AC798" s="85"/>
      <c r="AD798" s="85"/>
      <c r="AE798" s="85"/>
      <c r="AF798" s="85"/>
      <c r="AG798" s="85"/>
      <c r="AH798" s="91"/>
      <c r="AI798" s="85"/>
      <c r="AJ798" s="85"/>
    </row>
    <row r="799" ht="15.75" customHeight="1">
      <c r="A799" s="85"/>
      <c r="B799" s="65"/>
      <c r="C799" s="85"/>
      <c r="D799" s="65"/>
      <c r="E799" s="65"/>
      <c r="F799" s="65"/>
      <c r="G799" s="6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65"/>
      <c r="W799" s="65"/>
      <c r="X799" s="85"/>
      <c r="Y799" s="85"/>
      <c r="Z799" s="85"/>
      <c r="AA799" s="85"/>
      <c r="AB799" s="85"/>
      <c r="AC799" s="85"/>
      <c r="AD799" s="85"/>
      <c r="AE799" s="85"/>
      <c r="AF799" s="85"/>
      <c r="AG799" s="85"/>
      <c r="AH799" s="91"/>
      <c r="AI799" s="85"/>
      <c r="AJ799" s="85"/>
    </row>
    <row r="800" ht="15.75" customHeight="1">
      <c r="A800" s="85"/>
      <c r="B800" s="65"/>
      <c r="C800" s="85"/>
      <c r="D800" s="65"/>
      <c r="E800" s="65"/>
      <c r="F800" s="65"/>
      <c r="G800" s="6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65"/>
      <c r="W800" s="65"/>
      <c r="X800" s="85"/>
      <c r="Y800" s="85"/>
      <c r="Z800" s="85"/>
      <c r="AA800" s="85"/>
      <c r="AB800" s="85"/>
      <c r="AC800" s="85"/>
      <c r="AD800" s="85"/>
      <c r="AE800" s="85"/>
      <c r="AF800" s="85"/>
      <c r="AG800" s="85"/>
      <c r="AH800" s="91"/>
      <c r="AI800" s="85"/>
      <c r="AJ800" s="85"/>
    </row>
    <row r="801" ht="15.75" customHeight="1">
      <c r="A801" s="85"/>
      <c r="B801" s="65"/>
      <c r="C801" s="85"/>
      <c r="D801" s="65"/>
      <c r="E801" s="65"/>
      <c r="F801" s="65"/>
      <c r="G801" s="6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65"/>
      <c r="W801" s="6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91"/>
      <c r="AI801" s="85"/>
      <c r="AJ801" s="85"/>
    </row>
    <row r="802" ht="15.75" customHeight="1">
      <c r="A802" s="85"/>
      <c r="B802" s="65"/>
      <c r="C802" s="85"/>
      <c r="D802" s="65"/>
      <c r="E802" s="65"/>
      <c r="F802" s="65"/>
      <c r="G802" s="6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65"/>
      <c r="W802" s="65"/>
      <c r="X802" s="85"/>
      <c r="Y802" s="85"/>
      <c r="Z802" s="85"/>
      <c r="AA802" s="85"/>
      <c r="AB802" s="85"/>
      <c r="AC802" s="85"/>
      <c r="AD802" s="85"/>
      <c r="AE802" s="85"/>
      <c r="AF802" s="85"/>
      <c r="AG802" s="85"/>
      <c r="AH802" s="91"/>
      <c r="AI802" s="85"/>
      <c r="AJ802" s="85"/>
    </row>
    <row r="803" ht="15.75" customHeight="1">
      <c r="A803" s="85"/>
      <c r="B803" s="65"/>
      <c r="C803" s="85"/>
      <c r="D803" s="65"/>
      <c r="E803" s="65"/>
      <c r="F803" s="65"/>
      <c r="G803" s="6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65"/>
      <c r="W803" s="65"/>
      <c r="X803" s="85"/>
      <c r="Y803" s="85"/>
      <c r="Z803" s="85"/>
      <c r="AA803" s="85"/>
      <c r="AB803" s="85"/>
      <c r="AC803" s="85"/>
      <c r="AD803" s="85"/>
      <c r="AE803" s="85"/>
      <c r="AF803" s="85"/>
      <c r="AG803" s="85"/>
      <c r="AH803" s="91"/>
      <c r="AI803" s="85"/>
      <c r="AJ803" s="85"/>
    </row>
    <row r="804" ht="15.75" customHeight="1">
      <c r="A804" s="85"/>
      <c r="B804" s="65"/>
      <c r="C804" s="85"/>
      <c r="D804" s="65"/>
      <c r="E804" s="65"/>
      <c r="F804" s="65"/>
      <c r="G804" s="6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65"/>
      <c r="W804" s="65"/>
      <c r="X804" s="85"/>
      <c r="Y804" s="85"/>
      <c r="Z804" s="85"/>
      <c r="AA804" s="85"/>
      <c r="AB804" s="85"/>
      <c r="AC804" s="85"/>
      <c r="AD804" s="85"/>
      <c r="AE804" s="85"/>
      <c r="AF804" s="85"/>
      <c r="AG804" s="85"/>
      <c r="AH804" s="91"/>
      <c r="AI804" s="85"/>
      <c r="AJ804" s="85"/>
    </row>
    <row r="805" ht="15.75" customHeight="1">
      <c r="A805" s="85"/>
      <c r="B805" s="65"/>
      <c r="C805" s="85"/>
      <c r="D805" s="65"/>
      <c r="E805" s="65"/>
      <c r="F805" s="65"/>
      <c r="G805" s="6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65"/>
      <c r="W805" s="65"/>
      <c r="X805" s="85"/>
      <c r="Y805" s="85"/>
      <c r="Z805" s="85"/>
      <c r="AA805" s="85"/>
      <c r="AB805" s="85"/>
      <c r="AC805" s="85"/>
      <c r="AD805" s="85"/>
      <c r="AE805" s="85"/>
      <c r="AF805" s="85"/>
      <c r="AG805" s="85"/>
      <c r="AH805" s="91"/>
      <c r="AI805" s="85"/>
      <c r="AJ805" s="85"/>
    </row>
    <row r="806" ht="15.75" customHeight="1">
      <c r="A806" s="85"/>
      <c r="B806" s="65"/>
      <c r="C806" s="85"/>
      <c r="D806" s="65"/>
      <c r="E806" s="65"/>
      <c r="F806" s="65"/>
      <c r="G806" s="6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65"/>
      <c r="W806" s="65"/>
      <c r="X806" s="85"/>
      <c r="Y806" s="85"/>
      <c r="Z806" s="85"/>
      <c r="AA806" s="85"/>
      <c r="AB806" s="85"/>
      <c r="AC806" s="85"/>
      <c r="AD806" s="85"/>
      <c r="AE806" s="85"/>
      <c r="AF806" s="85"/>
      <c r="AG806" s="85"/>
      <c r="AH806" s="91"/>
      <c r="AI806" s="85"/>
      <c r="AJ806" s="85"/>
    </row>
    <row r="807" ht="15.75" customHeight="1">
      <c r="A807" s="85"/>
      <c r="B807" s="65"/>
      <c r="C807" s="85"/>
      <c r="D807" s="65"/>
      <c r="E807" s="65"/>
      <c r="F807" s="65"/>
      <c r="G807" s="6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65"/>
      <c r="W807" s="65"/>
      <c r="X807" s="85"/>
      <c r="Y807" s="85"/>
      <c r="Z807" s="85"/>
      <c r="AA807" s="85"/>
      <c r="AB807" s="85"/>
      <c r="AC807" s="85"/>
      <c r="AD807" s="85"/>
      <c r="AE807" s="85"/>
      <c r="AF807" s="85"/>
      <c r="AG807" s="85"/>
      <c r="AH807" s="91"/>
      <c r="AI807" s="85"/>
      <c r="AJ807" s="85"/>
    </row>
    <row r="808" ht="15.75" customHeight="1">
      <c r="A808" s="85"/>
      <c r="B808" s="65"/>
      <c r="C808" s="85"/>
      <c r="D808" s="65"/>
      <c r="E808" s="65"/>
      <c r="F808" s="65"/>
      <c r="G808" s="6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65"/>
      <c r="W808" s="65"/>
      <c r="X808" s="85"/>
      <c r="Y808" s="85"/>
      <c r="Z808" s="85"/>
      <c r="AA808" s="85"/>
      <c r="AB808" s="85"/>
      <c r="AC808" s="85"/>
      <c r="AD808" s="85"/>
      <c r="AE808" s="85"/>
      <c r="AF808" s="85"/>
      <c r="AG808" s="85"/>
      <c r="AH808" s="91"/>
      <c r="AI808" s="85"/>
      <c r="AJ808" s="85"/>
    </row>
    <row r="809" ht="15.75" customHeight="1">
      <c r="A809" s="85"/>
      <c r="B809" s="65"/>
      <c r="C809" s="85"/>
      <c r="D809" s="65"/>
      <c r="E809" s="65"/>
      <c r="F809" s="65"/>
      <c r="G809" s="6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65"/>
      <c r="W809" s="65"/>
      <c r="X809" s="85"/>
      <c r="Y809" s="85"/>
      <c r="Z809" s="85"/>
      <c r="AA809" s="85"/>
      <c r="AB809" s="85"/>
      <c r="AC809" s="85"/>
      <c r="AD809" s="85"/>
      <c r="AE809" s="85"/>
      <c r="AF809" s="85"/>
      <c r="AG809" s="85"/>
      <c r="AH809" s="91"/>
      <c r="AI809" s="85"/>
      <c r="AJ809" s="85"/>
    </row>
    <row r="810" ht="15.75" customHeight="1">
      <c r="A810" s="85"/>
      <c r="B810" s="65"/>
      <c r="C810" s="85"/>
      <c r="D810" s="65"/>
      <c r="E810" s="65"/>
      <c r="F810" s="65"/>
      <c r="G810" s="6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65"/>
      <c r="W810" s="65"/>
      <c r="X810" s="85"/>
      <c r="Y810" s="85"/>
      <c r="Z810" s="85"/>
      <c r="AA810" s="85"/>
      <c r="AB810" s="85"/>
      <c r="AC810" s="85"/>
      <c r="AD810" s="85"/>
      <c r="AE810" s="85"/>
      <c r="AF810" s="85"/>
      <c r="AG810" s="85"/>
      <c r="AH810" s="91"/>
      <c r="AI810" s="85"/>
      <c r="AJ810" s="85"/>
    </row>
    <row r="811" ht="15.75" customHeight="1">
      <c r="A811" s="85"/>
      <c r="B811" s="65"/>
      <c r="C811" s="85"/>
      <c r="D811" s="65"/>
      <c r="E811" s="65"/>
      <c r="F811" s="65"/>
      <c r="G811" s="6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65"/>
      <c r="W811" s="65"/>
      <c r="X811" s="85"/>
      <c r="Y811" s="85"/>
      <c r="Z811" s="85"/>
      <c r="AA811" s="85"/>
      <c r="AB811" s="85"/>
      <c r="AC811" s="85"/>
      <c r="AD811" s="85"/>
      <c r="AE811" s="85"/>
      <c r="AF811" s="85"/>
      <c r="AG811" s="85"/>
      <c r="AH811" s="91"/>
      <c r="AI811" s="85"/>
      <c r="AJ811" s="85"/>
    </row>
    <row r="812" ht="15.75" customHeight="1">
      <c r="A812" s="85"/>
      <c r="B812" s="65"/>
      <c r="C812" s="85"/>
      <c r="D812" s="65"/>
      <c r="E812" s="65"/>
      <c r="F812" s="65"/>
      <c r="G812" s="6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65"/>
      <c r="W812" s="65"/>
      <c r="X812" s="85"/>
      <c r="Y812" s="85"/>
      <c r="Z812" s="85"/>
      <c r="AA812" s="85"/>
      <c r="AB812" s="85"/>
      <c r="AC812" s="85"/>
      <c r="AD812" s="85"/>
      <c r="AE812" s="85"/>
      <c r="AF812" s="85"/>
      <c r="AG812" s="85"/>
      <c r="AH812" s="91"/>
      <c r="AI812" s="85"/>
      <c r="AJ812" s="85"/>
    </row>
    <row r="813" ht="15.75" customHeight="1">
      <c r="A813" s="85"/>
      <c r="B813" s="65"/>
      <c r="C813" s="85"/>
      <c r="D813" s="65"/>
      <c r="E813" s="65"/>
      <c r="F813" s="65"/>
      <c r="G813" s="6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65"/>
      <c r="W813" s="65"/>
      <c r="X813" s="85"/>
      <c r="Y813" s="85"/>
      <c r="Z813" s="85"/>
      <c r="AA813" s="85"/>
      <c r="AB813" s="85"/>
      <c r="AC813" s="85"/>
      <c r="AD813" s="85"/>
      <c r="AE813" s="85"/>
      <c r="AF813" s="85"/>
      <c r="AG813" s="85"/>
      <c r="AH813" s="91"/>
      <c r="AI813" s="85"/>
      <c r="AJ813" s="85"/>
    </row>
    <row r="814" ht="15.75" customHeight="1">
      <c r="A814" s="85"/>
      <c r="B814" s="65"/>
      <c r="C814" s="85"/>
      <c r="D814" s="65"/>
      <c r="E814" s="65"/>
      <c r="F814" s="65"/>
      <c r="G814" s="6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65"/>
      <c r="W814" s="65"/>
      <c r="X814" s="85"/>
      <c r="Y814" s="85"/>
      <c r="Z814" s="85"/>
      <c r="AA814" s="85"/>
      <c r="AB814" s="85"/>
      <c r="AC814" s="85"/>
      <c r="AD814" s="85"/>
      <c r="AE814" s="85"/>
      <c r="AF814" s="85"/>
      <c r="AG814" s="85"/>
      <c r="AH814" s="91"/>
      <c r="AI814" s="85"/>
      <c r="AJ814" s="85"/>
    </row>
    <row r="815" ht="15.75" customHeight="1">
      <c r="A815" s="85"/>
      <c r="B815" s="65"/>
      <c r="C815" s="85"/>
      <c r="D815" s="65"/>
      <c r="E815" s="65"/>
      <c r="F815" s="65"/>
      <c r="G815" s="6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65"/>
      <c r="W815" s="65"/>
      <c r="X815" s="85"/>
      <c r="Y815" s="85"/>
      <c r="Z815" s="85"/>
      <c r="AA815" s="85"/>
      <c r="AB815" s="85"/>
      <c r="AC815" s="85"/>
      <c r="AD815" s="85"/>
      <c r="AE815" s="85"/>
      <c r="AF815" s="85"/>
      <c r="AG815" s="85"/>
      <c r="AH815" s="91"/>
      <c r="AI815" s="85"/>
      <c r="AJ815" s="85"/>
    </row>
    <row r="816" ht="15.75" customHeight="1">
      <c r="A816" s="85"/>
      <c r="B816" s="65"/>
      <c r="C816" s="85"/>
      <c r="D816" s="65"/>
      <c r="E816" s="65"/>
      <c r="F816" s="65"/>
      <c r="G816" s="6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65"/>
      <c r="W816" s="65"/>
      <c r="X816" s="85"/>
      <c r="Y816" s="85"/>
      <c r="Z816" s="85"/>
      <c r="AA816" s="85"/>
      <c r="AB816" s="85"/>
      <c r="AC816" s="85"/>
      <c r="AD816" s="85"/>
      <c r="AE816" s="85"/>
      <c r="AF816" s="85"/>
      <c r="AG816" s="85"/>
      <c r="AH816" s="91"/>
      <c r="AI816" s="85"/>
      <c r="AJ816" s="85"/>
    </row>
    <row r="817" ht="15.75" customHeight="1">
      <c r="A817" s="85"/>
      <c r="B817" s="65"/>
      <c r="C817" s="85"/>
      <c r="D817" s="65"/>
      <c r="E817" s="65"/>
      <c r="F817" s="65"/>
      <c r="G817" s="6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65"/>
      <c r="W817" s="65"/>
      <c r="X817" s="85"/>
      <c r="Y817" s="85"/>
      <c r="Z817" s="85"/>
      <c r="AA817" s="85"/>
      <c r="AB817" s="85"/>
      <c r="AC817" s="85"/>
      <c r="AD817" s="85"/>
      <c r="AE817" s="85"/>
      <c r="AF817" s="85"/>
      <c r="AG817" s="85"/>
      <c r="AH817" s="91"/>
      <c r="AI817" s="85"/>
      <c r="AJ817" s="85"/>
    </row>
    <row r="818" ht="15.75" customHeight="1">
      <c r="A818" s="85"/>
      <c r="B818" s="65"/>
      <c r="C818" s="85"/>
      <c r="D818" s="65"/>
      <c r="E818" s="65"/>
      <c r="F818" s="65"/>
      <c r="G818" s="6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65"/>
      <c r="W818" s="65"/>
      <c r="X818" s="85"/>
      <c r="Y818" s="85"/>
      <c r="Z818" s="85"/>
      <c r="AA818" s="85"/>
      <c r="AB818" s="85"/>
      <c r="AC818" s="85"/>
      <c r="AD818" s="85"/>
      <c r="AE818" s="85"/>
      <c r="AF818" s="85"/>
      <c r="AG818" s="85"/>
      <c r="AH818" s="91"/>
      <c r="AI818" s="85"/>
      <c r="AJ818" s="85"/>
    </row>
    <row r="819" ht="15.75" customHeight="1">
      <c r="A819" s="85"/>
      <c r="B819" s="65"/>
      <c r="C819" s="85"/>
      <c r="D819" s="65"/>
      <c r="E819" s="65"/>
      <c r="F819" s="65"/>
      <c r="G819" s="6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65"/>
      <c r="W819" s="65"/>
      <c r="X819" s="85"/>
      <c r="Y819" s="85"/>
      <c r="Z819" s="85"/>
      <c r="AA819" s="85"/>
      <c r="AB819" s="85"/>
      <c r="AC819" s="85"/>
      <c r="AD819" s="85"/>
      <c r="AE819" s="85"/>
      <c r="AF819" s="85"/>
      <c r="AG819" s="85"/>
      <c r="AH819" s="91"/>
      <c r="AI819" s="85"/>
      <c r="AJ819" s="85"/>
    </row>
    <row r="820" ht="15.75" customHeight="1">
      <c r="A820" s="85"/>
      <c r="B820" s="65"/>
      <c r="C820" s="85"/>
      <c r="D820" s="65"/>
      <c r="E820" s="65"/>
      <c r="F820" s="65"/>
      <c r="G820" s="6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65"/>
      <c r="W820" s="65"/>
      <c r="X820" s="85"/>
      <c r="Y820" s="85"/>
      <c r="Z820" s="85"/>
      <c r="AA820" s="85"/>
      <c r="AB820" s="85"/>
      <c r="AC820" s="85"/>
      <c r="AD820" s="85"/>
      <c r="AE820" s="85"/>
      <c r="AF820" s="85"/>
      <c r="AG820" s="85"/>
      <c r="AH820" s="91"/>
      <c r="AI820" s="85"/>
      <c r="AJ820" s="85"/>
    </row>
    <row r="821" ht="15.75" customHeight="1">
      <c r="A821" s="85"/>
      <c r="B821" s="65"/>
      <c r="C821" s="85"/>
      <c r="D821" s="65"/>
      <c r="E821" s="65"/>
      <c r="F821" s="65"/>
      <c r="G821" s="6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65"/>
      <c r="W821" s="65"/>
      <c r="X821" s="85"/>
      <c r="Y821" s="85"/>
      <c r="Z821" s="85"/>
      <c r="AA821" s="85"/>
      <c r="AB821" s="85"/>
      <c r="AC821" s="85"/>
      <c r="AD821" s="85"/>
      <c r="AE821" s="85"/>
      <c r="AF821" s="85"/>
      <c r="AG821" s="85"/>
      <c r="AH821" s="91"/>
      <c r="AI821" s="85"/>
      <c r="AJ821" s="85"/>
    </row>
    <row r="822" ht="15.75" customHeight="1">
      <c r="A822" s="85"/>
      <c r="B822" s="65"/>
      <c r="C822" s="85"/>
      <c r="D822" s="65"/>
      <c r="E822" s="65"/>
      <c r="F822" s="65"/>
      <c r="G822" s="6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65"/>
      <c r="W822" s="65"/>
      <c r="X822" s="85"/>
      <c r="Y822" s="85"/>
      <c r="Z822" s="85"/>
      <c r="AA822" s="85"/>
      <c r="AB822" s="85"/>
      <c r="AC822" s="85"/>
      <c r="AD822" s="85"/>
      <c r="AE822" s="85"/>
      <c r="AF822" s="85"/>
      <c r="AG822" s="85"/>
      <c r="AH822" s="91"/>
      <c r="AI822" s="85"/>
      <c r="AJ822" s="85"/>
    </row>
    <row r="823" ht="15.75" customHeight="1">
      <c r="A823" s="85"/>
      <c r="B823" s="65"/>
      <c r="C823" s="85"/>
      <c r="D823" s="65"/>
      <c r="E823" s="65"/>
      <c r="F823" s="65"/>
      <c r="G823" s="6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65"/>
      <c r="W823" s="65"/>
      <c r="X823" s="85"/>
      <c r="Y823" s="85"/>
      <c r="Z823" s="85"/>
      <c r="AA823" s="85"/>
      <c r="AB823" s="85"/>
      <c r="AC823" s="85"/>
      <c r="AD823" s="85"/>
      <c r="AE823" s="85"/>
      <c r="AF823" s="85"/>
      <c r="AG823" s="85"/>
      <c r="AH823" s="91"/>
      <c r="AI823" s="85"/>
      <c r="AJ823" s="85"/>
    </row>
    <row r="824" ht="15.75" customHeight="1">
      <c r="A824" s="85"/>
      <c r="B824" s="65"/>
      <c r="C824" s="85"/>
      <c r="D824" s="65"/>
      <c r="E824" s="65"/>
      <c r="F824" s="65"/>
      <c r="G824" s="6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65"/>
      <c r="W824" s="65"/>
      <c r="X824" s="85"/>
      <c r="Y824" s="85"/>
      <c r="Z824" s="85"/>
      <c r="AA824" s="85"/>
      <c r="AB824" s="85"/>
      <c r="AC824" s="85"/>
      <c r="AD824" s="85"/>
      <c r="AE824" s="85"/>
      <c r="AF824" s="85"/>
      <c r="AG824" s="85"/>
      <c r="AH824" s="91"/>
      <c r="AI824" s="85"/>
      <c r="AJ824" s="85"/>
    </row>
    <row r="825" ht="15.75" customHeight="1">
      <c r="A825" s="85"/>
      <c r="B825" s="65"/>
      <c r="C825" s="85"/>
      <c r="D825" s="65"/>
      <c r="E825" s="65"/>
      <c r="F825" s="65"/>
      <c r="G825" s="6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65"/>
      <c r="W825" s="65"/>
      <c r="X825" s="85"/>
      <c r="Y825" s="85"/>
      <c r="Z825" s="85"/>
      <c r="AA825" s="85"/>
      <c r="AB825" s="85"/>
      <c r="AC825" s="85"/>
      <c r="AD825" s="85"/>
      <c r="AE825" s="85"/>
      <c r="AF825" s="85"/>
      <c r="AG825" s="85"/>
      <c r="AH825" s="91"/>
      <c r="AI825" s="85"/>
      <c r="AJ825" s="85"/>
    </row>
    <row r="826" ht="15.75" customHeight="1">
      <c r="A826" s="85"/>
      <c r="B826" s="65"/>
      <c r="C826" s="85"/>
      <c r="D826" s="65"/>
      <c r="E826" s="65"/>
      <c r="F826" s="65"/>
      <c r="G826" s="6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65"/>
      <c r="W826" s="65"/>
      <c r="X826" s="85"/>
      <c r="Y826" s="85"/>
      <c r="Z826" s="85"/>
      <c r="AA826" s="85"/>
      <c r="AB826" s="85"/>
      <c r="AC826" s="85"/>
      <c r="AD826" s="85"/>
      <c r="AE826" s="85"/>
      <c r="AF826" s="85"/>
      <c r="AG826" s="85"/>
      <c r="AH826" s="91"/>
      <c r="AI826" s="85"/>
      <c r="AJ826" s="85"/>
    </row>
    <row r="827" ht="15.75" customHeight="1">
      <c r="A827" s="85"/>
      <c r="B827" s="65"/>
      <c r="C827" s="85"/>
      <c r="D827" s="65"/>
      <c r="E827" s="65"/>
      <c r="F827" s="65"/>
      <c r="G827" s="6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65"/>
      <c r="W827" s="65"/>
      <c r="X827" s="85"/>
      <c r="Y827" s="85"/>
      <c r="Z827" s="85"/>
      <c r="AA827" s="85"/>
      <c r="AB827" s="85"/>
      <c r="AC827" s="85"/>
      <c r="AD827" s="85"/>
      <c r="AE827" s="85"/>
      <c r="AF827" s="85"/>
      <c r="AG827" s="85"/>
      <c r="AH827" s="91"/>
      <c r="AI827" s="85"/>
      <c r="AJ827" s="85"/>
    </row>
    <row r="828" ht="15.75" customHeight="1">
      <c r="A828" s="85"/>
      <c r="B828" s="65"/>
      <c r="C828" s="85"/>
      <c r="D828" s="65"/>
      <c r="E828" s="65"/>
      <c r="F828" s="65"/>
      <c r="G828" s="6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65"/>
      <c r="W828" s="65"/>
      <c r="X828" s="85"/>
      <c r="Y828" s="85"/>
      <c r="Z828" s="85"/>
      <c r="AA828" s="85"/>
      <c r="AB828" s="85"/>
      <c r="AC828" s="85"/>
      <c r="AD828" s="85"/>
      <c r="AE828" s="85"/>
      <c r="AF828" s="85"/>
      <c r="AG828" s="85"/>
      <c r="AH828" s="91"/>
      <c r="AI828" s="85"/>
      <c r="AJ828" s="85"/>
    </row>
    <row r="829" ht="15.75" customHeight="1">
      <c r="A829" s="85"/>
      <c r="B829" s="65"/>
      <c r="C829" s="85"/>
      <c r="D829" s="65"/>
      <c r="E829" s="65"/>
      <c r="F829" s="65"/>
      <c r="G829" s="6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65"/>
      <c r="W829" s="65"/>
      <c r="X829" s="85"/>
      <c r="Y829" s="85"/>
      <c r="Z829" s="85"/>
      <c r="AA829" s="85"/>
      <c r="AB829" s="85"/>
      <c r="AC829" s="85"/>
      <c r="AD829" s="85"/>
      <c r="AE829" s="85"/>
      <c r="AF829" s="85"/>
      <c r="AG829" s="85"/>
      <c r="AH829" s="91"/>
      <c r="AI829" s="85"/>
      <c r="AJ829" s="85"/>
    </row>
    <row r="830" ht="15.75" customHeight="1">
      <c r="A830" s="85"/>
      <c r="B830" s="65"/>
      <c r="C830" s="85"/>
      <c r="D830" s="65"/>
      <c r="E830" s="65"/>
      <c r="F830" s="65"/>
      <c r="G830" s="6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65"/>
      <c r="W830" s="65"/>
      <c r="X830" s="85"/>
      <c r="Y830" s="85"/>
      <c r="Z830" s="85"/>
      <c r="AA830" s="85"/>
      <c r="AB830" s="85"/>
      <c r="AC830" s="85"/>
      <c r="AD830" s="85"/>
      <c r="AE830" s="85"/>
      <c r="AF830" s="85"/>
      <c r="AG830" s="85"/>
      <c r="AH830" s="91"/>
      <c r="AI830" s="85"/>
      <c r="AJ830" s="85"/>
    </row>
    <row r="831" ht="15.75" customHeight="1">
      <c r="A831" s="85"/>
      <c r="B831" s="65"/>
      <c r="C831" s="85"/>
      <c r="D831" s="65"/>
      <c r="E831" s="65"/>
      <c r="F831" s="65"/>
      <c r="G831" s="6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65"/>
      <c r="W831" s="65"/>
      <c r="X831" s="85"/>
      <c r="Y831" s="85"/>
      <c r="Z831" s="85"/>
      <c r="AA831" s="85"/>
      <c r="AB831" s="85"/>
      <c r="AC831" s="85"/>
      <c r="AD831" s="85"/>
      <c r="AE831" s="85"/>
      <c r="AF831" s="85"/>
      <c r="AG831" s="85"/>
      <c r="AH831" s="91"/>
      <c r="AI831" s="85"/>
      <c r="AJ831" s="85"/>
    </row>
    <row r="832" ht="15.75" customHeight="1">
      <c r="A832" s="85"/>
      <c r="B832" s="65"/>
      <c r="C832" s="85"/>
      <c r="D832" s="65"/>
      <c r="E832" s="65"/>
      <c r="F832" s="65"/>
      <c r="G832" s="6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65"/>
      <c r="W832" s="65"/>
      <c r="X832" s="85"/>
      <c r="Y832" s="85"/>
      <c r="Z832" s="85"/>
      <c r="AA832" s="85"/>
      <c r="AB832" s="85"/>
      <c r="AC832" s="85"/>
      <c r="AD832" s="85"/>
      <c r="AE832" s="85"/>
      <c r="AF832" s="85"/>
      <c r="AG832" s="85"/>
      <c r="AH832" s="91"/>
      <c r="AI832" s="85"/>
      <c r="AJ832" s="85"/>
    </row>
    <row r="833" ht="15.75" customHeight="1">
      <c r="A833" s="85"/>
      <c r="B833" s="65"/>
      <c r="C833" s="85"/>
      <c r="D833" s="65"/>
      <c r="E833" s="65"/>
      <c r="F833" s="65"/>
      <c r="G833" s="6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65"/>
      <c r="W833" s="65"/>
      <c r="X833" s="85"/>
      <c r="Y833" s="85"/>
      <c r="Z833" s="85"/>
      <c r="AA833" s="85"/>
      <c r="AB833" s="85"/>
      <c r="AC833" s="85"/>
      <c r="AD833" s="85"/>
      <c r="AE833" s="85"/>
      <c r="AF833" s="85"/>
      <c r="AG833" s="85"/>
      <c r="AH833" s="91"/>
      <c r="AI833" s="85"/>
      <c r="AJ833" s="85"/>
    </row>
    <row r="834" ht="15.75" customHeight="1">
      <c r="A834" s="85"/>
      <c r="B834" s="65"/>
      <c r="C834" s="85"/>
      <c r="D834" s="65"/>
      <c r="E834" s="65"/>
      <c r="F834" s="65"/>
      <c r="G834" s="6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65"/>
      <c r="W834" s="65"/>
      <c r="X834" s="85"/>
      <c r="Y834" s="85"/>
      <c r="Z834" s="85"/>
      <c r="AA834" s="85"/>
      <c r="AB834" s="85"/>
      <c r="AC834" s="85"/>
      <c r="AD834" s="85"/>
      <c r="AE834" s="85"/>
      <c r="AF834" s="85"/>
      <c r="AG834" s="85"/>
      <c r="AH834" s="91"/>
      <c r="AI834" s="85"/>
      <c r="AJ834" s="85"/>
    </row>
    <row r="835" ht="15.75" customHeight="1">
      <c r="A835" s="85"/>
      <c r="B835" s="65"/>
      <c r="C835" s="85"/>
      <c r="D835" s="65"/>
      <c r="E835" s="65"/>
      <c r="F835" s="65"/>
      <c r="G835" s="6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65"/>
      <c r="W835" s="65"/>
      <c r="X835" s="85"/>
      <c r="Y835" s="85"/>
      <c r="Z835" s="85"/>
      <c r="AA835" s="85"/>
      <c r="AB835" s="85"/>
      <c r="AC835" s="85"/>
      <c r="AD835" s="85"/>
      <c r="AE835" s="85"/>
      <c r="AF835" s="85"/>
      <c r="AG835" s="85"/>
      <c r="AH835" s="91"/>
      <c r="AI835" s="85"/>
      <c r="AJ835" s="85"/>
    </row>
    <row r="836" ht="15.75" customHeight="1">
      <c r="A836" s="85"/>
      <c r="B836" s="65"/>
      <c r="C836" s="85"/>
      <c r="D836" s="65"/>
      <c r="E836" s="65"/>
      <c r="F836" s="65"/>
      <c r="G836" s="6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65"/>
      <c r="W836" s="65"/>
      <c r="X836" s="85"/>
      <c r="Y836" s="85"/>
      <c r="Z836" s="85"/>
      <c r="AA836" s="85"/>
      <c r="AB836" s="85"/>
      <c r="AC836" s="85"/>
      <c r="AD836" s="85"/>
      <c r="AE836" s="85"/>
      <c r="AF836" s="85"/>
      <c r="AG836" s="85"/>
      <c r="AH836" s="91"/>
      <c r="AI836" s="85"/>
      <c r="AJ836" s="85"/>
    </row>
    <row r="837" ht="15.75" customHeight="1">
      <c r="A837" s="85"/>
      <c r="B837" s="65"/>
      <c r="C837" s="85"/>
      <c r="D837" s="65"/>
      <c r="E837" s="65"/>
      <c r="F837" s="65"/>
      <c r="G837" s="6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65"/>
      <c r="W837" s="65"/>
      <c r="X837" s="85"/>
      <c r="Y837" s="85"/>
      <c r="Z837" s="85"/>
      <c r="AA837" s="85"/>
      <c r="AB837" s="85"/>
      <c r="AC837" s="85"/>
      <c r="AD837" s="85"/>
      <c r="AE837" s="85"/>
      <c r="AF837" s="85"/>
      <c r="AG837" s="85"/>
      <c r="AH837" s="91"/>
      <c r="AI837" s="85"/>
      <c r="AJ837" s="85"/>
    </row>
    <row r="838" ht="15.75" customHeight="1">
      <c r="A838" s="85"/>
      <c r="B838" s="65"/>
      <c r="C838" s="85"/>
      <c r="D838" s="65"/>
      <c r="E838" s="65"/>
      <c r="F838" s="65"/>
      <c r="G838" s="6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65"/>
      <c r="W838" s="65"/>
      <c r="X838" s="85"/>
      <c r="Y838" s="85"/>
      <c r="Z838" s="85"/>
      <c r="AA838" s="85"/>
      <c r="AB838" s="85"/>
      <c r="AC838" s="85"/>
      <c r="AD838" s="85"/>
      <c r="AE838" s="85"/>
      <c r="AF838" s="85"/>
      <c r="AG838" s="85"/>
      <c r="AH838" s="91"/>
      <c r="AI838" s="85"/>
      <c r="AJ838" s="85"/>
    </row>
    <row r="839" ht="15.75" customHeight="1">
      <c r="A839" s="85"/>
      <c r="B839" s="65"/>
      <c r="C839" s="85"/>
      <c r="D839" s="65"/>
      <c r="E839" s="65"/>
      <c r="F839" s="65"/>
      <c r="G839" s="6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65"/>
      <c r="W839" s="6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91"/>
      <c r="AI839" s="85"/>
      <c r="AJ839" s="85"/>
    </row>
    <row r="840" ht="15.75" customHeight="1">
      <c r="A840" s="85"/>
      <c r="B840" s="65"/>
      <c r="C840" s="85"/>
      <c r="D840" s="65"/>
      <c r="E840" s="65"/>
      <c r="F840" s="65"/>
      <c r="G840" s="6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65"/>
      <c r="W840" s="65"/>
      <c r="X840" s="85"/>
      <c r="Y840" s="85"/>
      <c r="Z840" s="85"/>
      <c r="AA840" s="85"/>
      <c r="AB840" s="85"/>
      <c r="AC840" s="85"/>
      <c r="AD840" s="85"/>
      <c r="AE840" s="85"/>
      <c r="AF840" s="85"/>
      <c r="AG840" s="85"/>
      <c r="AH840" s="91"/>
      <c r="AI840" s="85"/>
      <c r="AJ840" s="85"/>
    </row>
    <row r="841" ht="15.75" customHeight="1">
      <c r="A841" s="85"/>
      <c r="B841" s="65"/>
      <c r="C841" s="85"/>
      <c r="D841" s="65"/>
      <c r="E841" s="65"/>
      <c r="F841" s="65"/>
      <c r="G841" s="6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65"/>
      <c r="W841" s="65"/>
      <c r="X841" s="85"/>
      <c r="Y841" s="85"/>
      <c r="Z841" s="85"/>
      <c r="AA841" s="85"/>
      <c r="AB841" s="85"/>
      <c r="AC841" s="85"/>
      <c r="AD841" s="85"/>
      <c r="AE841" s="85"/>
      <c r="AF841" s="85"/>
      <c r="AG841" s="85"/>
      <c r="AH841" s="91"/>
      <c r="AI841" s="85"/>
      <c r="AJ841" s="85"/>
    </row>
    <row r="842" ht="15.75" customHeight="1">
      <c r="A842" s="85"/>
      <c r="B842" s="65"/>
      <c r="C842" s="85"/>
      <c r="D842" s="65"/>
      <c r="E842" s="65"/>
      <c r="F842" s="65"/>
      <c r="G842" s="6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65"/>
      <c r="W842" s="65"/>
      <c r="X842" s="85"/>
      <c r="Y842" s="85"/>
      <c r="Z842" s="85"/>
      <c r="AA842" s="85"/>
      <c r="AB842" s="85"/>
      <c r="AC842" s="85"/>
      <c r="AD842" s="85"/>
      <c r="AE842" s="85"/>
      <c r="AF842" s="85"/>
      <c r="AG842" s="85"/>
      <c r="AH842" s="91"/>
      <c r="AI842" s="85"/>
      <c r="AJ842" s="85"/>
    </row>
    <row r="843" ht="15.75" customHeight="1">
      <c r="A843" s="85"/>
      <c r="B843" s="65"/>
      <c r="C843" s="85"/>
      <c r="D843" s="65"/>
      <c r="E843" s="65"/>
      <c r="F843" s="65"/>
      <c r="G843" s="6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65"/>
      <c r="W843" s="65"/>
      <c r="X843" s="85"/>
      <c r="Y843" s="85"/>
      <c r="Z843" s="85"/>
      <c r="AA843" s="85"/>
      <c r="AB843" s="85"/>
      <c r="AC843" s="85"/>
      <c r="AD843" s="85"/>
      <c r="AE843" s="85"/>
      <c r="AF843" s="85"/>
      <c r="AG843" s="85"/>
      <c r="AH843" s="91"/>
      <c r="AI843" s="85"/>
      <c r="AJ843" s="85"/>
    </row>
    <row r="844" ht="15.75" customHeight="1">
      <c r="A844" s="85"/>
      <c r="B844" s="65"/>
      <c r="C844" s="85"/>
      <c r="D844" s="65"/>
      <c r="E844" s="65"/>
      <c r="F844" s="65"/>
      <c r="G844" s="6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65"/>
      <c r="W844" s="65"/>
      <c r="X844" s="85"/>
      <c r="Y844" s="85"/>
      <c r="Z844" s="85"/>
      <c r="AA844" s="85"/>
      <c r="AB844" s="85"/>
      <c r="AC844" s="85"/>
      <c r="AD844" s="85"/>
      <c r="AE844" s="85"/>
      <c r="AF844" s="85"/>
      <c r="AG844" s="85"/>
      <c r="AH844" s="91"/>
      <c r="AI844" s="85"/>
      <c r="AJ844" s="85"/>
    </row>
    <row r="845" ht="15.75" customHeight="1">
      <c r="A845" s="85"/>
      <c r="B845" s="65"/>
      <c r="C845" s="85"/>
      <c r="D845" s="65"/>
      <c r="E845" s="65"/>
      <c r="F845" s="65"/>
      <c r="G845" s="6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65"/>
      <c r="W845" s="65"/>
      <c r="X845" s="85"/>
      <c r="Y845" s="85"/>
      <c r="Z845" s="85"/>
      <c r="AA845" s="85"/>
      <c r="AB845" s="85"/>
      <c r="AC845" s="85"/>
      <c r="AD845" s="85"/>
      <c r="AE845" s="85"/>
      <c r="AF845" s="85"/>
      <c r="AG845" s="85"/>
      <c r="AH845" s="91"/>
      <c r="AI845" s="85"/>
      <c r="AJ845" s="85"/>
    </row>
    <row r="846" ht="15.75" customHeight="1">
      <c r="A846" s="85"/>
      <c r="B846" s="65"/>
      <c r="C846" s="85"/>
      <c r="D846" s="65"/>
      <c r="E846" s="65"/>
      <c r="F846" s="65"/>
      <c r="G846" s="6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65"/>
      <c r="W846" s="65"/>
      <c r="X846" s="85"/>
      <c r="Y846" s="85"/>
      <c r="Z846" s="85"/>
      <c r="AA846" s="85"/>
      <c r="AB846" s="85"/>
      <c r="AC846" s="85"/>
      <c r="AD846" s="85"/>
      <c r="AE846" s="85"/>
      <c r="AF846" s="85"/>
      <c r="AG846" s="85"/>
      <c r="AH846" s="91"/>
      <c r="AI846" s="85"/>
      <c r="AJ846" s="85"/>
    </row>
    <row r="847" ht="15.75" customHeight="1">
      <c r="A847" s="85"/>
      <c r="B847" s="65"/>
      <c r="C847" s="85"/>
      <c r="D847" s="65"/>
      <c r="E847" s="65"/>
      <c r="F847" s="65"/>
      <c r="G847" s="6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65"/>
      <c r="W847" s="65"/>
      <c r="X847" s="85"/>
      <c r="Y847" s="85"/>
      <c r="Z847" s="85"/>
      <c r="AA847" s="85"/>
      <c r="AB847" s="85"/>
      <c r="AC847" s="85"/>
      <c r="AD847" s="85"/>
      <c r="AE847" s="85"/>
      <c r="AF847" s="85"/>
      <c r="AG847" s="85"/>
      <c r="AH847" s="91"/>
      <c r="AI847" s="85"/>
      <c r="AJ847" s="85"/>
    </row>
    <row r="848" ht="15.75" customHeight="1">
      <c r="A848" s="85"/>
      <c r="B848" s="65"/>
      <c r="C848" s="85"/>
      <c r="D848" s="65"/>
      <c r="E848" s="65"/>
      <c r="F848" s="65"/>
      <c r="G848" s="6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65"/>
      <c r="W848" s="65"/>
      <c r="X848" s="85"/>
      <c r="Y848" s="85"/>
      <c r="Z848" s="85"/>
      <c r="AA848" s="85"/>
      <c r="AB848" s="85"/>
      <c r="AC848" s="85"/>
      <c r="AD848" s="85"/>
      <c r="AE848" s="85"/>
      <c r="AF848" s="85"/>
      <c r="AG848" s="85"/>
      <c r="AH848" s="91"/>
      <c r="AI848" s="85"/>
      <c r="AJ848" s="85"/>
    </row>
    <row r="849" ht="15.75" customHeight="1">
      <c r="A849" s="85"/>
      <c r="B849" s="65"/>
      <c r="C849" s="85"/>
      <c r="D849" s="65"/>
      <c r="E849" s="65"/>
      <c r="F849" s="65"/>
      <c r="G849" s="6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65"/>
      <c r="W849" s="65"/>
      <c r="X849" s="85"/>
      <c r="Y849" s="85"/>
      <c r="Z849" s="85"/>
      <c r="AA849" s="85"/>
      <c r="AB849" s="85"/>
      <c r="AC849" s="85"/>
      <c r="AD849" s="85"/>
      <c r="AE849" s="85"/>
      <c r="AF849" s="85"/>
      <c r="AG849" s="85"/>
      <c r="AH849" s="91"/>
      <c r="AI849" s="85"/>
      <c r="AJ849" s="85"/>
    </row>
    <row r="850" ht="15.75" customHeight="1">
      <c r="A850" s="85"/>
      <c r="B850" s="65"/>
      <c r="C850" s="85"/>
      <c r="D850" s="65"/>
      <c r="E850" s="65"/>
      <c r="F850" s="65"/>
      <c r="G850" s="6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65"/>
      <c r="W850" s="65"/>
      <c r="X850" s="85"/>
      <c r="Y850" s="85"/>
      <c r="Z850" s="85"/>
      <c r="AA850" s="85"/>
      <c r="AB850" s="85"/>
      <c r="AC850" s="85"/>
      <c r="AD850" s="85"/>
      <c r="AE850" s="85"/>
      <c r="AF850" s="85"/>
      <c r="AG850" s="85"/>
      <c r="AH850" s="91"/>
      <c r="AI850" s="85"/>
      <c r="AJ850" s="85"/>
    </row>
    <row r="851" ht="15.75" customHeight="1">
      <c r="A851" s="85"/>
      <c r="B851" s="65"/>
      <c r="C851" s="85"/>
      <c r="D851" s="65"/>
      <c r="E851" s="65"/>
      <c r="F851" s="65"/>
      <c r="G851" s="6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65"/>
      <c r="W851" s="65"/>
      <c r="X851" s="85"/>
      <c r="Y851" s="85"/>
      <c r="Z851" s="85"/>
      <c r="AA851" s="85"/>
      <c r="AB851" s="85"/>
      <c r="AC851" s="85"/>
      <c r="AD851" s="85"/>
      <c r="AE851" s="85"/>
      <c r="AF851" s="85"/>
      <c r="AG851" s="85"/>
      <c r="AH851" s="91"/>
      <c r="AI851" s="85"/>
      <c r="AJ851" s="85"/>
    </row>
    <row r="852" ht="15.75" customHeight="1">
      <c r="A852" s="85"/>
      <c r="B852" s="65"/>
      <c r="C852" s="85"/>
      <c r="D852" s="65"/>
      <c r="E852" s="65"/>
      <c r="F852" s="65"/>
      <c r="G852" s="6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65"/>
      <c r="W852" s="65"/>
      <c r="X852" s="85"/>
      <c r="Y852" s="85"/>
      <c r="Z852" s="85"/>
      <c r="AA852" s="85"/>
      <c r="AB852" s="85"/>
      <c r="AC852" s="85"/>
      <c r="AD852" s="85"/>
      <c r="AE852" s="85"/>
      <c r="AF852" s="85"/>
      <c r="AG852" s="85"/>
      <c r="AH852" s="91"/>
      <c r="AI852" s="85"/>
      <c r="AJ852" s="85"/>
    </row>
    <row r="853" ht="15.75" customHeight="1">
      <c r="A853" s="85"/>
      <c r="B853" s="65"/>
      <c r="C853" s="85"/>
      <c r="D853" s="65"/>
      <c r="E853" s="65"/>
      <c r="F853" s="65"/>
      <c r="G853" s="6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65"/>
      <c r="W853" s="65"/>
      <c r="X853" s="85"/>
      <c r="Y853" s="85"/>
      <c r="Z853" s="85"/>
      <c r="AA853" s="85"/>
      <c r="AB853" s="85"/>
      <c r="AC853" s="85"/>
      <c r="AD853" s="85"/>
      <c r="AE853" s="85"/>
      <c r="AF853" s="85"/>
      <c r="AG853" s="85"/>
      <c r="AH853" s="91"/>
      <c r="AI853" s="85"/>
      <c r="AJ853" s="85"/>
    </row>
    <row r="854" ht="15.75" customHeight="1">
      <c r="A854" s="85"/>
      <c r="B854" s="65"/>
      <c r="C854" s="85"/>
      <c r="D854" s="65"/>
      <c r="E854" s="65"/>
      <c r="F854" s="65"/>
      <c r="G854" s="6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65"/>
      <c r="W854" s="65"/>
      <c r="X854" s="85"/>
      <c r="Y854" s="85"/>
      <c r="Z854" s="85"/>
      <c r="AA854" s="85"/>
      <c r="AB854" s="85"/>
      <c r="AC854" s="85"/>
      <c r="AD854" s="85"/>
      <c r="AE854" s="85"/>
      <c r="AF854" s="85"/>
      <c r="AG854" s="85"/>
      <c r="AH854" s="91"/>
      <c r="AI854" s="85"/>
      <c r="AJ854" s="85"/>
    </row>
    <row r="855" ht="15.75" customHeight="1">
      <c r="A855" s="85"/>
      <c r="B855" s="65"/>
      <c r="C855" s="85"/>
      <c r="D855" s="65"/>
      <c r="E855" s="65"/>
      <c r="F855" s="65"/>
      <c r="G855" s="6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65"/>
      <c r="W855" s="65"/>
      <c r="X855" s="85"/>
      <c r="Y855" s="85"/>
      <c r="Z855" s="85"/>
      <c r="AA855" s="85"/>
      <c r="AB855" s="85"/>
      <c r="AC855" s="85"/>
      <c r="AD855" s="85"/>
      <c r="AE855" s="85"/>
      <c r="AF855" s="85"/>
      <c r="AG855" s="85"/>
      <c r="AH855" s="91"/>
      <c r="AI855" s="85"/>
      <c r="AJ855" s="85"/>
    </row>
    <row r="856" ht="15.75" customHeight="1">
      <c r="A856" s="85"/>
      <c r="B856" s="65"/>
      <c r="C856" s="85"/>
      <c r="D856" s="65"/>
      <c r="E856" s="65"/>
      <c r="F856" s="65"/>
      <c r="G856" s="6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65"/>
      <c r="W856" s="65"/>
      <c r="X856" s="85"/>
      <c r="Y856" s="85"/>
      <c r="Z856" s="85"/>
      <c r="AA856" s="85"/>
      <c r="AB856" s="85"/>
      <c r="AC856" s="85"/>
      <c r="AD856" s="85"/>
      <c r="AE856" s="85"/>
      <c r="AF856" s="85"/>
      <c r="AG856" s="85"/>
      <c r="AH856" s="91"/>
      <c r="AI856" s="85"/>
      <c r="AJ856" s="85"/>
    </row>
    <row r="857" ht="15.75" customHeight="1">
      <c r="A857" s="85"/>
      <c r="B857" s="65"/>
      <c r="C857" s="85"/>
      <c r="D857" s="65"/>
      <c r="E857" s="65"/>
      <c r="F857" s="65"/>
      <c r="G857" s="6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65"/>
      <c r="W857" s="65"/>
      <c r="X857" s="85"/>
      <c r="Y857" s="85"/>
      <c r="Z857" s="85"/>
      <c r="AA857" s="85"/>
      <c r="AB857" s="85"/>
      <c r="AC857" s="85"/>
      <c r="AD857" s="85"/>
      <c r="AE857" s="85"/>
      <c r="AF857" s="85"/>
      <c r="AG857" s="85"/>
      <c r="AH857" s="91"/>
      <c r="AI857" s="85"/>
      <c r="AJ857" s="85"/>
    </row>
    <row r="858" ht="15.75" customHeight="1">
      <c r="A858" s="85"/>
      <c r="B858" s="65"/>
      <c r="C858" s="85"/>
      <c r="D858" s="65"/>
      <c r="E858" s="65"/>
      <c r="F858" s="65"/>
      <c r="G858" s="6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65"/>
      <c r="W858" s="65"/>
      <c r="X858" s="85"/>
      <c r="Y858" s="85"/>
      <c r="Z858" s="85"/>
      <c r="AA858" s="85"/>
      <c r="AB858" s="85"/>
      <c r="AC858" s="85"/>
      <c r="AD858" s="85"/>
      <c r="AE858" s="85"/>
      <c r="AF858" s="85"/>
      <c r="AG858" s="85"/>
      <c r="AH858" s="91"/>
      <c r="AI858" s="85"/>
      <c r="AJ858" s="85"/>
    </row>
    <row r="859" ht="15.75" customHeight="1">
      <c r="A859" s="85"/>
      <c r="B859" s="65"/>
      <c r="C859" s="85"/>
      <c r="D859" s="65"/>
      <c r="E859" s="65"/>
      <c r="F859" s="65"/>
      <c r="G859" s="6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65"/>
      <c r="W859" s="65"/>
      <c r="X859" s="85"/>
      <c r="Y859" s="85"/>
      <c r="Z859" s="85"/>
      <c r="AA859" s="85"/>
      <c r="AB859" s="85"/>
      <c r="AC859" s="85"/>
      <c r="AD859" s="85"/>
      <c r="AE859" s="85"/>
      <c r="AF859" s="85"/>
      <c r="AG859" s="85"/>
      <c r="AH859" s="91"/>
      <c r="AI859" s="85"/>
      <c r="AJ859" s="85"/>
    </row>
    <row r="860" ht="15.75" customHeight="1">
      <c r="A860" s="85"/>
      <c r="B860" s="65"/>
      <c r="C860" s="85"/>
      <c r="D860" s="65"/>
      <c r="E860" s="65"/>
      <c r="F860" s="65"/>
      <c r="G860" s="6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65"/>
      <c r="W860" s="65"/>
      <c r="X860" s="85"/>
      <c r="Y860" s="85"/>
      <c r="Z860" s="85"/>
      <c r="AA860" s="85"/>
      <c r="AB860" s="85"/>
      <c r="AC860" s="85"/>
      <c r="AD860" s="85"/>
      <c r="AE860" s="85"/>
      <c r="AF860" s="85"/>
      <c r="AG860" s="85"/>
      <c r="AH860" s="91"/>
      <c r="AI860" s="85"/>
      <c r="AJ860" s="85"/>
    </row>
    <row r="861" ht="15.75" customHeight="1">
      <c r="A861" s="85"/>
      <c r="B861" s="65"/>
      <c r="C861" s="85"/>
      <c r="D861" s="65"/>
      <c r="E861" s="65"/>
      <c r="F861" s="65"/>
      <c r="G861" s="6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65"/>
      <c r="W861" s="65"/>
      <c r="X861" s="85"/>
      <c r="Y861" s="85"/>
      <c r="Z861" s="85"/>
      <c r="AA861" s="85"/>
      <c r="AB861" s="85"/>
      <c r="AC861" s="85"/>
      <c r="AD861" s="85"/>
      <c r="AE861" s="85"/>
      <c r="AF861" s="85"/>
      <c r="AG861" s="85"/>
      <c r="AH861" s="91"/>
      <c r="AI861" s="85"/>
      <c r="AJ861" s="85"/>
    </row>
    <row r="862" ht="15.75" customHeight="1">
      <c r="A862" s="85"/>
      <c r="B862" s="65"/>
      <c r="C862" s="85"/>
      <c r="D862" s="65"/>
      <c r="E862" s="65"/>
      <c r="F862" s="65"/>
      <c r="G862" s="6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65"/>
      <c r="W862" s="65"/>
      <c r="X862" s="85"/>
      <c r="Y862" s="85"/>
      <c r="Z862" s="85"/>
      <c r="AA862" s="85"/>
      <c r="AB862" s="85"/>
      <c r="AC862" s="85"/>
      <c r="AD862" s="85"/>
      <c r="AE862" s="85"/>
      <c r="AF862" s="85"/>
      <c r="AG862" s="85"/>
      <c r="AH862" s="91"/>
      <c r="AI862" s="85"/>
      <c r="AJ862" s="85"/>
    </row>
    <row r="863" ht="15.75" customHeight="1">
      <c r="A863" s="85"/>
      <c r="B863" s="65"/>
      <c r="C863" s="85"/>
      <c r="D863" s="65"/>
      <c r="E863" s="65"/>
      <c r="F863" s="65"/>
      <c r="G863" s="6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65"/>
      <c r="W863" s="65"/>
      <c r="X863" s="85"/>
      <c r="Y863" s="85"/>
      <c r="Z863" s="85"/>
      <c r="AA863" s="85"/>
      <c r="AB863" s="85"/>
      <c r="AC863" s="85"/>
      <c r="AD863" s="85"/>
      <c r="AE863" s="85"/>
      <c r="AF863" s="85"/>
      <c r="AG863" s="85"/>
      <c r="AH863" s="91"/>
      <c r="AI863" s="85"/>
      <c r="AJ863" s="85"/>
    </row>
    <row r="864" ht="15.75" customHeight="1">
      <c r="A864" s="85"/>
      <c r="B864" s="65"/>
      <c r="C864" s="85"/>
      <c r="D864" s="65"/>
      <c r="E864" s="65"/>
      <c r="F864" s="65"/>
      <c r="G864" s="6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65"/>
      <c r="W864" s="65"/>
      <c r="X864" s="85"/>
      <c r="Y864" s="85"/>
      <c r="Z864" s="85"/>
      <c r="AA864" s="85"/>
      <c r="AB864" s="85"/>
      <c r="AC864" s="85"/>
      <c r="AD864" s="85"/>
      <c r="AE864" s="85"/>
      <c r="AF864" s="85"/>
      <c r="AG864" s="85"/>
      <c r="AH864" s="91"/>
      <c r="AI864" s="85"/>
      <c r="AJ864" s="85"/>
    </row>
    <row r="865" ht="15.75" customHeight="1">
      <c r="A865" s="85"/>
      <c r="B865" s="65"/>
      <c r="C865" s="85"/>
      <c r="D865" s="65"/>
      <c r="E865" s="65"/>
      <c r="F865" s="65"/>
      <c r="G865" s="6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65"/>
      <c r="W865" s="65"/>
      <c r="X865" s="85"/>
      <c r="Y865" s="85"/>
      <c r="Z865" s="85"/>
      <c r="AA865" s="85"/>
      <c r="AB865" s="85"/>
      <c r="AC865" s="85"/>
      <c r="AD865" s="85"/>
      <c r="AE865" s="85"/>
      <c r="AF865" s="85"/>
      <c r="AG865" s="85"/>
      <c r="AH865" s="91"/>
      <c r="AI865" s="85"/>
      <c r="AJ865" s="85"/>
    </row>
    <row r="866" ht="15.75" customHeight="1">
      <c r="A866" s="85"/>
      <c r="B866" s="65"/>
      <c r="C866" s="85"/>
      <c r="D866" s="65"/>
      <c r="E866" s="65"/>
      <c r="F866" s="65"/>
      <c r="G866" s="6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65"/>
      <c r="W866" s="65"/>
      <c r="X866" s="85"/>
      <c r="Y866" s="85"/>
      <c r="Z866" s="85"/>
      <c r="AA866" s="85"/>
      <c r="AB866" s="85"/>
      <c r="AC866" s="85"/>
      <c r="AD866" s="85"/>
      <c r="AE866" s="85"/>
      <c r="AF866" s="85"/>
      <c r="AG866" s="85"/>
      <c r="AH866" s="91"/>
      <c r="AI866" s="85"/>
      <c r="AJ866" s="85"/>
    </row>
    <row r="867" ht="15.75" customHeight="1">
      <c r="A867" s="85"/>
      <c r="B867" s="65"/>
      <c r="C867" s="85"/>
      <c r="D867" s="65"/>
      <c r="E867" s="65"/>
      <c r="F867" s="65"/>
      <c r="G867" s="6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65"/>
      <c r="W867" s="65"/>
      <c r="X867" s="85"/>
      <c r="Y867" s="85"/>
      <c r="Z867" s="85"/>
      <c r="AA867" s="85"/>
      <c r="AB867" s="85"/>
      <c r="AC867" s="85"/>
      <c r="AD867" s="85"/>
      <c r="AE867" s="85"/>
      <c r="AF867" s="85"/>
      <c r="AG867" s="85"/>
      <c r="AH867" s="91"/>
      <c r="AI867" s="85"/>
      <c r="AJ867" s="85"/>
    </row>
    <row r="868" ht="15.75" customHeight="1">
      <c r="A868" s="85"/>
      <c r="B868" s="65"/>
      <c r="C868" s="85"/>
      <c r="D868" s="65"/>
      <c r="E868" s="65"/>
      <c r="F868" s="65"/>
      <c r="G868" s="6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65"/>
      <c r="W868" s="65"/>
      <c r="X868" s="85"/>
      <c r="Y868" s="85"/>
      <c r="Z868" s="85"/>
      <c r="AA868" s="85"/>
      <c r="AB868" s="85"/>
      <c r="AC868" s="85"/>
      <c r="AD868" s="85"/>
      <c r="AE868" s="85"/>
      <c r="AF868" s="85"/>
      <c r="AG868" s="85"/>
      <c r="AH868" s="91"/>
      <c r="AI868" s="85"/>
      <c r="AJ868" s="85"/>
    </row>
    <row r="869" ht="15.75" customHeight="1">
      <c r="A869" s="85"/>
      <c r="B869" s="65"/>
      <c r="C869" s="85"/>
      <c r="D869" s="65"/>
      <c r="E869" s="65"/>
      <c r="F869" s="65"/>
      <c r="G869" s="6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65"/>
      <c r="W869" s="65"/>
      <c r="X869" s="85"/>
      <c r="Y869" s="85"/>
      <c r="Z869" s="85"/>
      <c r="AA869" s="85"/>
      <c r="AB869" s="85"/>
      <c r="AC869" s="85"/>
      <c r="AD869" s="85"/>
      <c r="AE869" s="85"/>
      <c r="AF869" s="85"/>
      <c r="AG869" s="85"/>
      <c r="AH869" s="91"/>
      <c r="AI869" s="85"/>
      <c r="AJ869" s="85"/>
    </row>
    <row r="870" ht="15.75" customHeight="1">
      <c r="A870" s="85"/>
      <c r="B870" s="65"/>
      <c r="C870" s="85"/>
      <c r="D870" s="65"/>
      <c r="E870" s="65"/>
      <c r="F870" s="65"/>
      <c r="G870" s="6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65"/>
      <c r="W870" s="65"/>
      <c r="X870" s="85"/>
      <c r="Y870" s="85"/>
      <c r="Z870" s="85"/>
      <c r="AA870" s="85"/>
      <c r="AB870" s="85"/>
      <c r="AC870" s="85"/>
      <c r="AD870" s="85"/>
      <c r="AE870" s="85"/>
      <c r="AF870" s="85"/>
      <c r="AG870" s="85"/>
      <c r="AH870" s="91"/>
      <c r="AI870" s="85"/>
      <c r="AJ870" s="85"/>
    </row>
    <row r="871" ht="15.75" customHeight="1">
      <c r="A871" s="85"/>
      <c r="B871" s="65"/>
      <c r="C871" s="85"/>
      <c r="D871" s="65"/>
      <c r="E871" s="65"/>
      <c r="F871" s="65"/>
      <c r="G871" s="6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65"/>
      <c r="W871" s="65"/>
      <c r="X871" s="85"/>
      <c r="Y871" s="85"/>
      <c r="Z871" s="85"/>
      <c r="AA871" s="85"/>
      <c r="AB871" s="85"/>
      <c r="AC871" s="85"/>
      <c r="AD871" s="85"/>
      <c r="AE871" s="85"/>
      <c r="AF871" s="85"/>
      <c r="AG871" s="85"/>
      <c r="AH871" s="91"/>
      <c r="AI871" s="85"/>
      <c r="AJ871" s="85"/>
    </row>
    <row r="872" ht="15.75" customHeight="1">
      <c r="A872" s="85"/>
      <c r="B872" s="65"/>
      <c r="C872" s="85"/>
      <c r="D872" s="65"/>
      <c r="E872" s="65"/>
      <c r="F872" s="65"/>
      <c r="G872" s="6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65"/>
      <c r="W872" s="65"/>
      <c r="X872" s="85"/>
      <c r="Y872" s="85"/>
      <c r="Z872" s="85"/>
      <c r="AA872" s="85"/>
      <c r="AB872" s="85"/>
      <c r="AC872" s="85"/>
      <c r="AD872" s="85"/>
      <c r="AE872" s="85"/>
      <c r="AF872" s="85"/>
      <c r="AG872" s="85"/>
      <c r="AH872" s="91"/>
      <c r="AI872" s="85"/>
      <c r="AJ872" s="85"/>
    </row>
    <row r="873" ht="15.75" customHeight="1">
      <c r="A873" s="85"/>
      <c r="B873" s="65"/>
      <c r="C873" s="85"/>
      <c r="D873" s="65"/>
      <c r="E873" s="65"/>
      <c r="F873" s="65"/>
      <c r="G873" s="6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65"/>
      <c r="W873" s="65"/>
      <c r="X873" s="85"/>
      <c r="Y873" s="85"/>
      <c r="Z873" s="85"/>
      <c r="AA873" s="85"/>
      <c r="AB873" s="85"/>
      <c r="AC873" s="85"/>
      <c r="AD873" s="85"/>
      <c r="AE873" s="85"/>
      <c r="AF873" s="85"/>
      <c r="AG873" s="85"/>
      <c r="AH873" s="91"/>
      <c r="AI873" s="85"/>
      <c r="AJ873" s="85"/>
    </row>
    <row r="874" ht="15.75" customHeight="1">
      <c r="A874" s="85"/>
      <c r="B874" s="65"/>
      <c r="C874" s="85"/>
      <c r="D874" s="65"/>
      <c r="E874" s="65"/>
      <c r="F874" s="65"/>
      <c r="G874" s="6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65"/>
      <c r="W874" s="65"/>
      <c r="X874" s="85"/>
      <c r="Y874" s="85"/>
      <c r="Z874" s="85"/>
      <c r="AA874" s="85"/>
      <c r="AB874" s="85"/>
      <c r="AC874" s="85"/>
      <c r="AD874" s="85"/>
      <c r="AE874" s="85"/>
      <c r="AF874" s="85"/>
      <c r="AG874" s="85"/>
      <c r="AH874" s="91"/>
      <c r="AI874" s="85"/>
      <c r="AJ874" s="85"/>
    </row>
    <row r="875" ht="15.75" customHeight="1">
      <c r="A875" s="85"/>
      <c r="B875" s="65"/>
      <c r="C875" s="85"/>
      <c r="D875" s="65"/>
      <c r="E875" s="65"/>
      <c r="F875" s="65"/>
      <c r="G875" s="6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65"/>
      <c r="W875" s="65"/>
      <c r="X875" s="85"/>
      <c r="Y875" s="85"/>
      <c r="Z875" s="85"/>
      <c r="AA875" s="85"/>
      <c r="AB875" s="85"/>
      <c r="AC875" s="85"/>
      <c r="AD875" s="85"/>
      <c r="AE875" s="85"/>
      <c r="AF875" s="85"/>
      <c r="AG875" s="85"/>
      <c r="AH875" s="91"/>
      <c r="AI875" s="85"/>
      <c r="AJ875" s="85"/>
    </row>
    <row r="876" ht="15.75" customHeight="1">
      <c r="A876" s="85"/>
      <c r="B876" s="65"/>
      <c r="C876" s="85"/>
      <c r="D876" s="65"/>
      <c r="E876" s="65"/>
      <c r="F876" s="65"/>
      <c r="G876" s="6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65"/>
      <c r="W876" s="65"/>
      <c r="X876" s="85"/>
      <c r="Y876" s="85"/>
      <c r="Z876" s="85"/>
      <c r="AA876" s="85"/>
      <c r="AB876" s="85"/>
      <c r="AC876" s="85"/>
      <c r="AD876" s="85"/>
      <c r="AE876" s="85"/>
      <c r="AF876" s="85"/>
      <c r="AG876" s="85"/>
      <c r="AH876" s="91"/>
      <c r="AI876" s="85"/>
      <c r="AJ876" s="85"/>
    </row>
    <row r="877" ht="15.75" customHeight="1">
      <c r="A877" s="85"/>
      <c r="B877" s="65"/>
      <c r="C877" s="85"/>
      <c r="D877" s="65"/>
      <c r="E877" s="65"/>
      <c r="F877" s="65"/>
      <c r="G877" s="6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65"/>
      <c r="W877" s="6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91"/>
      <c r="AI877" s="85"/>
      <c r="AJ877" s="85"/>
    </row>
    <row r="878" ht="15.75" customHeight="1">
      <c r="A878" s="85"/>
      <c r="B878" s="65"/>
      <c r="C878" s="85"/>
      <c r="D878" s="65"/>
      <c r="E878" s="65"/>
      <c r="F878" s="65"/>
      <c r="G878" s="6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65"/>
      <c r="W878" s="65"/>
      <c r="X878" s="85"/>
      <c r="Y878" s="85"/>
      <c r="Z878" s="85"/>
      <c r="AA878" s="85"/>
      <c r="AB878" s="85"/>
      <c r="AC878" s="85"/>
      <c r="AD878" s="85"/>
      <c r="AE878" s="85"/>
      <c r="AF878" s="85"/>
      <c r="AG878" s="85"/>
      <c r="AH878" s="91"/>
      <c r="AI878" s="85"/>
      <c r="AJ878" s="85"/>
    </row>
    <row r="879" ht="15.75" customHeight="1">
      <c r="A879" s="85"/>
      <c r="B879" s="65"/>
      <c r="C879" s="85"/>
      <c r="D879" s="65"/>
      <c r="E879" s="65"/>
      <c r="F879" s="65"/>
      <c r="G879" s="6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65"/>
      <c r="W879" s="65"/>
      <c r="X879" s="85"/>
      <c r="Y879" s="85"/>
      <c r="Z879" s="85"/>
      <c r="AA879" s="85"/>
      <c r="AB879" s="85"/>
      <c r="AC879" s="85"/>
      <c r="AD879" s="85"/>
      <c r="AE879" s="85"/>
      <c r="AF879" s="85"/>
      <c r="AG879" s="85"/>
      <c r="AH879" s="91"/>
      <c r="AI879" s="85"/>
      <c r="AJ879" s="85"/>
    </row>
    <row r="880" ht="15.75" customHeight="1">
      <c r="A880" s="85"/>
      <c r="B880" s="65"/>
      <c r="C880" s="85"/>
      <c r="D880" s="65"/>
      <c r="E880" s="65"/>
      <c r="F880" s="65"/>
      <c r="G880" s="6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65"/>
      <c r="W880" s="65"/>
      <c r="X880" s="85"/>
      <c r="Y880" s="85"/>
      <c r="Z880" s="85"/>
      <c r="AA880" s="85"/>
      <c r="AB880" s="85"/>
      <c r="AC880" s="85"/>
      <c r="AD880" s="85"/>
      <c r="AE880" s="85"/>
      <c r="AF880" s="85"/>
      <c r="AG880" s="85"/>
      <c r="AH880" s="91"/>
      <c r="AI880" s="85"/>
      <c r="AJ880" s="85"/>
    </row>
    <row r="881" ht="15.75" customHeight="1">
      <c r="A881" s="85"/>
      <c r="B881" s="65"/>
      <c r="C881" s="85"/>
      <c r="D881" s="65"/>
      <c r="E881" s="65"/>
      <c r="F881" s="65"/>
      <c r="G881" s="6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65"/>
      <c r="W881" s="65"/>
      <c r="X881" s="85"/>
      <c r="Y881" s="85"/>
      <c r="Z881" s="85"/>
      <c r="AA881" s="85"/>
      <c r="AB881" s="85"/>
      <c r="AC881" s="85"/>
      <c r="AD881" s="85"/>
      <c r="AE881" s="85"/>
      <c r="AF881" s="85"/>
      <c r="AG881" s="85"/>
      <c r="AH881" s="91"/>
      <c r="AI881" s="85"/>
      <c r="AJ881" s="85"/>
    </row>
    <row r="882" ht="15.75" customHeight="1">
      <c r="A882" s="85"/>
      <c r="B882" s="65"/>
      <c r="C882" s="85"/>
      <c r="D882" s="65"/>
      <c r="E882" s="65"/>
      <c r="F882" s="65"/>
      <c r="G882" s="6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65"/>
      <c r="W882" s="65"/>
      <c r="X882" s="85"/>
      <c r="Y882" s="85"/>
      <c r="Z882" s="85"/>
      <c r="AA882" s="85"/>
      <c r="AB882" s="85"/>
      <c r="AC882" s="85"/>
      <c r="AD882" s="85"/>
      <c r="AE882" s="85"/>
      <c r="AF882" s="85"/>
      <c r="AG882" s="85"/>
      <c r="AH882" s="91"/>
      <c r="AI882" s="85"/>
      <c r="AJ882" s="85"/>
    </row>
    <row r="883" ht="15.75" customHeight="1">
      <c r="A883" s="85"/>
      <c r="B883" s="65"/>
      <c r="C883" s="85"/>
      <c r="D883" s="65"/>
      <c r="E883" s="65"/>
      <c r="F883" s="65"/>
      <c r="G883" s="6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65"/>
      <c r="W883" s="65"/>
      <c r="X883" s="85"/>
      <c r="Y883" s="85"/>
      <c r="Z883" s="85"/>
      <c r="AA883" s="85"/>
      <c r="AB883" s="85"/>
      <c r="AC883" s="85"/>
      <c r="AD883" s="85"/>
      <c r="AE883" s="85"/>
      <c r="AF883" s="85"/>
      <c r="AG883" s="85"/>
      <c r="AH883" s="91"/>
      <c r="AI883" s="85"/>
      <c r="AJ883" s="85"/>
    </row>
    <row r="884" ht="15.75" customHeight="1">
      <c r="A884" s="85"/>
      <c r="B884" s="65"/>
      <c r="C884" s="85"/>
      <c r="D884" s="65"/>
      <c r="E884" s="65"/>
      <c r="F884" s="65"/>
      <c r="G884" s="6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65"/>
      <c r="W884" s="65"/>
      <c r="X884" s="85"/>
      <c r="Y884" s="85"/>
      <c r="Z884" s="85"/>
      <c r="AA884" s="85"/>
      <c r="AB884" s="85"/>
      <c r="AC884" s="85"/>
      <c r="AD884" s="85"/>
      <c r="AE884" s="85"/>
      <c r="AF884" s="85"/>
      <c r="AG884" s="85"/>
      <c r="AH884" s="91"/>
      <c r="AI884" s="85"/>
      <c r="AJ884" s="85"/>
    </row>
    <row r="885" ht="15.75" customHeight="1">
      <c r="A885" s="85"/>
      <c r="B885" s="65"/>
      <c r="C885" s="85"/>
      <c r="D885" s="65"/>
      <c r="E885" s="65"/>
      <c r="F885" s="65"/>
      <c r="G885" s="6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65"/>
      <c r="W885" s="65"/>
      <c r="X885" s="85"/>
      <c r="Y885" s="85"/>
      <c r="Z885" s="85"/>
      <c r="AA885" s="85"/>
      <c r="AB885" s="85"/>
      <c r="AC885" s="85"/>
      <c r="AD885" s="85"/>
      <c r="AE885" s="85"/>
      <c r="AF885" s="85"/>
      <c r="AG885" s="85"/>
      <c r="AH885" s="91"/>
      <c r="AI885" s="85"/>
      <c r="AJ885" s="85"/>
    </row>
    <row r="886" ht="15.75" customHeight="1">
      <c r="A886" s="85"/>
      <c r="B886" s="65"/>
      <c r="C886" s="85"/>
      <c r="D886" s="65"/>
      <c r="E886" s="65"/>
      <c r="F886" s="65"/>
      <c r="G886" s="6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65"/>
      <c r="W886" s="65"/>
      <c r="X886" s="85"/>
      <c r="Y886" s="85"/>
      <c r="Z886" s="85"/>
      <c r="AA886" s="85"/>
      <c r="AB886" s="85"/>
      <c r="AC886" s="85"/>
      <c r="AD886" s="85"/>
      <c r="AE886" s="85"/>
      <c r="AF886" s="85"/>
      <c r="AG886" s="85"/>
      <c r="AH886" s="91"/>
      <c r="AI886" s="85"/>
      <c r="AJ886" s="85"/>
    </row>
    <row r="887" ht="15.75" customHeight="1">
      <c r="A887" s="85"/>
      <c r="B887" s="65"/>
      <c r="C887" s="85"/>
      <c r="D887" s="65"/>
      <c r="E887" s="65"/>
      <c r="F887" s="65"/>
      <c r="G887" s="6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65"/>
      <c r="W887" s="65"/>
      <c r="X887" s="85"/>
      <c r="Y887" s="85"/>
      <c r="Z887" s="85"/>
      <c r="AA887" s="85"/>
      <c r="AB887" s="85"/>
      <c r="AC887" s="85"/>
      <c r="AD887" s="85"/>
      <c r="AE887" s="85"/>
      <c r="AF887" s="85"/>
      <c r="AG887" s="85"/>
      <c r="AH887" s="91"/>
      <c r="AI887" s="85"/>
      <c r="AJ887" s="85"/>
    </row>
    <row r="888" ht="15.75" customHeight="1">
      <c r="A888" s="85"/>
      <c r="B888" s="65"/>
      <c r="C888" s="85"/>
      <c r="D888" s="65"/>
      <c r="E888" s="65"/>
      <c r="F888" s="65"/>
      <c r="G888" s="6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65"/>
      <c r="W888" s="65"/>
      <c r="X888" s="85"/>
      <c r="Y888" s="85"/>
      <c r="Z888" s="85"/>
      <c r="AA888" s="85"/>
      <c r="AB888" s="85"/>
      <c r="AC888" s="85"/>
      <c r="AD888" s="85"/>
      <c r="AE888" s="85"/>
      <c r="AF888" s="85"/>
      <c r="AG888" s="85"/>
      <c r="AH888" s="91"/>
      <c r="AI888" s="85"/>
      <c r="AJ888" s="85"/>
    </row>
    <row r="889" ht="15.75" customHeight="1">
      <c r="A889" s="85"/>
      <c r="B889" s="65"/>
      <c r="C889" s="85"/>
      <c r="D889" s="65"/>
      <c r="E889" s="65"/>
      <c r="F889" s="65"/>
      <c r="G889" s="6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65"/>
      <c r="W889" s="65"/>
      <c r="X889" s="85"/>
      <c r="Y889" s="85"/>
      <c r="Z889" s="85"/>
      <c r="AA889" s="85"/>
      <c r="AB889" s="85"/>
      <c r="AC889" s="85"/>
      <c r="AD889" s="85"/>
      <c r="AE889" s="85"/>
      <c r="AF889" s="85"/>
      <c r="AG889" s="85"/>
      <c r="AH889" s="91"/>
      <c r="AI889" s="85"/>
      <c r="AJ889" s="85"/>
    </row>
    <row r="890" ht="15.75" customHeight="1">
      <c r="A890" s="85"/>
      <c r="B890" s="65"/>
      <c r="C890" s="85"/>
      <c r="D890" s="65"/>
      <c r="E890" s="65"/>
      <c r="F890" s="65"/>
      <c r="G890" s="6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65"/>
      <c r="W890" s="65"/>
      <c r="X890" s="85"/>
      <c r="Y890" s="85"/>
      <c r="Z890" s="85"/>
      <c r="AA890" s="85"/>
      <c r="AB890" s="85"/>
      <c r="AC890" s="85"/>
      <c r="AD890" s="85"/>
      <c r="AE890" s="85"/>
      <c r="AF890" s="85"/>
      <c r="AG890" s="85"/>
      <c r="AH890" s="91"/>
      <c r="AI890" s="85"/>
      <c r="AJ890" s="85"/>
    </row>
    <row r="891" ht="15.75" customHeight="1">
      <c r="A891" s="85"/>
      <c r="B891" s="65"/>
      <c r="C891" s="85"/>
      <c r="D891" s="65"/>
      <c r="E891" s="65"/>
      <c r="F891" s="65"/>
      <c r="G891" s="6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65"/>
      <c r="W891" s="65"/>
      <c r="X891" s="85"/>
      <c r="Y891" s="85"/>
      <c r="Z891" s="85"/>
      <c r="AA891" s="85"/>
      <c r="AB891" s="85"/>
      <c r="AC891" s="85"/>
      <c r="AD891" s="85"/>
      <c r="AE891" s="85"/>
      <c r="AF891" s="85"/>
      <c r="AG891" s="85"/>
      <c r="AH891" s="91"/>
      <c r="AI891" s="85"/>
      <c r="AJ891" s="85"/>
    </row>
    <row r="892" ht="15.75" customHeight="1">
      <c r="A892" s="85"/>
      <c r="B892" s="65"/>
      <c r="C892" s="85"/>
      <c r="D892" s="65"/>
      <c r="E892" s="65"/>
      <c r="F892" s="65"/>
      <c r="G892" s="6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65"/>
      <c r="W892" s="65"/>
      <c r="X892" s="85"/>
      <c r="Y892" s="85"/>
      <c r="Z892" s="85"/>
      <c r="AA892" s="85"/>
      <c r="AB892" s="85"/>
      <c r="AC892" s="85"/>
      <c r="AD892" s="85"/>
      <c r="AE892" s="85"/>
      <c r="AF892" s="85"/>
      <c r="AG892" s="85"/>
      <c r="AH892" s="91"/>
      <c r="AI892" s="85"/>
      <c r="AJ892" s="85"/>
    </row>
    <row r="893" ht="15.75" customHeight="1">
      <c r="A893" s="85"/>
      <c r="B893" s="65"/>
      <c r="C893" s="85"/>
      <c r="D893" s="65"/>
      <c r="E893" s="65"/>
      <c r="F893" s="65"/>
      <c r="G893" s="6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65"/>
      <c r="W893" s="65"/>
      <c r="X893" s="85"/>
      <c r="Y893" s="85"/>
      <c r="Z893" s="85"/>
      <c r="AA893" s="85"/>
      <c r="AB893" s="85"/>
      <c r="AC893" s="85"/>
      <c r="AD893" s="85"/>
      <c r="AE893" s="85"/>
      <c r="AF893" s="85"/>
      <c r="AG893" s="85"/>
      <c r="AH893" s="91"/>
      <c r="AI893" s="85"/>
      <c r="AJ893" s="85"/>
    </row>
    <row r="894" ht="15.75" customHeight="1">
      <c r="A894" s="85"/>
      <c r="B894" s="65"/>
      <c r="C894" s="85"/>
      <c r="D894" s="65"/>
      <c r="E894" s="65"/>
      <c r="F894" s="65"/>
      <c r="G894" s="6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65"/>
      <c r="W894" s="65"/>
      <c r="X894" s="85"/>
      <c r="Y894" s="85"/>
      <c r="Z894" s="85"/>
      <c r="AA894" s="85"/>
      <c r="AB894" s="85"/>
      <c r="AC894" s="85"/>
      <c r="AD894" s="85"/>
      <c r="AE894" s="85"/>
      <c r="AF894" s="85"/>
      <c r="AG894" s="85"/>
      <c r="AH894" s="91"/>
      <c r="AI894" s="85"/>
      <c r="AJ894" s="85"/>
    </row>
    <row r="895" ht="15.75" customHeight="1">
      <c r="A895" s="85"/>
      <c r="B895" s="65"/>
      <c r="C895" s="85"/>
      <c r="D895" s="65"/>
      <c r="E895" s="65"/>
      <c r="F895" s="65"/>
      <c r="G895" s="6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65"/>
      <c r="W895" s="65"/>
      <c r="X895" s="85"/>
      <c r="Y895" s="85"/>
      <c r="Z895" s="85"/>
      <c r="AA895" s="85"/>
      <c r="AB895" s="85"/>
      <c r="AC895" s="85"/>
      <c r="AD895" s="85"/>
      <c r="AE895" s="85"/>
      <c r="AF895" s="85"/>
      <c r="AG895" s="85"/>
      <c r="AH895" s="91"/>
      <c r="AI895" s="85"/>
      <c r="AJ895" s="85"/>
    </row>
    <row r="896" ht="15.75" customHeight="1">
      <c r="A896" s="85"/>
      <c r="B896" s="65"/>
      <c r="C896" s="85"/>
      <c r="D896" s="65"/>
      <c r="E896" s="65"/>
      <c r="F896" s="65"/>
      <c r="G896" s="6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65"/>
      <c r="W896" s="65"/>
      <c r="X896" s="85"/>
      <c r="Y896" s="85"/>
      <c r="Z896" s="85"/>
      <c r="AA896" s="85"/>
      <c r="AB896" s="85"/>
      <c r="AC896" s="85"/>
      <c r="AD896" s="85"/>
      <c r="AE896" s="85"/>
      <c r="AF896" s="85"/>
      <c r="AG896" s="85"/>
      <c r="AH896" s="91"/>
      <c r="AI896" s="85"/>
      <c r="AJ896" s="85"/>
    </row>
    <row r="897" ht="15.75" customHeight="1">
      <c r="A897" s="85"/>
      <c r="B897" s="65"/>
      <c r="C897" s="85"/>
      <c r="D897" s="65"/>
      <c r="E897" s="65"/>
      <c r="F897" s="65"/>
      <c r="G897" s="6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65"/>
      <c r="W897" s="65"/>
      <c r="X897" s="85"/>
      <c r="Y897" s="85"/>
      <c r="Z897" s="85"/>
      <c r="AA897" s="85"/>
      <c r="AB897" s="85"/>
      <c r="AC897" s="85"/>
      <c r="AD897" s="85"/>
      <c r="AE897" s="85"/>
      <c r="AF897" s="85"/>
      <c r="AG897" s="85"/>
      <c r="AH897" s="91"/>
      <c r="AI897" s="85"/>
      <c r="AJ897" s="85"/>
    </row>
    <row r="898" ht="15.75" customHeight="1">
      <c r="A898" s="85"/>
      <c r="B898" s="65"/>
      <c r="C898" s="85"/>
      <c r="D898" s="65"/>
      <c r="E898" s="65"/>
      <c r="F898" s="65"/>
      <c r="G898" s="6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65"/>
      <c r="W898" s="65"/>
      <c r="X898" s="85"/>
      <c r="Y898" s="85"/>
      <c r="Z898" s="85"/>
      <c r="AA898" s="85"/>
      <c r="AB898" s="85"/>
      <c r="AC898" s="85"/>
      <c r="AD898" s="85"/>
      <c r="AE898" s="85"/>
      <c r="AF898" s="85"/>
      <c r="AG898" s="85"/>
      <c r="AH898" s="91"/>
      <c r="AI898" s="85"/>
      <c r="AJ898" s="85"/>
    </row>
    <row r="899" ht="15.75" customHeight="1">
      <c r="A899" s="85"/>
      <c r="B899" s="65"/>
      <c r="C899" s="85"/>
      <c r="D899" s="65"/>
      <c r="E899" s="65"/>
      <c r="F899" s="65"/>
      <c r="G899" s="6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65"/>
      <c r="W899" s="65"/>
      <c r="X899" s="85"/>
      <c r="Y899" s="85"/>
      <c r="Z899" s="85"/>
      <c r="AA899" s="85"/>
      <c r="AB899" s="85"/>
      <c r="AC899" s="85"/>
      <c r="AD899" s="85"/>
      <c r="AE899" s="85"/>
      <c r="AF899" s="85"/>
      <c r="AG899" s="85"/>
      <c r="AH899" s="91"/>
      <c r="AI899" s="85"/>
      <c r="AJ899" s="85"/>
    </row>
    <row r="900" ht="15.75" customHeight="1">
      <c r="A900" s="85"/>
      <c r="B900" s="65"/>
      <c r="C900" s="85"/>
      <c r="D900" s="65"/>
      <c r="E900" s="65"/>
      <c r="F900" s="65"/>
      <c r="G900" s="6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65"/>
      <c r="W900" s="65"/>
      <c r="X900" s="85"/>
      <c r="Y900" s="85"/>
      <c r="Z900" s="85"/>
      <c r="AA900" s="85"/>
      <c r="AB900" s="85"/>
      <c r="AC900" s="85"/>
      <c r="AD900" s="85"/>
      <c r="AE900" s="85"/>
      <c r="AF900" s="85"/>
      <c r="AG900" s="85"/>
      <c r="AH900" s="91"/>
      <c r="AI900" s="85"/>
      <c r="AJ900" s="85"/>
    </row>
    <row r="901" ht="15.75" customHeight="1">
      <c r="A901" s="85"/>
      <c r="B901" s="65"/>
      <c r="C901" s="85"/>
      <c r="D901" s="65"/>
      <c r="E901" s="65"/>
      <c r="F901" s="65"/>
      <c r="G901" s="6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65"/>
      <c r="W901" s="65"/>
      <c r="X901" s="85"/>
      <c r="Y901" s="85"/>
      <c r="Z901" s="85"/>
      <c r="AA901" s="85"/>
      <c r="AB901" s="85"/>
      <c r="AC901" s="85"/>
      <c r="AD901" s="85"/>
      <c r="AE901" s="85"/>
      <c r="AF901" s="85"/>
      <c r="AG901" s="85"/>
      <c r="AH901" s="91"/>
      <c r="AI901" s="85"/>
      <c r="AJ901" s="85"/>
    </row>
    <row r="902" ht="15.75" customHeight="1">
      <c r="A902" s="85"/>
      <c r="B902" s="65"/>
      <c r="C902" s="85"/>
      <c r="D902" s="65"/>
      <c r="E902" s="65"/>
      <c r="F902" s="65"/>
      <c r="G902" s="6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65"/>
      <c r="W902" s="65"/>
      <c r="X902" s="85"/>
      <c r="Y902" s="85"/>
      <c r="Z902" s="85"/>
      <c r="AA902" s="85"/>
      <c r="AB902" s="85"/>
      <c r="AC902" s="85"/>
      <c r="AD902" s="85"/>
      <c r="AE902" s="85"/>
      <c r="AF902" s="85"/>
      <c r="AG902" s="85"/>
      <c r="AH902" s="91"/>
      <c r="AI902" s="85"/>
      <c r="AJ902" s="85"/>
    </row>
    <row r="903" ht="15.75" customHeight="1">
      <c r="A903" s="85"/>
      <c r="B903" s="65"/>
      <c r="C903" s="85"/>
      <c r="D903" s="65"/>
      <c r="E903" s="65"/>
      <c r="F903" s="65"/>
      <c r="G903" s="6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65"/>
      <c r="W903" s="65"/>
      <c r="X903" s="85"/>
      <c r="Y903" s="85"/>
      <c r="Z903" s="85"/>
      <c r="AA903" s="85"/>
      <c r="AB903" s="85"/>
      <c r="AC903" s="85"/>
      <c r="AD903" s="85"/>
      <c r="AE903" s="85"/>
      <c r="AF903" s="85"/>
      <c r="AG903" s="85"/>
      <c r="AH903" s="91"/>
      <c r="AI903" s="85"/>
      <c r="AJ903" s="85"/>
    </row>
    <row r="904" ht="15.75" customHeight="1">
      <c r="A904" s="85"/>
      <c r="B904" s="65"/>
      <c r="C904" s="85"/>
      <c r="D904" s="65"/>
      <c r="E904" s="65"/>
      <c r="F904" s="65"/>
      <c r="G904" s="6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65"/>
      <c r="W904" s="65"/>
      <c r="X904" s="85"/>
      <c r="Y904" s="85"/>
      <c r="Z904" s="85"/>
      <c r="AA904" s="85"/>
      <c r="AB904" s="85"/>
      <c r="AC904" s="85"/>
      <c r="AD904" s="85"/>
      <c r="AE904" s="85"/>
      <c r="AF904" s="85"/>
      <c r="AG904" s="85"/>
      <c r="AH904" s="91"/>
      <c r="AI904" s="85"/>
      <c r="AJ904" s="85"/>
    </row>
    <row r="905" ht="15.75" customHeight="1">
      <c r="A905" s="85"/>
      <c r="B905" s="65"/>
      <c r="C905" s="85"/>
      <c r="D905" s="65"/>
      <c r="E905" s="65"/>
      <c r="F905" s="65"/>
      <c r="G905" s="6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65"/>
      <c r="W905" s="65"/>
      <c r="X905" s="85"/>
      <c r="Y905" s="85"/>
      <c r="Z905" s="85"/>
      <c r="AA905" s="85"/>
      <c r="AB905" s="85"/>
      <c r="AC905" s="85"/>
      <c r="AD905" s="85"/>
      <c r="AE905" s="85"/>
      <c r="AF905" s="85"/>
      <c r="AG905" s="85"/>
      <c r="AH905" s="91"/>
      <c r="AI905" s="85"/>
      <c r="AJ905" s="85"/>
    </row>
    <row r="906" ht="15.75" customHeight="1">
      <c r="A906" s="85"/>
      <c r="B906" s="65"/>
      <c r="C906" s="85"/>
      <c r="D906" s="65"/>
      <c r="E906" s="65"/>
      <c r="F906" s="65"/>
      <c r="G906" s="6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65"/>
      <c r="W906" s="65"/>
      <c r="X906" s="85"/>
      <c r="Y906" s="85"/>
      <c r="Z906" s="85"/>
      <c r="AA906" s="85"/>
      <c r="AB906" s="85"/>
      <c r="AC906" s="85"/>
      <c r="AD906" s="85"/>
      <c r="AE906" s="85"/>
      <c r="AF906" s="85"/>
      <c r="AG906" s="85"/>
      <c r="AH906" s="91"/>
      <c r="AI906" s="85"/>
      <c r="AJ906" s="85"/>
    </row>
    <row r="907" ht="15.75" customHeight="1">
      <c r="A907" s="85"/>
      <c r="B907" s="65"/>
      <c r="C907" s="85"/>
      <c r="D907" s="65"/>
      <c r="E907" s="65"/>
      <c r="F907" s="65"/>
      <c r="G907" s="6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65"/>
      <c r="W907" s="65"/>
      <c r="X907" s="85"/>
      <c r="Y907" s="85"/>
      <c r="Z907" s="85"/>
      <c r="AA907" s="85"/>
      <c r="AB907" s="85"/>
      <c r="AC907" s="85"/>
      <c r="AD907" s="85"/>
      <c r="AE907" s="85"/>
      <c r="AF907" s="85"/>
      <c r="AG907" s="85"/>
      <c r="AH907" s="91"/>
      <c r="AI907" s="85"/>
      <c r="AJ907" s="85"/>
    </row>
    <row r="908" ht="15.75" customHeight="1">
      <c r="A908" s="85"/>
      <c r="B908" s="65"/>
      <c r="C908" s="85"/>
      <c r="D908" s="65"/>
      <c r="E908" s="65"/>
      <c r="F908" s="65"/>
      <c r="G908" s="6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65"/>
      <c r="W908" s="65"/>
      <c r="X908" s="85"/>
      <c r="Y908" s="85"/>
      <c r="Z908" s="85"/>
      <c r="AA908" s="85"/>
      <c r="AB908" s="85"/>
      <c r="AC908" s="85"/>
      <c r="AD908" s="85"/>
      <c r="AE908" s="85"/>
      <c r="AF908" s="85"/>
      <c r="AG908" s="85"/>
      <c r="AH908" s="91"/>
      <c r="AI908" s="85"/>
      <c r="AJ908" s="85"/>
    </row>
    <row r="909" ht="15.75" customHeight="1">
      <c r="A909" s="85"/>
      <c r="B909" s="65"/>
      <c r="C909" s="85"/>
      <c r="D909" s="65"/>
      <c r="E909" s="65"/>
      <c r="F909" s="65"/>
      <c r="G909" s="6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65"/>
      <c r="W909" s="65"/>
      <c r="X909" s="85"/>
      <c r="Y909" s="85"/>
      <c r="Z909" s="85"/>
      <c r="AA909" s="85"/>
      <c r="AB909" s="85"/>
      <c r="AC909" s="85"/>
      <c r="AD909" s="85"/>
      <c r="AE909" s="85"/>
      <c r="AF909" s="85"/>
      <c r="AG909" s="85"/>
      <c r="AH909" s="91"/>
      <c r="AI909" s="85"/>
      <c r="AJ909" s="85"/>
    </row>
    <row r="910" ht="15.75" customHeight="1">
      <c r="A910" s="85"/>
      <c r="B910" s="65"/>
      <c r="C910" s="85"/>
      <c r="D910" s="65"/>
      <c r="E910" s="65"/>
      <c r="F910" s="65"/>
      <c r="G910" s="6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65"/>
      <c r="W910" s="65"/>
      <c r="X910" s="85"/>
      <c r="Y910" s="85"/>
      <c r="Z910" s="85"/>
      <c r="AA910" s="85"/>
      <c r="AB910" s="85"/>
      <c r="AC910" s="85"/>
      <c r="AD910" s="85"/>
      <c r="AE910" s="85"/>
      <c r="AF910" s="85"/>
      <c r="AG910" s="85"/>
      <c r="AH910" s="91"/>
      <c r="AI910" s="85"/>
      <c r="AJ910" s="85"/>
    </row>
    <row r="911" ht="15.75" customHeight="1">
      <c r="A911" s="85"/>
      <c r="B911" s="65"/>
      <c r="C911" s="85"/>
      <c r="D911" s="65"/>
      <c r="E911" s="65"/>
      <c r="F911" s="65"/>
      <c r="G911" s="6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65"/>
      <c r="W911" s="65"/>
      <c r="X911" s="85"/>
      <c r="Y911" s="85"/>
      <c r="Z911" s="85"/>
      <c r="AA911" s="85"/>
      <c r="AB911" s="85"/>
      <c r="AC911" s="85"/>
      <c r="AD911" s="85"/>
      <c r="AE911" s="85"/>
      <c r="AF911" s="85"/>
      <c r="AG911" s="85"/>
      <c r="AH911" s="91"/>
      <c r="AI911" s="85"/>
      <c r="AJ911" s="85"/>
    </row>
    <row r="912" ht="15.75" customHeight="1">
      <c r="A912" s="85"/>
      <c r="B912" s="65"/>
      <c r="C912" s="85"/>
      <c r="D912" s="65"/>
      <c r="E912" s="65"/>
      <c r="F912" s="65"/>
      <c r="G912" s="6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65"/>
      <c r="W912" s="65"/>
      <c r="X912" s="85"/>
      <c r="Y912" s="85"/>
      <c r="Z912" s="85"/>
      <c r="AA912" s="85"/>
      <c r="AB912" s="85"/>
      <c r="AC912" s="85"/>
      <c r="AD912" s="85"/>
      <c r="AE912" s="85"/>
      <c r="AF912" s="85"/>
      <c r="AG912" s="85"/>
      <c r="AH912" s="91"/>
      <c r="AI912" s="85"/>
      <c r="AJ912" s="85"/>
    </row>
    <row r="913" ht="15.75" customHeight="1">
      <c r="A913" s="85"/>
      <c r="B913" s="65"/>
      <c r="C913" s="85"/>
      <c r="D913" s="65"/>
      <c r="E913" s="65"/>
      <c r="F913" s="65"/>
      <c r="G913" s="6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65"/>
      <c r="W913" s="65"/>
      <c r="X913" s="85"/>
      <c r="Y913" s="85"/>
      <c r="Z913" s="85"/>
      <c r="AA913" s="85"/>
      <c r="AB913" s="85"/>
      <c r="AC913" s="85"/>
      <c r="AD913" s="85"/>
      <c r="AE913" s="85"/>
      <c r="AF913" s="85"/>
      <c r="AG913" s="85"/>
      <c r="AH913" s="91"/>
      <c r="AI913" s="85"/>
      <c r="AJ913" s="85"/>
    </row>
    <row r="914" ht="15.75" customHeight="1">
      <c r="A914" s="85"/>
      <c r="B914" s="65"/>
      <c r="C914" s="85"/>
      <c r="D914" s="65"/>
      <c r="E914" s="65"/>
      <c r="F914" s="65"/>
      <c r="G914" s="6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65"/>
      <c r="W914" s="65"/>
      <c r="X914" s="85"/>
      <c r="Y914" s="85"/>
      <c r="Z914" s="85"/>
      <c r="AA914" s="85"/>
      <c r="AB914" s="85"/>
      <c r="AC914" s="85"/>
      <c r="AD914" s="85"/>
      <c r="AE914" s="85"/>
      <c r="AF914" s="85"/>
      <c r="AG914" s="85"/>
      <c r="AH914" s="91"/>
      <c r="AI914" s="85"/>
      <c r="AJ914" s="85"/>
    </row>
    <row r="915" ht="15.75" customHeight="1">
      <c r="A915" s="85"/>
      <c r="B915" s="65"/>
      <c r="C915" s="85"/>
      <c r="D915" s="65"/>
      <c r="E915" s="65"/>
      <c r="F915" s="65"/>
      <c r="G915" s="6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65"/>
      <c r="W915" s="6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91"/>
      <c r="AI915" s="85"/>
      <c r="AJ915" s="85"/>
    </row>
    <row r="916" ht="15.75" customHeight="1">
      <c r="A916" s="85"/>
      <c r="B916" s="65"/>
      <c r="C916" s="85"/>
      <c r="D916" s="65"/>
      <c r="E916" s="65"/>
      <c r="F916" s="65"/>
      <c r="G916" s="6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65"/>
      <c r="W916" s="65"/>
      <c r="X916" s="85"/>
      <c r="Y916" s="85"/>
      <c r="Z916" s="85"/>
      <c r="AA916" s="85"/>
      <c r="AB916" s="85"/>
      <c r="AC916" s="85"/>
      <c r="AD916" s="85"/>
      <c r="AE916" s="85"/>
      <c r="AF916" s="85"/>
      <c r="AG916" s="85"/>
      <c r="AH916" s="91"/>
      <c r="AI916" s="85"/>
      <c r="AJ916" s="85"/>
    </row>
    <row r="917" ht="15.75" customHeight="1">
      <c r="A917" s="85"/>
      <c r="B917" s="65"/>
      <c r="C917" s="85"/>
      <c r="D917" s="65"/>
      <c r="E917" s="65"/>
      <c r="F917" s="65"/>
      <c r="G917" s="6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65"/>
      <c r="W917" s="65"/>
      <c r="X917" s="85"/>
      <c r="Y917" s="85"/>
      <c r="Z917" s="85"/>
      <c r="AA917" s="85"/>
      <c r="AB917" s="85"/>
      <c r="AC917" s="85"/>
      <c r="AD917" s="85"/>
      <c r="AE917" s="85"/>
      <c r="AF917" s="85"/>
      <c r="AG917" s="85"/>
      <c r="AH917" s="91"/>
      <c r="AI917" s="85"/>
      <c r="AJ917" s="85"/>
    </row>
    <row r="918" ht="15.75" customHeight="1">
      <c r="A918" s="85"/>
      <c r="B918" s="65"/>
      <c r="C918" s="85"/>
      <c r="D918" s="65"/>
      <c r="E918" s="65"/>
      <c r="F918" s="65"/>
      <c r="G918" s="6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65"/>
      <c r="W918" s="65"/>
      <c r="X918" s="85"/>
      <c r="Y918" s="85"/>
      <c r="Z918" s="85"/>
      <c r="AA918" s="85"/>
      <c r="AB918" s="85"/>
      <c r="AC918" s="85"/>
      <c r="AD918" s="85"/>
      <c r="AE918" s="85"/>
      <c r="AF918" s="85"/>
      <c r="AG918" s="85"/>
      <c r="AH918" s="91"/>
      <c r="AI918" s="85"/>
      <c r="AJ918" s="85"/>
    </row>
    <row r="919" ht="15.75" customHeight="1">
      <c r="A919" s="85"/>
      <c r="B919" s="65"/>
      <c r="C919" s="85"/>
      <c r="D919" s="65"/>
      <c r="E919" s="65"/>
      <c r="F919" s="65"/>
      <c r="G919" s="6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65"/>
      <c r="W919" s="65"/>
      <c r="X919" s="85"/>
      <c r="Y919" s="85"/>
      <c r="Z919" s="85"/>
      <c r="AA919" s="85"/>
      <c r="AB919" s="85"/>
      <c r="AC919" s="85"/>
      <c r="AD919" s="85"/>
      <c r="AE919" s="85"/>
      <c r="AF919" s="85"/>
      <c r="AG919" s="85"/>
      <c r="AH919" s="91"/>
      <c r="AI919" s="85"/>
      <c r="AJ919" s="85"/>
    </row>
    <row r="920" ht="15.75" customHeight="1">
      <c r="A920" s="85"/>
      <c r="B920" s="65"/>
      <c r="C920" s="85"/>
      <c r="D920" s="65"/>
      <c r="E920" s="65"/>
      <c r="F920" s="65"/>
      <c r="G920" s="6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65"/>
      <c r="W920" s="65"/>
      <c r="X920" s="85"/>
      <c r="Y920" s="85"/>
      <c r="Z920" s="85"/>
      <c r="AA920" s="85"/>
      <c r="AB920" s="85"/>
      <c r="AC920" s="85"/>
      <c r="AD920" s="85"/>
      <c r="AE920" s="85"/>
      <c r="AF920" s="85"/>
      <c r="AG920" s="85"/>
      <c r="AH920" s="91"/>
      <c r="AI920" s="85"/>
      <c r="AJ920" s="85"/>
    </row>
    <row r="921" ht="15.75" customHeight="1">
      <c r="A921" s="85"/>
      <c r="B921" s="65"/>
      <c r="C921" s="85"/>
      <c r="D921" s="65"/>
      <c r="E921" s="65"/>
      <c r="F921" s="65"/>
      <c r="G921" s="6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65"/>
      <c r="W921" s="65"/>
      <c r="X921" s="85"/>
      <c r="Y921" s="85"/>
      <c r="Z921" s="85"/>
      <c r="AA921" s="85"/>
      <c r="AB921" s="85"/>
      <c r="AC921" s="85"/>
      <c r="AD921" s="85"/>
      <c r="AE921" s="85"/>
      <c r="AF921" s="85"/>
      <c r="AG921" s="85"/>
      <c r="AH921" s="91"/>
      <c r="AI921" s="85"/>
      <c r="AJ921" s="85"/>
    </row>
    <row r="922" ht="15.75" customHeight="1">
      <c r="A922" s="85"/>
      <c r="B922" s="65"/>
      <c r="C922" s="85"/>
      <c r="D922" s="65"/>
      <c r="E922" s="65"/>
      <c r="F922" s="65"/>
      <c r="G922" s="6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65"/>
      <c r="W922" s="65"/>
      <c r="X922" s="85"/>
      <c r="Y922" s="85"/>
      <c r="Z922" s="85"/>
      <c r="AA922" s="85"/>
      <c r="AB922" s="85"/>
      <c r="AC922" s="85"/>
      <c r="AD922" s="85"/>
      <c r="AE922" s="85"/>
      <c r="AF922" s="85"/>
      <c r="AG922" s="85"/>
      <c r="AH922" s="91"/>
      <c r="AI922" s="85"/>
      <c r="AJ922" s="85"/>
    </row>
    <row r="923" ht="15.75" customHeight="1">
      <c r="A923" s="85"/>
      <c r="B923" s="65"/>
      <c r="C923" s="85"/>
      <c r="D923" s="65"/>
      <c r="E923" s="65"/>
      <c r="F923" s="65"/>
      <c r="G923" s="6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65"/>
      <c r="W923" s="65"/>
      <c r="X923" s="85"/>
      <c r="Y923" s="85"/>
      <c r="Z923" s="85"/>
      <c r="AA923" s="85"/>
      <c r="AB923" s="85"/>
      <c r="AC923" s="85"/>
      <c r="AD923" s="85"/>
      <c r="AE923" s="85"/>
      <c r="AF923" s="85"/>
      <c r="AG923" s="85"/>
      <c r="AH923" s="91"/>
      <c r="AI923" s="85"/>
      <c r="AJ923" s="85"/>
    </row>
    <row r="924" ht="15.75" customHeight="1">
      <c r="A924" s="85"/>
      <c r="B924" s="65"/>
      <c r="C924" s="85"/>
      <c r="D924" s="65"/>
      <c r="E924" s="65"/>
      <c r="F924" s="65"/>
      <c r="G924" s="6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65"/>
      <c r="W924" s="65"/>
      <c r="X924" s="85"/>
      <c r="Y924" s="85"/>
      <c r="Z924" s="85"/>
      <c r="AA924" s="85"/>
      <c r="AB924" s="85"/>
      <c r="AC924" s="85"/>
      <c r="AD924" s="85"/>
      <c r="AE924" s="85"/>
      <c r="AF924" s="85"/>
      <c r="AG924" s="85"/>
      <c r="AH924" s="91"/>
      <c r="AI924" s="85"/>
      <c r="AJ924" s="85"/>
    </row>
    <row r="925" ht="15.75" customHeight="1">
      <c r="A925" s="85"/>
      <c r="B925" s="65"/>
      <c r="C925" s="85"/>
      <c r="D925" s="65"/>
      <c r="E925" s="65"/>
      <c r="F925" s="65"/>
      <c r="G925" s="6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65"/>
      <c r="W925" s="65"/>
      <c r="X925" s="85"/>
      <c r="Y925" s="85"/>
      <c r="Z925" s="85"/>
      <c r="AA925" s="85"/>
      <c r="AB925" s="85"/>
      <c r="AC925" s="85"/>
      <c r="AD925" s="85"/>
      <c r="AE925" s="85"/>
      <c r="AF925" s="85"/>
      <c r="AG925" s="85"/>
      <c r="AH925" s="91"/>
      <c r="AI925" s="85"/>
      <c r="AJ925" s="85"/>
    </row>
    <row r="926" ht="15.75" customHeight="1">
      <c r="A926" s="85"/>
      <c r="B926" s="65"/>
      <c r="C926" s="85"/>
      <c r="D926" s="65"/>
      <c r="E926" s="65"/>
      <c r="F926" s="65"/>
      <c r="G926" s="6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65"/>
      <c r="W926" s="65"/>
      <c r="X926" s="85"/>
      <c r="Y926" s="85"/>
      <c r="Z926" s="85"/>
      <c r="AA926" s="85"/>
      <c r="AB926" s="85"/>
      <c r="AC926" s="85"/>
      <c r="AD926" s="85"/>
      <c r="AE926" s="85"/>
      <c r="AF926" s="85"/>
      <c r="AG926" s="85"/>
      <c r="AH926" s="91"/>
      <c r="AI926" s="85"/>
      <c r="AJ926" s="85"/>
    </row>
    <row r="927" ht="15.75" customHeight="1">
      <c r="A927" s="85"/>
      <c r="B927" s="65"/>
      <c r="C927" s="85"/>
      <c r="D927" s="65"/>
      <c r="E927" s="65"/>
      <c r="F927" s="65"/>
      <c r="G927" s="6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65"/>
      <c r="W927" s="65"/>
      <c r="X927" s="85"/>
      <c r="Y927" s="85"/>
      <c r="Z927" s="85"/>
      <c r="AA927" s="85"/>
      <c r="AB927" s="85"/>
      <c r="AC927" s="85"/>
      <c r="AD927" s="85"/>
      <c r="AE927" s="85"/>
      <c r="AF927" s="85"/>
      <c r="AG927" s="85"/>
      <c r="AH927" s="91"/>
      <c r="AI927" s="85"/>
      <c r="AJ927" s="85"/>
    </row>
    <row r="928" ht="15.75" customHeight="1">
      <c r="A928" s="85"/>
      <c r="B928" s="65"/>
      <c r="C928" s="85"/>
      <c r="D928" s="65"/>
      <c r="E928" s="65"/>
      <c r="F928" s="65"/>
      <c r="G928" s="6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65"/>
      <c r="W928" s="65"/>
      <c r="X928" s="85"/>
      <c r="Y928" s="85"/>
      <c r="Z928" s="85"/>
      <c r="AA928" s="85"/>
      <c r="AB928" s="85"/>
      <c r="AC928" s="85"/>
      <c r="AD928" s="85"/>
      <c r="AE928" s="85"/>
      <c r="AF928" s="85"/>
      <c r="AG928" s="85"/>
      <c r="AH928" s="91"/>
      <c r="AI928" s="85"/>
      <c r="AJ928" s="85"/>
    </row>
    <row r="929" ht="15.75" customHeight="1">
      <c r="A929" s="85"/>
      <c r="B929" s="65"/>
      <c r="C929" s="85"/>
      <c r="D929" s="65"/>
      <c r="E929" s="65"/>
      <c r="F929" s="65"/>
      <c r="G929" s="6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65"/>
      <c r="W929" s="65"/>
      <c r="X929" s="85"/>
      <c r="Y929" s="85"/>
      <c r="Z929" s="85"/>
      <c r="AA929" s="85"/>
      <c r="AB929" s="85"/>
      <c r="AC929" s="85"/>
      <c r="AD929" s="85"/>
      <c r="AE929" s="85"/>
      <c r="AF929" s="85"/>
      <c r="AG929" s="85"/>
      <c r="AH929" s="91"/>
      <c r="AI929" s="85"/>
      <c r="AJ929" s="85"/>
    </row>
    <row r="930" ht="15.75" customHeight="1">
      <c r="A930" s="85"/>
      <c r="B930" s="65"/>
      <c r="C930" s="85"/>
      <c r="D930" s="65"/>
      <c r="E930" s="65"/>
      <c r="F930" s="65"/>
      <c r="G930" s="6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65"/>
      <c r="W930" s="65"/>
      <c r="X930" s="85"/>
      <c r="Y930" s="85"/>
      <c r="Z930" s="85"/>
      <c r="AA930" s="85"/>
      <c r="AB930" s="85"/>
      <c r="AC930" s="85"/>
      <c r="AD930" s="85"/>
      <c r="AE930" s="85"/>
      <c r="AF930" s="85"/>
      <c r="AG930" s="85"/>
      <c r="AH930" s="91"/>
      <c r="AI930" s="85"/>
      <c r="AJ930" s="85"/>
    </row>
    <row r="931" ht="15.75" customHeight="1">
      <c r="A931" s="85"/>
      <c r="B931" s="65"/>
      <c r="C931" s="85"/>
      <c r="D931" s="65"/>
      <c r="E931" s="65"/>
      <c r="F931" s="65"/>
      <c r="G931" s="6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65"/>
      <c r="W931" s="65"/>
      <c r="X931" s="85"/>
      <c r="Y931" s="85"/>
      <c r="Z931" s="85"/>
      <c r="AA931" s="85"/>
      <c r="AB931" s="85"/>
      <c r="AC931" s="85"/>
      <c r="AD931" s="85"/>
      <c r="AE931" s="85"/>
      <c r="AF931" s="85"/>
      <c r="AG931" s="85"/>
      <c r="AH931" s="91"/>
      <c r="AI931" s="85"/>
      <c r="AJ931" s="85"/>
    </row>
    <row r="932" ht="15.75" customHeight="1">
      <c r="A932" s="85"/>
      <c r="B932" s="65"/>
      <c r="C932" s="85"/>
      <c r="D932" s="65"/>
      <c r="E932" s="65"/>
      <c r="F932" s="65"/>
      <c r="G932" s="6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65"/>
      <c r="W932" s="65"/>
      <c r="X932" s="85"/>
      <c r="Y932" s="85"/>
      <c r="Z932" s="85"/>
      <c r="AA932" s="85"/>
      <c r="AB932" s="85"/>
      <c r="AC932" s="85"/>
      <c r="AD932" s="85"/>
      <c r="AE932" s="85"/>
      <c r="AF932" s="85"/>
      <c r="AG932" s="85"/>
      <c r="AH932" s="91"/>
      <c r="AI932" s="85"/>
      <c r="AJ932" s="85"/>
    </row>
    <row r="933" ht="15.75" customHeight="1">
      <c r="A933" s="85"/>
      <c r="B933" s="65"/>
      <c r="C933" s="85"/>
      <c r="D933" s="65"/>
      <c r="E933" s="65"/>
      <c r="F933" s="65"/>
      <c r="G933" s="6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65"/>
      <c r="W933" s="65"/>
      <c r="X933" s="85"/>
      <c r="Y933" s="85"/>
      <c r="Z933" s="85"/>
      <c r="AA933" s="85"/>
      <c r="AB933" s="85"/>
      <c r="AC933" s="85"/>
      <c r="AD933" s="85"/>
      <c r="AE933" s="85"/>
      <c r="AF933" s="85"/>
      <c r="AG933" s="85"/>
      <c r="AH933" s="91"/>
      <c r="AI933" s="85"/>
      <c r="AJ933" s="85"/>
    </row>
    <row r="934" ht="15.75" customHeight="1">
      <c r="A934" s="85"/>
      <c r="B934" s="65"/>
      <c r="C934" s="85"/>
      <c r="D934" s="65"/>
      <c r="E934" s="65"/>
      <c r="F934" s="65"/>
      <c r="G934" s="6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65"/>
      <c r="W934" s="65"/>
      <c r="X934" s="85"/>
      <c r="Y934" s="85"/>
      <c r="Z934" s="85"/>
      <c r="AA934" s="85"/>
      <c r="AB934" s="85"/>
      <c r="AC934" s="85"/>
      <c r="AD934" s="85"/>
      <c r="AE934" s="85"/>
      <c r="AF934" s="85"/>
      <c r="AG934" s="85"/>
      <c r="AH934" s="91"/>
      <c r="AI934" s="85"/>
      <c r="AJ934" s="85"/>
    </row>
    <row r="935" ht="15.75" customHeight="1">
      <c r="A935" s="85"/>
      <c r="B935" s="65"/>
      <c r="C935" s="85"/>
      <c r="D935" s="65"/>
      <c r="E935" s="65"/>
      <c r="F935" s="65"/>
      <c r="G935" s="6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65"/>
      <c r="W935" s="65"/>
      <c r="X935" s="85"/>
      <c r="Y935" s="85"/>
      <c r="Z935" s="85"/>
      <c r="AA935" s="85"/>
      <c r="AB935" s="85"/>
      <c r="AC935" s="85"/>
      <c r="AD935" s="85"/>
      <c r="AE935" s="85"/>
      <c r="AF935" s="85"/>
      <c r="AG935" s="85"/>
      <c r="AH935" s="91"/>
      <c r="AI935" s="85"/>
      <c r="AJ935" s="85"/>
    </row>
    <row r="936" ht="15.75" customHeight="1">
      <c r="A936" s="85"/>
      <c r="B936" s="65"/>
      <c r="C936" s="85"/>
      <c r="D936" s="65"/>
      <c r="E936" s="65"/>
      <c r="F936" s="65"/>
      <c r="G936" s="6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65"/>
      <c r="W936" s="65"/>
      <c r="X936" s="85"/>
      <c r="Y936" s="85"/>
      <c r="Z936" s="85"/>
      <c r="AA936" s="85"/>
      <c r="AB936" s="85"/>
      <c r="AC936" s="85"/>
      <c r="AD936" s="85"/>
      <c r="AE936" s="85"/>
      <c r="AF936" s="85"/>
      <c r="AG936" s="85"/>
      <c r="AH936" s="91"/>
      <c r="AI936" s="85"/>
      <c r="AJ936" s="85"/>
    </row>
    <row r="937" ht="15.75" customHeight="1">
      <c r="A937" s="85"/>
      <c r="B937" s="65"/>
      <c r="C937" s="85"/>
      <c r="D937" s="65"/>
      <c r="E937" s="65"/>
      <c r="F937" s="65"/>
      <c r="G937" s="6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65"/>
      <c r="W937" s="65"/>
      <c r="X937" s="85"/>
      <c r="Y937" s="85"/>
      <c r="Z937" s="85"/>
      <c r="AA937" s="85"/>
      <c r="AB937" s="85"/>
      <c r="AC937" s="85"/>
      <c r="AD937" s="85"/>
      <c r="AE937" s="85"/>
      <c r="AF937" s="85"/>
      <c r="AG937" s="85"/>
      <c r="AH937" s="91"/>
      <c r="AI937" s="85"/>
      <c r="AJ937" s="85"/>
    </row>
    <row r="938" ht="15.75" customHeight="1">
      <c r="A938" s="85"/>
      <c r="B938" s="65"/>
      <c r="C938" s="85"/>
      <c r="D938" s="65"/>
      <c r="E938" s="65"/>
      <c r="F938" s="65"/>
      <c r="G938" s="6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65"/>
      <c r="W938" s="65"/>
      <c r="X938" s="85"/>
      <c r="Y938" s="85"/>
      <c r="Z938" s="85"/>
      <c r="AA938" s="85"/>
      <c r="AB938" s="85"/>
      <c r="AC938" s="85"/>
      <c r="AD938" s="85"/>
      <c r="AE938" s="85"/>
      <c r="AF938" s="85"/>
      <c r="AG938" s="85"/>
      <c r="AH938" s="91"/>
      <c r="AI938" s="85"/>
      <c r="AJ938" s="85"/>
    </row>
    <row r="939" ht="15.75" customHeight="1">
      <c r="A939" s="85"/>
      <c r="B939" s="65"/>
      <c r="C939" s="85"/>
      <c r="D939" s="65"/>
      <c r="E939" s="65"/>
      <c r="F939" s="65"/>
      <c r="G939" s="6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65"/>
      <c r="W939" s="65"/>
      <c r="X939" s="85"/>
      <c r="Y939" s="85"/>
      <c r="Z939" s="85"/>
      <c r="AA939" s="85"/>
      <c r="AB939" s="85"/>
      <c r="AC939" s="85"/>
      <c r="AD939" s="85"/>
      <c r="AE939" s="85"/>
      <c r="AF939" s="85"/>
      <c r="AG939" s="85"/>
      <c r="AH939" s="91"/>
      <c r="AI939" s="85"/>
      <c r="AJ939" s="85"/>
    </row>
    <row r="940" ht="15.75" customHeight="1">
      <c r="A940" s="85"/>
      <c r="B940" s="65"/>
      <c r="C940" s="85"/>
      <c r="D940" s="65"/>
      <c r="E940" s="65"/>
      <c r="F940" s="65"/>
      <c r="G940" s="6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65"/>
      <c r="W940" s="65"/>
      <c r="X940" s="85"/>
      <c r="Y940" s="85"/>
      <c r="Z940" s="85"/>
      <c r="AA940" s="85"/>
      <c r="AB940" s="85"/>
      <c r="AC940" s="85"/>
      <c r="AD940" s="85"/>
      <c r="AE940" s="85"/>
      <c r="AF940" s="85"/>
      <c r="AG940" s="85"/>
      <c r="AH940" s="91"/>
      <c r="AI940" s="85"/>
      <c r="AJ940" s="85"/>
    </row>
    <row r="941" ht="15.75" customHeight="1">
      <c r="A941" s="85"/>
      <c r="B941" s="65"/>
      <c r="C941" s="85"/>
      <c r="D941" s="65"/>
      <c r="E941" s="65"/>
      <c r="F941" s="65"/>
      <c r="G941" s="6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65"/>
      <c r="W941" s="65"/>
      <c r="X941" s="85"/>
      <c r="Y941" s="85"/>
      <c r="Z941" s="85"/>
      <c r="AA941" s="85"/>
      <c r="AB941" s="85"/>
      <c r="AC941" s="85"/>
      <c r="AD941" s="85"/>
      <c r="AE941" s="85"/>
      <c r="AF941" s="85"/>
      <c r="AG941" s="85"/>
      <c r="AH941" s="91"/>
      <c r="AI941" s="85"/>
      <c r="AJ941" s="85"/>
    </row>
    <row r="942" ht="15.75" customHeight="1">
      <c r="A942" s="85"/>
      <c r="B942" s="65"/>
      <c r="C942" s="85"/>
      <c r="D942" s="65"/>
      <c r="E942" s="65"/>
      <c r="F942" s="65"/>
      <c r="G942" s="6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65"/>
      <c r="W942" s="65"/>
      <c r="X942" s="85"/>
      <c r="Y942" s="85"/>
      <c r="Z942" s="85"/>
      <c r="AA942" s="85"/>
      <c r="AB942" s="85"/>
      <c r="AC942" s="85"/>
      <c r="AD942" s="85"/>
      <c r="AE942" s="85"/>
      <c r="AF942" s="85"/>
      <c r="AG942" s="85"/>
      <c r="AH942" s="91"/>
      <c r="AI942" s="85"/>
      <c r="AJ942" s="85"/>
    </row>
    <row r="943" ht="15.75" customHeight="1">
      <c r="A943" s="85"/>
      <c r="B943" s="65"/>
      <c r="C943" s="85"/>
      <c r="D943" s="65"/>
      <c r="E943" s="65"/>
      <c r="F943" s="65"/>
      <c r="G943" s="6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65"/>
      <c r="W943" s="65"/>
      <c r="X943" s="85"/>
      <c r="Y943" s="85"/>
      <c r="Z943" s="85"/>
      <c r="AA943" s="85"/>
      <c r="AB943" s="85"/>
      <c r="AC943" s="85"/>
      <c r="AD943" s="85"/>
      <c r="AE943" s="85"/>
      <c r="AF943" s="85"/>
      <c r="AG943" s="85"/>
      <c r="AH943" s="91"/>
      <c r="AI943" s="85"/>
      <c r="AJ943" s="85"/>
    </row>
    <row r="944" ht="15.75" customHeight="1">
      <c r="A944" s="85"/>
      <c r="B944" s="65"/>
      <c r="C944" s="85"/>
      <c r="D944" s="65"/>
      <c r="E944" s="65"/>
      <c r="F944" s="65"/>
      <c r="G944" s="6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65"/>
      <c r="W944" s="65"/>
      <c r="X944" s="85"/>
      <c r="Y944" s="85"/>
      <c r="Z944" s="85"/>
      <c r="AA944" s="85"/>
      <c r="AB944" s="85"/>
      <c r="AC944" s="85"/>
      <c r="AD944" s="85"/>
      <c r="AE944" s="85"/>
      <c r="AF944" s="85"/>
      <c r="AG944" s="85"/>
      <c r="AH944" s="91"/>
      <c r="AI944" s="85"/>
      <c r="AJ944" s="85"/>
    </row>
    <row r="945" ht="15.75" customHeight="1">
      <c r="A945" s="85"/>
      <c r="B945" s="65"/>
      <c r="C945" s="85"/>
      <c r="D945" s="65"/>
      <c r="E945" s="65"/>
      <c r="F945" s="65"/>
      <c r="G945" s="6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65"/>
      <c r="W945" s="65"/>
      <c r="X945" s="85"/>
      <c r="Y945" s="85"/>
      <c r="Z945" s="85"/>
      <c r="AA945" s="85"/>
      <c r="AB945" s="85"/>
      <c r="AC945" s="85"/>
      <c r="AD945" s="85"/>
      <c r="AE945" s="85"/>
      <c r="AF945" s="85"/>
      <c r="AG945" s="85"/>
      <c r="AH945" s="91"/>
      <c r="AI945" s="85"/>
      <c r="AJ945" s="85"/>
    </row>
    <row r="946" ht="15.75" customHeight="1">
      <c r="A946" s="85"/>
      <c r="B946" s="65"/>
      <c r="C946" s="85"/>
      <c r="D946" s="65"/>
      <c r="E946" s="65"/>
      <c r="F946" s="65"/>
      <c r="G946" s="6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65"/>
      <c r="W946" s="65"/>
      <c r="X946" s="85"/>
      <c r="Y946" s="85"/>
      <c r="Z946" s="85"/>
      <c r="AA946" s="85"/>
      <c r="AB946" s="85"/>
      <c r="AC946" s="85"/>
      <c r="AD946" s="85"/>
      <c r="AE946" s="85"/>
      <c r="AF946" s="85"/>
      <c r="AG946" s="85"/>
      <c r="AH946" s="91"/>
      <c r="AI946" s="85"/>
      <c r="AJ946" s="85"/>
    </row>
    <row r="947" ht="15.75" customHeight="1">
      <c r="A947" s="85"/>
      <c r="B947" s="65"/>
      <c r="C947" s="85"/>
      <c r="D947" s="65"/>
      <c r="E947" s="65"/>
      <c r="F947" s="65"/>
      <c r="G947" s="6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65"/>
      <c r="W947" s="65"/>
      <c r="X947" s="85"/>
      <c r="Y947" s="85"/>
      <c r="Z947" s="85"/>
      <c r="AA947" s="85"/>
      <c r="AB947" s="85"/>
      <c r="AC947" s="85"/>
      <c r="AD947" s="85"/>
      <c r="AE947" s="85"/>
      <c r="AF947" s="85"/>
      <c r="AG947" s="85"/>
      <c r="AH947" s="91"/>
      <c r="AI947" s="85"/>
      <c r="AJ947" s="85"/>
    </row>
    <row r="948" ht="15.75" customHeight="1">
      <c r="A948" s="85"/>
      <c r="B948" s="65"/>
      <c r="C948" s="85"/>
      <c r="D948" s="65"/>
      <c r="E948" s="65"/>
      <c r="F948" s="65"/>
      <c r="G948" s="6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65"/>
      <c r="W948" s="65"/>
      <c r="X948" s="85"/>
      <c r="Y948" s="85"/>
      <c r="Z948" s="85"/>
      <c r="AA948" s="85"/>
      <c r="AB948" s="85"/>
      <c r="AC948" s="85"/>
      <c r="AD948" s="85"/>
      <c r="AE948" s="85"/>
      <c r="AF948" s="85"/>
      <c r="AG948" s="85"/>
      <c r="AH948" s="91"/>
      <c r="AI948" s="85"/>
      <c r="AJ948" s="85"/>
    </row>
    <row r="949" ht="15.75" customHeight="1">
      <c r="A949" s="85"/>
      <c r="B949" s="65"/>
      <c r="C949" s="85"/>
      <c r="D949" s="65"/>
      <c r="E949" s="65"/>
      <c r="F949" s="65"/>
      <c r="G949" s="6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65"/>
      <c r="W949" s="65"/>
      <c r="X949" s="85"/>
      <c r="Y949" s="85"/>
      <c r="Z949" s="85"/>
      <c r="AA949" s="85"/>
      <c r="AB949" s="85"/>
      <c r="AC949" s="85"/>
      <c r="AD949" s="85"/>
      <c r="AE949" s="85"/>
      <c r="AF949" s="85"/>
      <c r="AG949" s="85"/>
      <c r="AH949" s="91"/>
      <c r="AI949" s="85"/>
      <c r="AJ949" s="85"/>
    </row>
    <row r="950" ht="15.75" customHeight="1">
      <c r="A950" s="85"/>
      <c r="B950" s="65"/>
      <c r="C950" s="85"/>
      <c r="D950" s="65"/>
      <c r="E950" s="65"/>
      <c r="F950" s="65"/>
      <c r="G950" s="6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65"/>
      <c r="W950" s="65"/>
      <c r="X950" s="85"/>
      <c r="Y950" s="85"/>
      <c r="Z950" s="85"/>
      <c r="AA950" s="85"/>
      <c r="AB950" s="85"/>
      <c r="AC950" s="85"/>
      <c r="AD950" s="85"/>
      <c r="AE950" s="85"/>
      <c r="AF950" s="85"/>
      <c r="AG950" s="85"/>
      <c r="AH950" s="91"/>
      <c r="AI950" s="85"/>
      <c r="AJ950" s="85"/>
    </row>
    <row r="951" ht="15.75" customHeight="1">
      <c r="A951" s="85"/>
      <c r="B951" s="65"/>
      <c r="C951" s="85"/>
      <c r="D951" s="65"/>
      <c r="E951" s="65"/>
      <c r="F951" s="65"/>
      <c r="G951" s="6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65"/>
      <c r="W951" s="65"/>
      <c r="X951" s="85"/>
      <c r="Y951" s="85"/>
      <c r="Z951" s="85"/>
      <c r="AA951" s="85"/>
      <c r="AB951" s="85"/>
      <c r="AC951" s="85"/>
      <c r="AD951" s="85"/>
      <c r="AE951" s="85"/>
      <c r="AF951" s="85"/>
      <c r="AG951" s="85"/>
      <c r="AH951" s="91"/>
      <c r="AI951" s="85"/>
      <c r="AJ951" s="85"/>
    </row>
    <row r="952" ht="15.75" customHeight="1">
      <c r="A952" s="85"/>
      <c r="B952" s="65"/>
      <c r="C952" s="85"/>
      <c r="D952" s="65"/>
      <c r="E952" s="65"/>
      <c r="F952" s="65"/>
      <c r="G952" s="6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65"/>
      <c r="W952" s="65"/>
      <c r="X952" s="85"/>
      <c r="Y952" s="85"/>
      <c r="Z952" s="85"/>
      <c r="AA952" s="85"/>
      <c r="AB952" s="85"/>
      <c r="AC952" s="85"/>
      <c r="AD952" s="85"/>
      <c r="AE952" s="85"/>
      <c r="AF952" s="85"/>
      <c r="AG952" s="85"/>
      <c r="AH952" s="91"/>
      <c r="AI952" s="85"/>
      <c r="AJ952" s="85"/>
    </row>
    <row r="953" ht="15.75" customHeight="1">
      <c r="A953" s="85"/>
      <c r="B953" s="65"/>
      <c r="C953" s="85"/>
      <c r="D953" s="65"/>
      <c r="E953" s="65"/>
      <c r="F953" s="65"/>
      <c r="G953" s="6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65"/>
      <c r="W953" s="6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91"/>
      <c r="AI953" s="85"/>
      <c r="AJ953" s="85"/>
    </row>
    <row r="954" ht="15.75" customHeight="1">
      <c r="A954" s="85"/>
      <c r="B954" s="65"/>
      <c r="C954" s="85"/>
      <c r="D954" s="65"/>
      <c r="E954" s="65"/>
      <c r="F954" s="65"/>
      <c r="G954" s="6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65"/>
      <c r="W954" s="65"/>
      <c r="X954" s="85"/>
      <c r="Y954" s="85"/>
      <c r="Z954" s="85"/>
      <c r="AA954" s="85"/>
      <c r="AB954" s="85"/>
      <c r="AC954" s="85"/>
      <c r="AD954" s="85"/>
      <c r="AE954" s="85"/>
      <c r="AF954" s="85"/>
      <c r="AG954" s="85"/>
      <c r="AH954" s="91"/>
      <c r="AI954" s="85"/>
      <c r="AJ954" s="85"/>
    </row>
    <row r="955" ht="15.75" customHeight="1">
      <c r="A955" s="85"/>
      <c r="B955" s="65"/>
      <c r="C955" s="85"/>
      <c r="D955" s="65"/>
      <c r="E955" s="65"/>
      <c r="F955" s="65"/>
      <c r="G955" s="6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65"/>
      <c r="W955" s="65"/>
      <c r="X955" s="85"/>
      <c r="Y955" s="85"/>
      <c r="Z955" s="85"/>
      <c r="AA955" s="85"/>
      <c r="AB955" s="85"/>
      <c r="AC955" s="85"/>
      <c r="AD955" s="85"/>
      <c r="AE955" s="85"/>
      <c r="AF955" s="85"/>
      <c r="AG955" s="85"/>
      <c r="AH955" s="91"/>
      <c r="AI955" s="85"/>
      <c r="AJ955" s="85"/>
    </row>
    <row r="956" ht="15.75" customHeight="1">
      <c r="A956" s="85"/>
      <c r="B956" s="65"/>
      <c r="C956" s="85"/>
      <c r="D956" s="65"/>
      <c r="E956" s="65"/>
      <c r="F956" s="65"/>
      <c r="G956" s="6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65"/>
      <c r="W956" s="65"/>
      <c r="X956" s="85"/>
      <c r="Y956" s="85"/>
      <c r="Z956" s="85"/>
      <c r="AA956" s="85"/>
      <c r="AB956" s="85"/>
      <c r="AC956" s="85"/>
      <c r="AD956" s="85"/>
      <c r="AE956" s="85"/>
      <c r="AF956" s="85"/>
      <c r="AG956" s="85"/>
      <c r="AH956" s="91"/>
      <c r="AI956" s="85"/>
      <c r="AJ956" s="85"/>
    </row>
    <row r="957" ht="15.75" customHeight="1">
      <c r="A957" s="85"/>
      <c r="B957" s="65"/>
      <c r="C957" s="85"/>
      <c r="D957" s="65"/>
      <c r="E957" s="65"/>
      <c r="F957" s="65"/>
      <c r="G957" s="6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65"/>
      <c r="W957" s="65"/>
      <c r="X957" s="85"/>
      <c r="Y957" s="85"/>
      <c r="Z957" s="85"/>
      <c r="AA957" s="85"/>
      <c r="AB957" s="85"/>
      <c r="AC957" s="85"/>
      <c r="AD957" s="85"/>
      <c r="AE957" s="85"/>
      <c r="AF957" s="85"/>
      <c r="AG957" s="85"/>
      <c r="AH957" s="91"/>
      <c r="AI957" s="85"/>
      <c r="AJ957" s="85"/>
    </row>
    <row r="958" ht="15.75" customHeight="1">
      <c r="A958" s="85"/>
      <c r="B958" s="65"/>
      <c r="C958" s="85"/>
      <c r="D958" s="65"/>
      <c r="E958" s="65"/>
      <c r="F958" s="65"/>
      <c r="G958" s="6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65"/>
      <c r="W958" s="65"/>
      <c r="X958" s="85"/>
      <c r="Y958" s="85"/>
      <c r="Z958" s="85"/>
      <c r="AA958" s="85"/>
      <c r="AB958" s="85"/>
      <c r="AC958" s="85"/>
      <c r="AD958" s="85"/>
      <c r="AE958" s="85"/>
      <c r="AF958" s="85"/>
      <c r="AG958" s="85"/>
      <c r="AH958" s="91"/>
      <c r="AI958" s="85"/>
      <c r="AJ958" s="85"/>
    </row>
    <row r="959" ht="15.75" customHeight="1">
      <c r="A959" s="85"/>
      <c r="B959" s="65"/>
      <c r="C959" s="85"/>
      <c r="D959" s="65"/>
      <c r="E959" s="65"/>
      <c r="F959" s="65"/>
      <c r="G959" s="6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65"/>
      <c r="W959" s="65"/>
      <c r="X959" s="85"/>
      <c r="Y959" s="85"/>
      <c r="Z959" s="85"/>
      <c r="AA959" s="85"/>
      <c r="AB959" s="85"/>
      <c r="AC959" s="85"/>
      <c r="AD959" s="85"/>
      <c r="AE959" s="85"/>
      <c r="AF959" s="85"/>
      <c r="AG959" s="85"/>
      <c r="AH959" s="91"/>
      <c r="AI959" s="85"/>
      <c r="AJ959" s="85"/>
    </row>
    <row r="960" ht="15.75" customHeight="1">
      <c r="A960" s="85"/>
      <c r="B960" s="65"/>
      <c r="C960" s="85"/>
      <c r="D960" s="65"/>
      <c r="E960" s="65"/>
      <c r="F960" s="65"/>
      <c r="G960" s="6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65"/>
      <c r="W960" s="65"/>
      <c r="X960" s="85"/>
      <c r="Y960" s="85"/>
      <c r="Z960" s="85"/>
      <c r="AA960" s="85"/>
      <c r="AB960" s="85"/>
      <c r="AC960" s="85"/>
      <c r="AD960" s="85"/>
      <c r="AE960" s="85"/>
      <c r="AF960" s="85"/>
      <c r="AG960" s="85"/>
      <c r="AH960" s="91"/>
      <c r="AI960" s="85"/>
      <c r="AJ960" s="85"/>
    </row>
    <row r="961" ht="15.75" customHeight="1">
      <c r="A961" s="85"/>
      <c r="B961" s="65"/>
      <c r="C961" s="85"/>
      <c r="D961" s="65"/>
      <c r="E961" s="65"/>
      <c r="F961" s="65"/>
      <c r="G961" s="6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65"/>
      <c r="W961" s="65"/>
      <c r="X961" s="85"/>
      <c r="Y961" s="85"/>
      <c r="Z961" s="85"/>
      <c r="AA961" s="85"/>
      <c r="AB961" s="85"/>
      <c r="AC961" s="85"/>
      <c r="AD961" s="85"/>
      <c r="AE961" s="85"/>
      <c r="AF961" s="85"/>
      <c r="AG961" s="85"/>
      <c r="AH961" s="91"/>
      <c r="AI961" s="85"/>
      <c r="AJ961" s="85"/>
    </row>
    <row r="962" ht="15.75" customHeight="1">
      <c r="A962" s="85"/>
      <c r="B962" s="65"/>
      <c r="C962" s="85"/>
      <c r="D962" s="65"/>
      <c r="E962" s="65"/>
      <c r="F962" s="65"/>
      <c r="G962" s="6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65"/>
      <c r="W962" s="65"/>
      <c r="X962" s="85"/>
      <c r="Y962" s="85"/>
      <c r="Z962" s="85"/>
      <c r="AA962" s="85"/>
      <c r="AB962" s="85"/>
      <c r="AC962" s="85"/>
      <c r="AD962" s="85"/>
      <c r="AE962" s="85"/>
      <c r="AF962" s="85"/>
      <c r="AG962" s="85"/>
      <c r="AH962" s="91"/>
      <c r="AI962" s="85"/>
      <c r="AJ962" s="85"/>
    </row>
    <row r="963" ht="15.75" customHeight="1">
      <c r="A963" s="85"/>
      <c r="B963" s="65"/>
      <c r="C963" s="85"/>
      <c r="D963" s="65"/>
      <c r="E963" s="65"/>
      <c r="F963" s="65"/>
      <c r="G963" s="6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65"/>
      <c r="W963" s="65"/>
      <c r="X963" s="85"/>
      <c r="Y963" s="85"/>
      <c r="Z963" s="85"/>
      <c r="AA963" s="85"/>
      <c r="AB963" s="85"/>
      <c r="AC963" s="85"/>
      <c r="AD963" s="85"/>
      <c r="AE963" s="85"/>
      <c r="AF963" s="85"/>
      <c r="AG963" s="85"/>
      <c r="AH963" s="91"/>
      <c r="AI963" s="85"/>
      <c r="AJ963" s="85"/>
    </row>
    <row r="964" ht="15.75" customHeight="1">
      <c r="A964" s="85"/>
      <c r="B964" s="65"/>
      <c r="C964" s="85"/>
      <c r="D964" s="65"/>
      <c r="E964" s="65"/>
      <c r="F964" s="65"/>
      <c r="G964" s="6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65"/>
      <c r="W964" s="65"/>
      <c r="X964" s="85"/>
      <c r="Y964" s="85"/>
      <c r="Z964" s="85"/>
      <c r="AA964" s="85"/>
      <c r="AB964" s="85"/>
      <c r="AC964" s="85"/>
      <c r="AD964" s="85"/>
      <c r="AE964" s="85"/>
      <c r="AF964" s="85"/>
      <c r="AG964" s="85"/>
      <c r="AH964" s="91"/>
      <c r="AI964" s="85"/>
      <c r="AJ964" s="85"/>
    </row>
    <row r="965" ht="15.75" customHeight="1">
      <c r="A965" s="85"/>
      <c r="B965" s="65"/>
      <c r="C965" s="85"/>
      <c r="D965" s="65"/>
      <c r="E965" s="65"/>
      <c r="F965" s="65"/>
      <c r="G965" s="6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65"/>
      <c r="W965" s="65"/>
      <c r="X965" s="85"/>
      <c r="Y965" s="85"/>
      <c r="Z965" s="85"/>
      <c r="AA965" s="85"/>
      <c r="AB965" s="85"/>
      <c r="AC965" s="85"/>
      <c r="AD965" s="85"/>
      <c r="AE965" s="85"/>
      <c r="AF965" s="85"/>
      <c r="AG965" s="85"/>
      <c r="AH965" s="91"/>
      <c r="AI965" s="85"/>
      <c r="AJ965" s="85"/>
    </row>
    <row r="966" ht="15.75" customHeight="1">
      <c r="A966" s="85"/>
      <c r="B966" s="65"/>
      <c r="C966" s="85"/>
      <c r="D966" s="65"/>
      <c r="E966" s="65"/>
      <c r="F966" s="65"/>
      <c r="G966" s="6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65"/>
      <c r="W966" s="65"/>
      <c r="X966" s="85"/>
      <c r="Y966" s="85"/>
      <c r="Z966" s="85"/>
      <c r="AA966" s="85"/>
      <c r="AB966" s="85"/>
      <c r="AC966" s="85"/>
      <c r="AD966" s="85"/>
      <c r="AE966" s="85"/>
      <c r="AF966" s="85"/>
      <c r="AG966" s="85"/>
      <c r="AH966" s="91"/>
      <c r="AI966" s="85"/>
      <c r="AJ966" s="85"/>
    </row>
    <row r="967" ht="15.75" customHeight="1">
      <c r="A967" s="85"/>
      <c r="B967" s="65"/>
      <c r="C967" s="85"/>
      <c r="D967" s="65"/>
      <c r="E967" s="65"/>
      <c r="F967" s="65"/>
      <c r="G967" s="6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65"/>
      <c r="W967" s="65"/>
      <c r="X967" s="85"/>
      <c r="Y967" s="85"/>
      <c r="Z967" s="85"/>
      <c r="AA967" s="85"/>
      <c r="AB967" s="85"/>
      <c r="AC967" s="85"/>
      <c r="AD967" s="85"/>
      <c r="AE967" s="85"/>
      <c r="AF967" s="85"/>
      <c r="AG967" s="85"/>
      <c r="AH967" s="91"/>
      <c r="AI967" s="85"/>
      <c r="AJ967" s="85"/>
    </row>
    <row r="968" ht="15.75" customHeight="1">
      <c r="A968" s="85"/>
      <c r="B968" s="65"/>
      <c r="C968" s="85"/>
      <c r="D968" s="65"/>
      <c r="E968" s="65"/>
      <c r="F968" s="65"/>
      <c r="G968" s="6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65"/>
      <c r="W968" s="65"/>
      <c r="X968" s="85"/>
      <c r="Y968" s="85"/>
      <c r="Z968" s="85"/>
      <c r="AA968" s="85"/>
      <c r="AB968" s="85"/>
      <c r="AC968" s="85"/>
      <c r="AD968" s="85"/>
      <c r="AE968" s="85"/>
      <c r="AF968" s="85"/>
      <c r="AG968" s="85"/>
      <c r="AH968" s="91"/>
      <c r="AI968" s="85"/>
      <c r="AJ968" s="85"/>
    </row>
    <row r="969" ht="15.75" customHeight="1">
      <c r="A969" s="85"/>
      <c r="B969" s="65"/>
      <c r="C969" s="85"/>
      <c r="D969" s="65"/>
      <c r="E969" s="65"/>
      <c r="F969" s="65"/>
      <c r="G969" s="6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65"/>
      <c r="W969" s="65"/>
      <c r="X969" s="85"/>
      <c r="Y969" s="85"/>
      <c r="Z969" s="85"/>
      <c r="AA969" s="85"/>
      <c r="AB969" s="85"/>
      <c r="AC969" s="85"/>
      <c r="AD969" s="85"/>
      <c r="AE969" s="85"/>
      <c r="AF969" s="85"/>
      <c r="AG969" s="85"/>
      <c r="AH969" s="91"/>
      <c r="AI969" s="85"/>
      <c r="AJ969" s="85"/>
    </row>
    <row r="970" ht="15.75" customHeight="1">
      <c r="A970" s="85"/>
      <c r="B970" s="65"/>
      <c r="C970" s="85"/>
      <c r="D970" s="65"/>
      <c r="E970" s="65"/>
      <c r="F970" s="65"/>
      <c r="G970" s="6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65"/>
      <c r="W970" s="65"/>
      <c r="X970" s="85"/>
      <c r="Y970" s="85"/>
      <c r="Z970" s="85"/>
      <c r="AA970" s="85"/>
      <c r="AB970" s="85"/>
      <c r="AC970" s="85"/>
      <c r="AD970" s="85"/>
      <c r="AE970" s="85"/>
      <c r="AF970" s="85"/>
      <c r="AG970" s="85"/>
      <c r="AH970" s="91"/>
      <c r="AI970" s="85"/>
      <c r="AJ970" s="85"/>
    </row>
    <row r="971" ht="15.75" customHeight="1">
      <c r="A971" s="85"/>
      <c r="B971" s="65"/>
      <c r="C971" s="85"/>
      <c r="D971" s="65"/>
      <c r="E971" s="65"/>
      <c r="F971" s="65"/>
      <c r="G971" s="6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65"/>
      <c r="W971" s="65"/>
      <c r="X971" s="85"/>
      <c r="Y971" s="85"/>
      <c r="Z971" s="85"/>
      <c r="AA971" s="85"/>
      <c r="AB971" s="85"/>
      <c r="AC971" s="85"/>
      <c r="AD971" s="85"/>
      <c r="AE971" s="85"/>
      <c r="AF971" s="85"/>
      <c r="AG971" s="85"/>
      <c r="AH971" s="91"/>
      <c r="AI971" s="85"/>
      <c r="AJ971" s="85"/>
    </row>
    <row r="972" ht="15.75" customHeight="1">
      <c r="A972" s="85"/>
      <c r="B972" s="65"/>
      <c r="C972" s="85"/>
      <c r="D972" s="65"/>
      <c r="E972" s="65"/>
      <c r="F972" s="65"/>
      <c r="G972" s="6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65"/>
      <c r="W972" s="65"/>
      <c r="X972" s="85"/>
      <c r="Y972" s="85"/>
      <c r="Z972" s="85"/>
      <c r="AA972" s="85"/>
      <c r="AB972" s="85"/>
      <c r="AC972" s="85"/>
      <c r="AD972" s="85"/>
      <c r="AE972" s="85"/>
      <c r="AF972" s="85"/>
      <c r="AG972" s="85"/>
      <c r="AH972" s="91"/>
      <c r="AI972" s="85"/>
      <c r="AJ972" s="85"/>
    </row>
    <row r="973" ht="15.75" customHeight="1">
      <c r="A973" s="85"/>
      <c r="B973" s="65"/>
      <c r="C973" s="85"/>
      <c r="D973" s="65"/>
      <c r="E973" s="65"/>
      <c r="F973" s="65"/>
      <c r="G973" s="6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65"/>
      <c r="W973" s="65"/>
      <c r="X973" s="85"/>
      <c r="Y973" s="85"/>
      <c r="Z973" s="85"/>
      <c r="AA973" s="85"/>
      <c r="AB973" s="85"/>
      <c r="AC973" s="85"/>
      <c r="AD973" s="85"/>
      <c r="AE973" s="85"/>
      <c r="AF973" s="85"/>
      <c r="AG973" s="85"/>
      <c r="AH973" s="91"/>
      <c r="AI973" s="85"/>
      <c r="AJ973" s="85"/>
    </row>
    <row r="974" ht="15.75" customHeight="1">
      <c r="A974" s="85"/>
      <c r="B974" s="65"/>
      <c r="C974" s="85"/>
      <c r="D974" s="65"/>
      <c r="E974" s="65"/>
      <c r="F974" s="65"/>
      <c r="G974" s="6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65"/>
      <c r="W974" s="65"/>
      <c r="X974" s="85"/>
      <c r="Y974" s="85"/>
      <c r="Z974" s="85"/>
      <c r="AA974" s="85"/>
      <c r="AB974" s="85"/>
      <c r="AC974" s="85"/>
      <c r="AD974" s="85"/>
      <c r="AE974" s="85"/>
      <c r="AF974" s="85"/>
      <c r="AG974" s="85"/>
      <c r="AH974" s="91"/>
      <c r="AI974" s="85"/>
      <c r="AJ974" s="85"/>
    </row>
    <row r="975" ht="15.75" customHeight="1">
      <c r="A975" s="85"/>
      <c r="B975" s="65"/>
      <c r="C975" s="85"/>
      <c r="D975" s="65"/>
      <c r="E975" s="65"/>
      <c r="F975" s="65"/>
      <c r="G975" s="6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65"/>
      <c r="W975" s="65"/>
      <c r="X975" s="85"/>
      <c r="Y975" s="85"/>
      <c r="Z975" s="85"/>
      <c r="AA975" s="85"/>
      <c r="AB975" s="85"/>
      <c r="AC975" s="85"/>
      <c r="AD975" s="85"/>
      <c r="AE975" s="85"/>
      <c r="AF975" s="85"/>
      <c r="AG975" s="85"/>
      <c r="AH975" s="91"/>
      <c r="AI975" s="85"/>
      <c r="AJ975" s="85"/>
    </row>
    <row r="976" ht="15.75" customHeight="1">
      <c r="A976" s="85"/>
      <c r="B976" s="65"/>
      <c r="C976" s="85"/>
      <c r="D976" s="65"/>
      <c r="E976" s="65"/>
      <c r="F976" s="65"/>
      <c r="G976" s="6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65"/>
      <c r="W976" s="65"/>
      <c r="X976" s="85"/>
      <c r="Y976" s="85"/>
      <c r="Z976" s="85"/>
      <c r="AA976" s="85"/>
      <c r="AB976" s="85"/>
      <c r="AC976" s="85"/>
      <c r="AD976" s="85"/>
      <c r="AE976" s="85"/>
      <c r="AF976" s="85"/>
      <c r="AG976" s="85"/>
      <c r="AH976" s="91"/>
      <c r="AI976" s="85"/>
      <c r="AJ976" s="85"/>
    </row>
    <row r="977" ht="15.75" customHeight="1">
      <c r="A977" s="85"/>
      <c r="B977" s="65"/>
      <c r="C977" s="85"/>
      <c r="D977" s="65"/>
      <c r="E977" s="65"/>
      <c r="F977" s="65"/>
      <c r="G977" s="6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65"/>
      <c r="W977" s="65"/>
      <c r="X977" s="85"/>
      <c r="Y977" s="85"/>
      <c r="Z977" s="85"/>
      <c r="AA977" s="85"/>
      <c r="AB977" s="85"/>
      <c r="AC977" s="85"/>
      <c r="AD977" s="85"/>
      <c r="AE977" s="85"/>
      <c r="AF977" s="85"/>
      <c r="AG977" s="85"/>
      <c r="AH977" s="91"/>
      <c r="AI977" s="85"/>
      <c r="AJ977" s="85"/>
    </row>
    <row r="978" ht="15.75" customHeight="1">
      <c r="A978" s="85"/>
      <c r="B978" s="65"/>
      <c r="C978" s="85"/>
      <c r="D978" s="65"/>
      <c r="E978" s="65"/>
      <c r="F978" s="65"/>
      <c r="G978" s="6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65"/>
      <c r="W978" s="65"/>
      <c r="X978" s="85"/>
      <c r="Y978" s="85"/>
      <c r="Z978" s="85"/>
      <c r="AA978" s="85"/>
      <c r="AB978" s="85"/>
      <c r="AC978" s="85"/>
      <c r="AD978" s="85"/>
      <c r="AE978" s="85"/>
      <c r="AF978" s="85"/>
      <c r="AG978" s="85"/>
      <c r="AH978" s="91"/>
      <c r="AI978" s="85"/>
      <c r="AJ978" s="85"/>
    </row>
    <row r="979" ht="15.75" customHeight="1">
      <c r="A979" s="85"/>
      <c r="B979" s="65"/>
      <c r="C979" s="85"/>
      <c r="D979" s="65"/>
      <c r="E979" s="65"/>
      <c r="F979" s="65"/>
      <c r="G979" s="6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65"/>
      <c r="W979" s="65"/>
      <c r="X979" s="85"/>
      <c r="Y979" s="85"/>
      <c r="Z979" s="85"/>
      <c r="AA979" s="85"/>
      <c r="AB979" s="85"/>
      <c r="AC979" s="85"/>
      <c r="AD979" s="85"/>
      <c r="AE979" s="85"/>
      <c r="AF979" s="85"/>
      <c r="AG979" s="85"/>
      <c r="AH979" s="91"/>
      <c r="AI979" s="85"/>
      <c r="AJ979" s="85"/>
    </row>
    <row r="980" ht="15.75" customHeight="1">
      <c r="A980" s="85"/>
      <c r="B980" s="65"/>
      <c r="C980" s="85"/>
      <c r="D980" s="65"/>
      <c r="E980" s="65"/>
      <c r="F980" s="65"/>
      <c r="G980" s="6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65"/>
      <c r="W980" s="65"/>
      <c r="X980" s="85"/>
      <c r="Y980" s="85"/>
      <c r="Z980" s="85"/>
      <c r="AA980" s="85"/>
      <c r="AB980" s="85"/>
      <c r="AC980" s="85"/>
      <c r="AD980" s="85"/>
      <c r="AE980" s="85"/>
      <c r="AF980" s="85"/>
      <c r="AG980" s="85"/>
      <c r="AH980" s="91"/>
      <c r="AI980" s="85"/>
      <c r="AJ980" s="85"/>
    </row>
    <row r="981" ht="15.75" customHeight="1">
      <c r="A981" s="85"/>
      <c r="B981" s="65"/>
      <c r="C981" s="85"/>
      <c r="D981" s="65"/>
      <c r="E981" s="65"/>
      <c r="F981" s="65"/>
      <c r="G981" s="6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65"/>
      <c r="W981" s="65"/>
      <c r="X981" s="85"/>
      <c r="Y981" s="85"/>
      <c r="Z981" s="85"/>
      <c r="AA981" s="85"/>
      <c r="AB981" s="85"/>
      <c r="AC981" s="85"/>
      <c r="AD981" s="85"/>
      <c r="AE981" s="85"/>
      <c r="AF981" s="85"/>
      <c r="AG981" s="85"/>
      <c r="AH981" s="91"/>
      <c r="AI981" s="85"/>
      <c r="AJ981" s="85"/>
    </row>
    <row r="982" ht="15.75" customHeight="1">
      <c r="A982" s="85"/>
      <c r="B982" s="65"/>
      <c r="C982" s="85"/>
      <c r="D982" s="65"/>
      <c r="E982" s="65"/>
      <c r="F982" s="65"/>
      <c r="G982" s="6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65"/>
      <c r="W982" s="65"/>
      <c r="X982" s="85"/>
      <c r="Y982" s="85"/>
      <c r="Z982" s="85"/>
      <c r="AA982" s="85"/>
      <c r="AB982" s="85"/>
      <c r="AC982" s="85"/>
      <c r="AD982" s="85"/>
      <c r="AE982" s="85"/>
      <c r="AF982" s="85"/>
      <c r="AG982" s="85"/>
      <c r="AH982" s="91"/>
      <c r="AI982" s="85"/>
      <c r="AJ982" s="85"/>
    </row>
    <row r="983" ht="15.75" customHeight="1">
      <c r="A983" s="85"/>
      <c r="B983" s="65"/>
      <c r="C983" s="85"/>
      <c r="D983" s="65"/>
      <c r="E983" s="65"/>
      <c r="F983" s="65"/>
      <c r="G983" s="6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65"/>
      <c r="W983" s="65"/>
      <c r="X983" s="85"/>
      <c r="Y983" s="85"/>
      <c r="Z983" s="85"/>
      <c r="AA983" s="85"/>
      <c r="AB983" s="85"/>
      <c r="AC983" s="85"/>
      <c r="AD983" s="85"/>
      <c r="AE983" s="85"/>
      <c r="AF983" s="85"/>
      <c r="AG983" s="85"/>
      <c r="AH983" s="91"/>
      <c r="AI983" s="85"/>
      <c r="AJ983" s="85"/>
    </row>
    <row r="984" ht="15.75" customHeight="1">
      <c r="A984" s="85"/>
      <c r="B984" s="65"/>
      <c r="C984" s="85"/>
      <c r="D984" s="65"/>
      <c r="E984" s="65"/>
      <c r="F984" s="65"/>
      <c r="G984" s="6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65"/>
      <c r="W984" s="65"/>
      <c r="X984" s="85"/>
      <c r="Y984" s="85"/>
      <c r="Z984" s="85"/>
      <c r="AA984" s="85"/>
      <c r="AB984" s="85"/>
      <c r="AC984" s="85"/>
      <c r="AD984" s="85"/>
      <c r="AE984" s="85"/>
      <c r="AF984" s="85"/>
      <c r="AG984" s="85"/>
      <c r="AH984" s="91"/>
      <c r="AI984" s="85"/>
      <c r="AJ984" s="85"/>
    </row>
    <row r="985" ht="15.75" customHeight="1">
      <c r="A985" s="85"/>
      <c r="B985" s="65"/>
      <c r="C985" s="85"/>
      <c r="D985" s="65"/>
      <c r="E985" s="65"/>
      <c r="F985" s="65"/>
      <c r="G985" s="6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65"/>
      <c r="W985" s="65"/>
      <c r="X985" s="85"/>
      <c r="Y985" s="85"/>
      <c r="Z985" s="85"/>
      <c r="AA985" s="85"/>
      <c r="AB985" s="85"/>
      <c r="AC985" s="85"/>
      <c r="AD985" s="85"/>
      <c r="AE985" s="85"/>
      <c r="AF985" s="85"/>
      <c r="AG985" s="85"/>
      <c r="AH985" s="91"/>
      <c r="AI985" s="85"/>
      <c r="AJ985" s="85"/>
    </row>
    <row r="986" ht="15.75" customHeight="1">
      <c r="A986" s="85"/>
      <c r="B986" s="65"/>
      <c r="C986" s="85"/>
      <c r="D986" s="65"/>
      <c r="E986" s="65"/>
      <c r="F986" s="65"/>
      <c r="G986" s="6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65"/>
      <c r="W986" s="65"/>
      <c r="X986" s="85"/>
      <c r="Y986" s="85"/>
      <c r="Z986" s="85"/>
      <c r="AA986" s="85"/>
      <c r="AB986" s="85"/>
      <c r="AC986" s="85"/>
      <c r="AD986" s="85"/>
      <c r="AE986" s="85"/>
      <c r="AF986" s="85"/>
      <c r="AG986" s="85"/>
      <c r="AH986" s="91"/>
      <c r="AI986" s="85"/>
      <c r="AJ986" s="85"/>
    </row>
    <row r="987" ht="15.75" customHeight="1">
      <c r="A987" s="85"/>
      <c r="B987" s="65"/>
      <c r="C987" s="85"/>
      <c r="D987" s="65"/>
      <c r="E987" s="65"/>
      <c r="F987" s="65"/>
      <c r="G987" s="6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65"/>
      <c r="W987" s="65"/>
      <c r="X987" s="85"/>
      <c r="Y987" s="85"/>
      <c r="Z987" s="85"/>
      <c r="AA987" s="85"/>
      <c r="AB987" s="85"/>
      <c r="AC987" s="85"/>
      <c r="AD987" s="85"/>
      <c r="AE987" s="85"/>
      <c r="AF987" s="85"/>
      <c r="AG987" s="85"/>
      <c r="AH987" s="91"/>
      <c r="AI987" s="85"/>
      <c r="AJ987" s="85"/>
    </row>
    <row r="988" ht="15.75" customHeight="1">
      <c r="A988" s="85"/>
      <c r="B988" s="65"/>
      <c r="C988" s="85"/>
      <c r="D988" s="65"/>
      <c r="E988" s="65"/>
      <c r="F988" s="65"/>
      <c r="G988" s="6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65"/>
      <c r="W988" s="65"/>
      <c r="X988" s="85"/>
      <c r="Y988" s="85"/>
      <c r="Z988" s="85"/>
      <c r="AA988" s="85"/>
      <c r="AB988" s="85"/>
      <c r="AC988" s="85"/>
      <c r="AD988" s="85"/>
      <c r="AE988" s="85"/>
      <c r="AF988" s="85"/>
      <c r="AG988" s="85"/>
      <c r="AH988" s="91"/>
      <c r="AI988" s="85"/>
      <c r="AJ988" s="85"/>
    </row>
    <row r="989" ht="15.75" customHeight="1">
      <c r="A989" s="85"/>
      <c r="B989" s="65"/>
      <c r="C989" s="85"/>
      <c r="D989" s="65"/>
      <c r="E989" s="65"/>
      <c r="F989" s="65"/>
      <c r="G989" s="6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65"/>
      <c r="W989" s="65"/>
      <c r="X989" s="85"/>
      <c r="Y989" s="85"/>
      <c r="Z989" s="85"/>
      <c r="AA989" s="85"/>
      <c r="AB989" s="85"/>
      <c r="AC989" s="85"/>
      <c r="AD989" s="85"/>
      <c r="AE989" s="85"/>
      <c r="AF989" s="85"/>
      <c r="AG989" s="85"/>
      <c r="AH989" s="91"/>
      <c r="AI989" s="85"/>
      <c r="AJ989" s="85"/>
    </row>
    <row r="990" ht="15.75" customHeight="1">
      <c r="A990" s="85"/>
      <c r="B990" s="65"/>
      <c r="C990" s="85"/>
      <c r="D990" s="65"/>
      <c r="E990" s="65"/>
      <c r="F990" s="65"/>
      <c r="G990" s="6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65"/>
      <c r="W990" s="65"/>
      <c r="X990" s="85"/>
      <c r="Y990" s="85"/>
      <c r="Z990" s="85"/>
      <c r="AA990" s="85"/>
      <c r="AB990" s="85"/>
      <c r="AC990" s="85"/>
      <c r="AD990" s="85"/>
      <c r="AE990" s="85"/>
      <c r="AF990" s="85"/>
      <c r="AG990" s="85"/>
      <c r="AH990" s="91"/>
      <c r="AI990" s="85"/>
      <c r="AJ990" s="85"/>
    </row>
    <row r="991" ht="15.75" customHeight="1">
      <c r="A991" s="85"/>
      <c r="B991" s="65"/>
      <c r="C991" s="85"/>
      <c r="D991" s="65"/>
      <c r="E991" s="65"/>
      <c r="F991" s="65"/>
      <c r="G991" s="6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65"/>
      <c r="W991" s="6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91"/>
      <c r="AI991" s="85"/>
      <c r="AJ991" s="85"/>
    </row>
    <row r="992" ht="15.75" customHeight="1">
      <c r="A992" s="85"/>
      <c r="B992" s="65"/>
      <c r="C992" s="85"/>
      <c r="D992" s="65"/>
      <c r="E992" s="65"/>
      <c r="F992" s="65"/>
      <c r="G992" s="6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65"/>
      <c r="W992" s="65"/>
      <c r="X992" s="85"/>
      <c r="Y992" s="85"/>
      <c r="Z992" s="85"/>
      <c r="AA992" s="85"/>
      <c r="AB992" s="85"/>
      <c r="AC992" s="85"/>
      <c r="AD992" s="85"/>
      <c r="AE992" s="85"/>
      <c r="AF992" s="85"/>
      <c r="AG992" s="85"/>
      <c r="AH992" s="91"/>
      <c r="AI992" s="85"/>
      <c r="AJ992" s="85"/>
    </row>
    <row r="993" ht="15.75" customHeight="1">
      <c r="A993" s="85"/>
      <c r="B993" s="65"/>
      <c r="C993" s="85"/>
      <c r="D993" s="65"/>
      <c r="E993" s="65"/>
      <c r="F993" s="65"/>
      <c r="G993" s="6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65"/>
      <c r="W993" s="65"/>
      <c r="X993" s="85"/>
      <c r="Y993" s="85"/>
      <c r="Z993" s="85"/>
      <c r="AA993" s="85"/>
      <c r="AB993" s="85"/>
      <c r="AC993" s="85"/>
      <c r="AD993" s="85"/>
      <c r="AE993" s="85"/>
      <c r="AF993" s="85"/>
      <c r="AG993" s="85"/>
      <c r="AH993" s="91"/>
      <c r="AI993" s="85"/>
      <c r="AJ993" s="85"/>
    </row>
    <row r="994" ht="15.75" customHeight="1">
      <c r="A994" s="85"/>
      <c r="B994" s="65"/>
      <c r="C994" s="85"/>
      <c r="D994" s="65"/>
      <c r="E994" s="65"/>
      <c r="F994" s="65"/>
      <c r="G994" s="6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65"/>
      <c r="W994" s="65"/>
      <c r="X994" s="85"/>
      <c r="Y994" s="85"/>
      <c r="Z994" s="85"/>
      <c r="AA994" s="85"/>
      <c r="AB994" s="85"/>
      <c r="AC994" s="85"/>
      <c r="AD994" s="85"/>
      <c r="AE994" s="85"/>
      <c r="AF994" s="85"/>
      <c r="AG994" s="85"/>
      <c r="AH994" s="91"/>
      <c r="AI994" s="85"/>
      <c r="AJ994" s="85"/>
    </row>
    <row r="995" ht="15.75" customHeight="1">
      <c r="A995" s="85"/>
      <c r="B995" s="65"/>
      <c r="C995" s="85"/>
      <c r="D995" s="65"/>
      <c r="E995" s="65"/>
      <c r="F995" s="65"/>
      <c r="G995" s="6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65"/>
      <c r="W995" s="65"/>
      <c r="X995" s="85"/>
      <c r="Y995" s="85"/>
      <c r="Z995" s="85"/>
      <c r="AA995" s="85"/>
      <c r="AB995" s="85"/>
      <c r="AC995" s="85"/>
      <c r="AD995" s="85"/>
      <c r="AE995" s="85"/>
      <c r="AF995" s="85"/>
      <c r="AG995" s="85"/>
      <c r="AH995" s="91"/>
      <c r="AI995" s="85"/>
      <c r="AJ995" s="85"/>
    </row>
    <row r="996" ht="15.75" customHeight="1">
      <c r="A996" s="85"/>
      <c r="B996" s="65"/>
      <c r="C996" s="85"/>
      <c r="D996" s="65"/>
      <c r="E996" s="65"/>
      <c r="F996" s="65"/>
      <c r="G996" s="6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65"/>
      <c r="W996" s="65"/>
      <c r="X996" s="85"/>
      <c r="Y996" s="85"/>
      <c r="Z996" s="85"/>
      <c r="AA996" s="85"/>
      <c r="AB996" s="85"/>
      <c r="AC996" s="85"/>
      <c r="AD996" s="85"/>
      <c r="AE996" s="85"/>
      <c r="AF996" s="85"/>
      <c r="AG996" s="85"/>
      <c r="AH996" s="91"/>
      <c r="AI996" s="85"/>
      <c r="AJ996" s="85"/>
    </row>
    <row r="997" ht="15.75" customHeight="1">
      <c r="A997" s="85"/>
      <c r="B997" s="65"/>
      <c r="C997" s="85"/>
      <c r="D997" s="65"/>
      <c r="E997" s="65"/>
      <c r="F997" s="65"/>
      <c r="G997" s="6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65"/>
      <c r="W997" s="65"/>
      <c r="X997" s="85"/>
      <c r="Y997" s="85"/>
      <c r="Z997" s="85"/>
      <c r="AA997" s="85"/>
      <c r="AB997" s="85"/>
      <c r="AC997" s="85"/>
      <c r="AD997" s="85"/>
      <c r="AE997" s="85"/>
      <c r="AF997" s="85"/>
      <c r="AG997" s="85"/>
      <c r="AH997" s="91"/>
      <c r="AI997" s="85"/>
      <c r="AJ997" s="85"/>
    </row>
    <row r="998" ht="15.75" customHeight="1">
      <c r="A998" s="85"/>
      <c r="B998" s="65"/>
      <c r="C998" s="85"/>
      <c r="D998" s="65"/>
      <c r="E998" s="65"/>
      <c r="F998" s="65"/>
      <c r="G998" s="6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65"/>
      <c r="W998" s="65"/>
      <c r="X998" s="85"/>
      <c r="Y998" s="85"/>
      <c r="Z998" s="85"/>
      <c r="AA998" s="85"/>
      <c r="AB998" s="85"/>
      <c r="AC998" s="85"/>
      <c r="AD998" s="85"/>
      <c r="AE998" s="85"/>
      <c r="AF998" s="85"/>
      <c r="AG998" s="85"/>
      <c r="AH998" s="91"/>
      <c r="AI998" s="85"/>
      <c r="AJ998" s="85"/>
    </row>
    <row r="999" ht="15.75" customHeight="1">
      <c r="A999" s="85"/>
      <c r="B999" s="65"/>
      <c r="C999" s="85"/>
      <c r="D999" s="65"/>
      <c r="E999" s="65"/>
      <c r="F999" s="65"/>
      <c r="G999" s="6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65"/>
      <c r="W999" s="65"/>
      <c r="X999" s="85"/>
      <c r="Y999" s="85"/>
      <c r="Z999" s="85"/>
      <c r="AA999" s="85"/>
      <c r="AB999" s="85"/>
      <c r="AC999" s="85"/>
      <c r="AD999" s="85"/>
      <c r="AE999" s="85"/>
      <c r="AF999" s="85"/>
      <c r="AG999" s="85"/>
      <c r="AH999" s="91"/>
      <c r="AI999" s="85"/>
      <c r="AJ999" s="85"/>
    </row>
    <row r="1000" ht="15.75" customHeight="1">
      <c r="A1000" s="85"/>
      <c r="B1000" s="65"/>
      <c r="C1000" s="85"/>
      <c r="D1000" s="65"/>
      <c r="E1000" s="65"/>
      <c r="F1000" s="65"/>
      <c r="G1000" s="6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65"/>
      <c r="W1000" s="65"/>
      <c r="X1000" s="85"/>
      <c r="Y1000" s="85"/>
      <c r="Z1000" s="85"/>
      <c r="AA1000" s="85"/>
      <c r="AB1000" s="85"/>
      <c r="AC1000" s="85"/>
      <c r="AD1000" s="85"/>
      <c r="AE1000" s="85"/>
      <c r="AF1000" s="10" t="str">
        <f>IF($AE1000="","",$AJ$1-$AE1000)</f>
        <v/>
      </c>
      <c r="AG1000" s="85"/>
      <c r="AH1000" s="91"/>
      <c r="AI1000" s="85"/>
      <c r="AJ1000" s="85"/>
    </row>
  </sheetData>
  <conditionalFormatting sqref="AG2:AG272 AG281">
    <cfRule type="expression" dxfId="1" priority="1">
      <formula>LEFT($AG2,3)="미청구"</formula>
    </cfRule>
  </conditionalFormatting>
  <dataValidations>
    <dataValidation type="list" allowBlank="1" showErrorMessage="1" sqref="C2:C282">
      <formula1>"남,여"</formula1>
    </dataValidation>
    <dataValidation type="list" allowBlank="1" showErrorMessage="1" sqref="I2:I281">
      <formula1>"현대해상,현대해상(SCOR),삼성화재"</formula1>
    </dataValidation>
    <dataValidation type="list" allowBlank="1" showErrorMessage="1" sqref="U2:U281">
      <formula1>"입원,재택"</formula1>
    </dataValidation>
    <dataValidation type="list" allowBlank="1" showErrorMessage="1" sqref="W2:W281">
      <formula1>"미해당,서비스 취소,예정,완료,진행중"</formula1>
    </dataValidation>
    <dataValidation type="list" allowBlank="1" showErrorMessage="1" sqref="Q2:Q281">
      <formula1>"상해,질병"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1.29"/>
    <col customWidth="1" min="3" max="3" width="11.14"/>
    <col customWidth="1" min="4" max="4" width="12.86"/>
    <col customWidth="1" min="5" max="5" width="9.43"/>
    <col customWidth="1" min="6" max="6" width="21.14"/>
    <col customWidth="1" min="7" max="8" width="9.43"/>
    <col customWidth="1" min="9" max="9" width="11.14"/>
    <col customWidth="1" min="10" max="10" width="26.43"/>
    <col customWidth="1" min="11" max="11" width="84.71"/>
    <col customWidth="1" min="12" max="27" width="8.71"/>
  </cols>
  <sheetData>
    <row r="1" ht="30.0" customHeight="1">
      <c r="A1" s="5" t="s">
        <v>161</v>
      </c>
      <c r="B1" s="3" t="s">
        <v>5</v>
      </c>
      <c r="C1" s="3" t="s">
        <v>6</v>
      </c>
      <c r="D1" s="3" t="s">
        <v>30</v>
      </c>
      <c r="E1" s="3" t="s">
        <v>7</v>
      </c>
      <c r="F1" s="5" t="s">
        <v>164</v>
      </c>
      <c r="G1" s="28" t="s">
        <v>21</v>
      </c>
      <c r="H1" s="3" t="s">
        <v>45</v>
      </c>
      <c r="I1" s="3" t="s">
        <v>169</v>
      </c>
      <c r="J1" s="5" t="s">
        <v>171</v>
      </c>
      <c r="K1" s="3" t="s">
        <v>35</v>
      </c>
    </row>
    <row r="2" ht="15.75" customHeight="1">
      <c r="A2" s="10" t="s">
        <v>173</v>
      </c>
      <c r="B2" s="10" t="s">
        <v>61</v>
      </c>
      <c r="C2" s="13" t="str">
        <f t="array" ref="C2">IFERROR(INDEX('간병신청대장'!$B:$B,MATCH($B2,'간병신청대장'!$A:$A,0)),"")</f>
        <v>엄정현</v>
      </c>
      <c r="D2" s="10" t="s">
        <v>91</v>
      </c>
      <c r="E2" s="10" t="s">
        <v>194</v>
      </c>
      <c r="F2" s="10" t="s">
        <v>100</v>
      </c>
      <c r="G2" s="29">
        <v>4.0</v>
      </c>
      <c r="H2" s="18">
        <v>80000.0</v>
      </c>
      <c r="I2" s="18">
        <v>320000.0</v>
      </c>
      <c r="J2" s="20" t="s">
        <v>205</v>
      </c>
      <c r="K2" s="10"/>
    </row>
    <row r="3" ht="15.75" customHeight="1">
      <c r="A3" s="10" t="s">
        <v>208</v>
      </c>
      <c r="B3" s="10" t="s">
        <v>120</v>
      </c>
      <c r="C3" s="13" t="str">
        <f t="array" ref="C3">IFERROR(INDEX('간병신청대장'!$B:$B,MATCH($B3,'간병신청대장'!$A:$A,0)),"")</f>
        <v>성정주</v>
      </c>
      <c r="D3" s="10" t="s">
        <v>134</v>
      </c>
      <c r="E3" s="10" t="s">
        <v>95</v>
      </c>
      <c r="F3" s="10" t="s">
        <v>182</v>
      </c>
      <c r="G3" s="29">
        <v>9.0</v>
      </c>
      <c r="H3" s="18">
        <v>135000.0</v>
      </c>
      <c r="I3" s="18">
        <v>1215000.0</v>
      </c>
      <c r="J3" s="20" t="s">
        <v>205</v>
      </c>
      <c r="K3" s="10"/>
    </row>
    <row r="4" ht="15.75" customHeight="1">
      <c r="A4" s="10" t="s">
        <v>227</v>
      </c>
      <c r="B4" s="10" t="s">
        <v>120</v>
      </c>
      <c r="C4" s="13" t="str">
        <f t="array" ref="C4">IFERROR(INDEX('간병신청대장'!$B:$B,MATCH($B4,'간병신청대장'!$A:$A,0)),"")</f>
        <v>성정주</v>
      </c>
      <c r="D4" s="10" t="s">
        <v>134</v>
      </c>
      <c r="E4" s="10" t="s">
        <v>190</v>
      </c>
      <c r="F4" s="10" t="s">
        <v>191</v>
      </c>
      <c r="G4" s="29">
        <v>10.0</v>
      </c>
      <c r="H4" s="18">
        <v>135000.0</v>
      </c>
      <c r="I4" s="18">
        <v>1350000.0</v>
      </c>
      <c r="J4" s="20" t="s">
        <v>205</v>
      </c>
      <c r="K4" s="10"/>
    </row>
    <row r="5" ht="15.75" customHeight="1">
      <c r="A5" s="10" t="s">
        <v>237</v>
      </c>
      <c r="B5" s="10" t="s">
        <v>120</v>
      </c>
      <c r="C5" s="13" t="str">
        <f t="array" ref="C5">IFERROR(INDEX('간병신청대장'!$B:$B,MATCH($B5,'간병신청대장'!$A:$A,0)),"")</f>
        <v>성정주</v>
      </c>
      <c r="D5" s="10" t="s">
        <v>134</v>
      </c>
      <c r="E5" s="10" t="s">
        <v>204</v>
      </c>
      <c r="F5" s="10" t="s">
        <v>206</v>
      </c>
      <c r="G5" s="29">
        <v>10.0</v>
      </c>
      <c r="H5" s="18">
        <v>135000.0</v>
      </c>
      <c r="I5" s="18">
        <v>1350000.0</v>
      </c>
      <c r="J5" s="20" t="s">
        <v>205</v>
      </c>
      <c r="K5" s="10"/>
    </row>
    <row r="6" ht="15.75" customHeight="1">
      <c r="A6" s="10" t="s">
        <v>260</v>
      </c>
      <c r="B6" s="10" t="s">
        <v>120</v>
      </c>
      <c r="C6" s="13" t="str">
        <f t="array" ref="C6">IFERROR(INDEX('간병신청대장'!$B:$B,MATCH($B6,'간병신청대장'!$A:$A,0)),"")</f>
        <v>성정주</v>
      </c>
      <c r="D6" s="10" t="s">
        <v>134</v>
      </c>
      <c r="E6" s="10" t="s">
        <v>149</v>
      </c>
      <c r="F6" s="10" t="s">
        <v>231</v>
      </c>
      <c r="G6" s="29">
        <v>10.0</v>
      </c>
      <c r="H6" s="18">
        <v>135000.0</v>
      </c>
      <c r="I6" s="18">
        <v>1350000.0</v>
      </c>
      <c r="J6" s="20" t="s">
        <v>205</v>
      </c>
      <c r="K6" s="10"/>
    </row>
    <row r="7" ht="15.75" customHeight="1">
      <c r="A7" s="10" t="s">
        <v>271</v>
      </c>
      <c r="B7" s="10" t="s">
        <v>120</v>
      </c>
      <c r="C7" s="13" t="str">
        <f t="array" ref="C7">IFERROR(INDEX('간병신청대장'!$B:$B,MATCH($B7,'간병신청대장'!$A:$A,0)),"")</f>
        <v>성정주</v>
      </c>
      <c r="D7" s="10" t="s">
        <v>134</v>
      </c>
      <c r="E7" s="10" t="s">
        <v>238</v>
      </c>
      <c r="F7" s="10" t="s">
        <v>239</v>
      </c>
      <c r="G7" s="29">
        <v>10.0</v>
      </c>
      <c r="H7" s="18">
        <v>135000.0</v>
      </c>
      <c r="I7" s="18">
        <v>1350000.0</v>
      </c>
      <c r="J7" s="20" t="s">
        <v>205</v>
      </c>
      <c r="K7" s="10"/>
    </row>
    <row r="8" ht="15.75" customHeight="1">
      <c r="A8" s="10" t="s">
        <v>283</v>
      </c>
      <c r="B8" s="10" t="s">
        <v>120</v>
      </c>
      <c r="C8" s="13" t="str">
        <f t="array" ref="C8">IFERROR(INDEX('간병신청대장'!$B:$B,MATCH($B8,'간병신청대장'!$A:$A,0)),"")</f>
        <v>성정주</v>
      </c>
      <c r="D8" s="10" t="s">
        <v>134</v>
      </c>
      <c r="E8" s="10" t="s">
        <v>261</v>
      </c>
      <c r="F8" s="10" t="s">
        <v>263</v>
      </c>
      <c r="G8" s="29">
        <v>11.0</v>
      </c>
      <c r="H8" s="18">
        <v>135000.0</v>
      </c>
      <c r="I8" s="18">
        <v>1485000.0</v>
      </c>
      <c r="J8" s="20" t="s">
        <v>205</v>
      </c>
      <c r="K8" s="10"/>
    </row>
    <row r="9" ht="15.75" customHeight="1">
      <c r="A9" s="10" t="s">
        <v>289</v>
      </c>
      <c r="B9" s="10" t="s">
        <v>120</v>
      </c>
      <c r="C9" s="13" t="str">
        <f t="array" ref="C9">IFERROR(INDEX('간병신청대장'!$B:$B,MATCH($B9,'간병신청대장'!$A:$A,0)),"")</f>
        <v>성정주</v>
      </c>
      <c r="D9" s="10" t="s">
        <v>134</v>
      </c>
      <c r="E9" s="10" t="s">
        <v>266</v>
      </c>
      <c r="F9" s="10" t="s">
        <v>267</v>
      </c>
      <c r="G9" s="29">
        <v>10.0</v>
      </c>
      <c r="H9" s="18">
        <v>135000.0</v>
      </c>
      <c r="I9" s="18">
        <v>1350000.0</v>
      </c>
      <c r="J9" s="20" t="s">
        <v>205</v>
      </c>
      <c r="K9" s="10"/>
    </row>
    <row r="10" ht="15.75" customHeight="1">
      <c r="A10" s="10" t="s">
        <v>292</v>
      </c>
      <c r="B10" s="10" t="s">
        <v>120</v>
      </c>
      <c r="C10" s="13" t="str">
        <f t="array" ref="C10">IFERROR(INDEX('간병신청대장'!$B:$B,MATCH($B10,'간병신청대장'!$A:$A,0)),"")</f>
        <v>성정주</v>
      </c>
      <c r="D10" s="10" t="s">
        <v>134</v>
      </c>
      <c r="E10" s="10" t="s">
        <v>281</v>
      </c>
      <c r="F10" s="10" t="s">
        <v>142</v>
      </c>
      <c r="G10" s="29">
        <v>3.0</v>
      </c>
      <c r="H10" s="18">
        <v>135000.0</v>
      </c>
      <c r="I10" s="18">
        <v>405000.0</v>
      </c>
      <c r="J10" s="20" t="s">
        <v>205</v>
      </c>
      <c r="K10" s="10"/>
    </row>
    <row r="11" ht="15.75" customHeight="1">
      <c r="A11" s="10" t="s">
        <v>298</v>
      </c>
      <c r="B11" s="10" t="s">
        <v>145</v>
      </c>
      <c r="C11" s="13" t="str">
        <f t="array" ref="C11">IFERROR(INDEX('간병신청대장'!$B:$B,MATCH($B11,'간병신청대장'!$A:$A,0)),"")</f>
        <v>김순년</v>
      </c>
      <c r="D11" s="10" t="s">
        <v>151</v>
      </c>
      <c r="E11" s="10" t="s">
        <v>95</v>
      </c>
      <c r="F11" s="10" t="s">
        <v>157</v>
      </c>
      <c r="G11" s="29">
        <v>3.0</v>
      </c>
      <c r="H11" s="18">
        <v>130000.0</v>
      </c>
      <c r="I11" s="18">
        <v>390000.0</v>
      </c>
      <c r="J11" s="20" t="s">
        <v>205</v>
      </c>
      <c r="K11" s="10"/>
    </row>
    <row r="12" ht="15.75" customHeight="1">
      <c r="A12" s="10" t="s">
        <v>311</v>
      </c>
      <c r="B12" s="10" t="s">
        <v>159</v>
      </c>
      <c r="C12" s="13" t="str">
        <f t="array" ref="C12">IFERROR(INDEX('간병신청대장'!$B:$B,MATCH($B12,'간병신청대장'!$A:$A,0)),"")</f>
        <v>차정옥</v>
      </c>
      <c r="D12" s="10" t="s">
        <v>177</v>
      </c>
      <c r="E12" s="10" t="s">
        <v>95</v>
      </c>
      <c r="F12" s="10" t="s">
        <v>296</v>
      </c>
      <c r="G12" s="29">
        <v>9.0</v>
      </c>
      <c r="H12" s="18">
        <v>130000.0</v>
      </c>
      <c r="I12" s="18">
        <v>1170000.0</v>
      </c>
      <c r="J12" s="20" t="s">
        <v>205</v>
      </c>
      <c r="K12" s="10"/>
    </row>
    <row r="13" ht="15.75" customHeight="1">
      <c r="A13" s="10" t="s">
        <v>334</v>
      </c>
      <c r="B13" s="10" t="s">
        <v>159</v>
      </c>
      <c r="C13" s="13" t="str">
        <f t="array" ref="C13">IFERROR(INDEX('간병신청대장'!$B:$B,MATCH($B13,'간병신청대장'!$A:$A,0)),"")</f>
        <v>차정옥</v>
      </c>
      <c r="D13" s="10" t="s">
        <v>177</v>
      </c>
      <c r="E13" s="10" t="s">
        <v>190</v>
      </c>
      <c r="F13" s="10" t="s">
        <v>299</v>
      </c>
      <c r="G13" s="29">
        <v>10.0</v>
      </c>
      <c r="H13" s="18">
        <v>130000.0</v>
      </c>
      <c r="I13" s="18">
        <v>1300000.0</v>
      </c>
      <c r="J13" s="20" t="s">
        <v>205</v>
      </c>
      <c r="K13" s="10"/>
    </row>
    <row r="14" ht="15.75" customHeight="1">
      <c r="A14" s="10" t="s">
        <v>354</v>
      </c>
      <c r="B14" s="10" t="s">
        <v>159</v>
      </c>
      <c r="C14" s="13" t="str">
        <f t="array" ref="C14">IFERROR(INDEX('간병신청대장'!$B:$B,MATCH($B14,'간병신청대장'!$A:$A,0)),"")</f>
        <v>차정옥</v>
      </c>
      <c r="D14" s="10" t="s">
        <v>177</v>
      </c>
      <c r="E14" s="10" t="s">
        <v>204</v>
      </c>
      <c r="F14" s="10" t="s">
        <v>312</v>
      </c>
      <c r="G14" s="29">
        <v>10.0</v>
      </c>
      <c r="H14" s="18">
        <v>130000.0</v>
      </c>
      <c r="I14" s="18">
        <v>1300000.0</v>
      </c>
      <c r="J14" s="20" t="s">
        <v>205</v>
      </c>
      <c r="K14" s="10"/>
    </row>
    <row r="15" ht="15.75" customHeight="1">
      <c r="A15" s="10" t="s">
        <v>366</v>
      </c>
      <c r="B15" s="10" t="s">
        <v>159</v>
      </c>
      <c r="C15" s="13" t="str">
        <f t="array" ref="C15">IFERROR(INDEX('간병신청대장'!$B:$B,MATCH($B15,'간병신청대장'!$A:$A,0)),"")</f>
        <v>차정옥</v>
      </c>
      <c r="D15" s="10" t="s">
        <v>177</v>
      </c>
      <c r="E15" s="10" t="s">
        <v>149</v>
      </c>
      <c r="F15" s="10" t="s">
        <v>327</v>
      </c>
      <c r="G15" s="29">
        <v>10.0</v>
      </c>
      <c r="H15" s="18">
        <v>130000.0</v>
      </c>
      <c r="I15" s="18">
        <v>1300000.0</v>
      </c>
      <c r="J15" s="20" t="s">
        <v>205</v>
      </c>
      <c r="K15" s="10"/>
    </row>
    <row r="16" ht="15.75" customHeight="1">
      <c r="A16" s="10" t="s">
        <v>380</v>
      </c>
      <c r="B16" s="10" t="s">
        <v>159</v>
      </c>
      <c r="C16" s="13" t="str">
        <f t="array" ref="C16">IFERROR(INDEX('간병신청대장'!$B:$B,MATCH($B16,'간병신청대장'!$A:$A,0)),"")</f>
        <v>차정옥</v>
      </c>
      <c r="D16" s="10" t="s">
        <v>177</v>
      </c>
      <c r="E16" s="10" t="s">
        <v>238</v>
      </c>
      <c r="F16" s="10" t="s">
        <v>342</v>
      </c>
      <c r="G16" s="29">
        <v>10.0</v>
      </c>
      <c r="H16" s="18">
        <v>130000.0</v>
      </c>
      <c r="I16" s="18">
        <v>1300000.0</v>
      </c>
      <c r="J16" s="20" t="s">
        <v>205</v>
      </c>
      <c r="K16" s="10"/>
    </row>
    <row r="17" ht="15.75" customHeight="1">
      <c r="A17" s="10" t="s">
        <v>388</v>
      </c>
      <c r="B17" s="10" t="s">
        <v>159</v>
      </c>
      <c r="C17" s="13" t="str">
        <f t="array" ref="C17">IFERROR(INDEX('간병신청대장'!$B:$B,MATCH($B17,'간병신청대장'!$A:$A,0)),"")</f>
        <v>차정옥</v>
      </c>
      <c r="D17" s="10" t="s">
        <v>177</v>
      </c>
      <c r="E17" s="10" t="s">
        <v>261</v>
      </c>
      <c r="F17" s="10" t="s">
        <v>358</v>
      </c>
      <c r="G17" s="29">
        <v>11.0</v>
      </c>
      <c r="H17" s="18">
        <v>130000.0</v>
      </c>
      <c r="I17" s="18">
        <v>1430000.0</v>
      </c>
      <c r="J17" s="20" t="s">
        <v>205</v>
      </c>
      <c r="K17" s="10"/>
    </row>
    <row r="18" ht="15.75" customHeight="1">
      <c r="A18" s="10" t="s">
        <v>406</v>
      </c>
      <c r="B18" s="10" t="s">
        <v>188</v>
      </c>
      <c r="C18" s="13" t="str">
        <f t="array" ref="C18">IFERROR(INDEX('간병신청대장'!$B:$B,MATCH($B18,'간병신청대장'!$A:$A,0)),"")</f>
        <v>이춘자</v>
      </c>
      <c r="D18" s="10" t="s">
        <v>195</v>
      </c>
      <c r="E18" s="10" t="s">
        <v>95</v>
      </c>
      <c r="F18" s="10" t="s">
        <v>376</v>
      </c>
      <c r="G18" s="29">
        <v>9.0</v>
      </c>
      <c r="H18" s="18">
        <v>140000.0</v>
      </c>
      <c r="I18" s="18">
        <v>1260000.0</v>
      </c>
      <c r="J18" s="20" t="s">
        <v>205</v>
      </c>
      <c r="K18" s="10"/>
    </row>
    <row r="19" ht="15.75" customHeight="1">
      <c r="A19" s="10" t="s">
        <v>410</v>
      </c>
      <c r="B19" s="10" t="s">
        <v>188</v>
      </c>
      <c r="C19" s="13" t="str">
        <f t="array" ref="C19">IFERROR(INDEX('간병신청대장'!$B:$B,MATCH($B19,'간병신청대장'!$A:$A,0)),"")</f>
        <v>이춘자</v>
      </c>
      <c r="D19" s="10" t="s">
        <v>195</v>
      </c>
      <c r="E19" s="10" t="s">
        <v>190</v>
      </c>
      <c r="F19" s="10" t="s">
        <v>402</v>
      </c>
      <c r="G19" s="29">
        <v>10.0</v>
      </c>
      <c r="H19" s="18">
        <v>140000.0</v>
      </c>
      <c r="I19" s="18">
        <v>1400000.0</v>
      </c>
      <c r="J19" s="20" t="s">
        <v>205</v>
      </c>
      <c r="K19" s="10"/>
    </row>
    <row r="20" ht="15.75" customHeight="1">
      <c r="A20" s="10" t="s">
        <v>419</v>
      </c>
      <c r="B20" s="10" t="s">
        <v>188</v>
      </c>
      <c r="C20" s="13" t="str">
        <f t="array" ref="C20">IFERROR(INDEX('간병신청대장'!$B:$B,MATCH($B20,'간병신청대장'!$A:$A,0)),"")</f>
        <v>이춘자</v>
      </c>
      <c r="D20" s="10" t="s">
        <v>195</v>
      </c>
      <c r="E20" s="10" t="s">
        <v>204</v>
      </c>
      <c r="F20" s="10" t="s">
        <v>407</v>
      </c>
      <c r="G20" s="29">
        <v>10.0</v>
      </c>
      <c r="H20" s="18">
        <v>140000.0</v>
      </c>
      <c r="I20" s="18">
        <v>1400000.0</v>
      </c>
      <c r="J20" s="20" t="s">
        <v>205</v>
      </c>
      <c r="K20" s="10"/>
    </row>
    <row r="21" ht="15.75" customHeight="1">
      <c r="A21" s="10" t="s">
        <v>426</v>
      </c>
      <c r="B21" s="10" t="s">
        <v>188</v>
      </c>
      <c r="C21" s="13" t="str">
        <f t="array" ref="C21">IFERROR(INDEX('간병신청대장'!$B:$B,MATCH($B21,'간병신청대장'!$A:$A,0)),"")</f>
        <v>이춘자</v>
      </c>
      <c r="D21" s="10" t="s">
        <v>195</v>
      </c>
      <c r="E21" s="10" t="s">
        <v>149</v>
      </c>
      <c r="F21" s="10" t="s">
        <v>413</v>
      </c>
      <c r="G21" s="29">
        <v>10.0</v>
      </c>
      <c r="H21" s="18">
        <v>140000.0</v>
      </c>
      <c r="I21" s="18">
        <v>1400000.0</v>
      </c>
      <c r="J21" s="20" t="s">
        <v>205</v>
      </c>
      <c r="K21" s="10"/>
    </row>
    <row r="22" ht="15.75" customHeight="1">
      <c r="A22" s="10" t="s">
        <v>436</v>
      </c>
      <c r="B22" s="10" t="s">
        <v>188</v>
      </c>
      <c r="C22" s="13" t="str">
        <f t="array" ref="C22">IFERROR(INDEX('간병신청대장'!$B:$B,MATCH($B22,'간병신청대장'!$A:$A,0)),"")</f>
        <v>이춘자</v>
      </c>
      <c r="D22" s="10" t="s">
        <v>195</v>
      </c>
      <c r="E22" s="10" t="s">
        <v>238</v>
      </c>
      <c r="F22" s="10" t="s">
        <v>420</v>
      </c>
      <c r="G22" s="29">
        <v>10.0</v>
      </c>
      <c r="H22" s="18">
        <v>140000.0</v>
      </c>
      <c r="I22" s="18">
        <v>1400000.0</v>
      </c>
      <c r="J22" s="20" t="s">
        <v>205</v>
      </c>
      <c r="K22" s="10"/>
    </row>
    <row r="23" ht="15.75" customHeight="1">
      <c r="A23" s="10" t="s">
        <v>440</v>
      </c>
      <c r="B23" s="10" t="s">
        <v>188</v>
      </c>
      <c r="C23" s="13" t="str">
        <f t="array" ref="C23">IFERROR(INDEX('간병신청대장'!$B:$B,MATCH($B23,'간병신청대장'!$A:$A,0)),"")</f>
        <v>이춘자</v>
      </c>
      <c r="D23" s="10" t="s">
        <v>195</v>
      </c>
      <c r="E23" s="10" t="s">
        <v>261</v>
      </c>
      <c r="F23" s="10" t="s">
        <v>437</v>
      </c>
      <c r="G23" s="29">
        <v>11.0</v>
      </c>
      <c r="H23" s="18">
        <v>140000.0</v>
      </c>
      <c r="I23" s="18">
        <v>1540000.0</v>
      </c>
      <c r="J23" s="20" t="s">
        <v>205</v>
      </c>
      <c r="K23" s="10"/>
    </row>
    <row r="24" ht="15.75" customHeight="1">
      <c r="A24" s="10" t="s">
        <v>455</v>
      </c>
      <c r="B24" s="10" t="s">
        <v>188</v>
      </c>
      <c r="C24" s="13" t="str">
        <f t="array" ref="C24">IFERROR(INDEX('간병신청대장'!$B:$B,MATCH($B24,'간병신청대장'!$A:$A,0)),"")</f>
        <v>이춘자</v>
      </c>
      <c r="D24" s="10" t="s">
        <v>195</v>
      </c>
      <c r="E24" s="10" t="s">
        <v>266</v>
      </c>
      <c r="F24" s="10" t="s">
        <v>200</v>
      </c>
      <c r="G24" s="29">
        <v>8.07</v>
      </c>
      <c r="H24" s="18">
        <v>140000.0</v>
      </c>
      <c r="I24" s="18">
        <v>1190000.0</v>
      </c>
      <c r="J24" s="20" t="s">
        <v>205</v>
      </c>
      <c r="K24" s="10"/>
    </row>
    <row r="25" ht="15.75" customHeight="1">
      <c r="A25" s="10" t="s">
        <v>463</v>
      </c>
      <c r="B25" s="10" t="s">
        <v>203</v>
      </c>
      <c r="C25" s="13" t="str">
        <f t="array" ref="C25">IFERROR(INDEX('간병신청대장'!$B:$B,MATCH($B25,'간병신청대장'!$A:$A,0)),"")</f>
        <v>심윤주 </v>
      </c>
      <c r="D25" s="10" t="s">
        <v>225</v>
      </c>
      <c r="E25" s="10" t="s">
        <v>95</v>
      </c>
      <c r="F25" s="10" t="s">
        <v>459</v>
      </c>
      <c r="G25" s="29">
        <v>9.0</v>
      </c>
      <c r="H25" s="18">
        <v>130000.0</v>
      </c>
      <c r="I25" s="18">
        <v>1125000.0</v>
      </c>
      <c r="J25" s="20" t="s">
        <v>205</v>
      </c>
      <c r="K25" s="10"/>
    </row>
    <row r="26" ht="15.75" customHeight="1">
      <c r="A26" s="10" t="s">
        <v>476</v>
      </c>
      <c r="B26" s="10" t="s">
        <v>203</v>
      </c>
      <c r="C26" s="13" t="str">
        <f t="array" ref="C26">IFERROR(INDEX('간병신청대장'!$B:$B,MATCH($B26,'간병신청대장'!$A:$A,0)),"")</f>
        <v>심윤주 </v>
      </c>
      <c r="D26" s="10" t="s">
        <v>225</v>
      </c>
      <c r="E26" s="10" t="s">
        <v>190</v>
      </c>
      <c r="F26" s="10" t="s">
        <v>474</v>
      </c>
      <c r="G26" s="29">
        <v>10.0</v>
      </c>
      <c r="H26" s="18">
        <v>130000.0</v>
      </c>
      <c r="I26" s="18">
        <v>1300000.0</v>
      </c>
      <c r="J26" s="20" t="s">
        <v>205</v>
      </c>
      <c r="K26" s="10"/>
    </row>
    <row r="27" ht="15.75" customHeight="1">
      <c r="A27" s="10" t="s">
        <v>481</v>
      </c>
      <c r="B27" s="10" t="s">
        <v>203</v>
      </c>
      <c r="C27" s="13" t="str">
        <f t="array" ref="C27">IFERROR(INDEX('간병신청대장'!$B:$B,MATCH($B27,'간병신청대장'!$A:$A,0)),"")</f>
        <v>심윤주 </v>
      </c>
      <c r="D27" s="10" t="s">
        <v>225</v>
      </c>
      <c r="E27" s="10" t="s">
        <v>204</v>
      </c>
      <c r="F27" s="10" t="s">
        <v>482</v>
      </c>
      <c r="G27" s="29">
        <v>10.0</v>
      </c>
      <c r="H27" s="18">
        <v>130000.0</v>
      </c>
      <c r="I27" s="18">
        <v>1300000.0</v>
      </c>
      <c r="J27" s="20" t="s">
        <v>205</v>
      </c>
      <c r="K27" s="10"/>
    </row>
    <row r="28" ht="15.75" customHeight="1">
      <c r="A28" s="10" t="s">
        <v>491</v>
      </c>
      <c r="B28" s="10" t="s">
        <v>203</v>
      </c>
      <c r="C28" s="13" t="str">
        <f t="array" ref="C28">IFERROR(INDEX('간병신청대장'!$B:$B,MATCH($B28,'간병신청대장'!$A:$A,0)),"")</f>
        <v>심윤주 </v>
      </c>
      <c r="D28" s="10" t="s">
        <v>225</v>
      </c>
      <c r="E28" s="10" t="s">
        <v>149</v>
      </c>
      <c r="F28" s="10" t="s">
        <v>495</v>
      </c>
      <c r="G28" s="29">
        <v>10.0</v>
      </c>
      <c r="H28" s="18">
        <v>130000.0</v>
      </c>
      <c r="I28" s="18">
        <v>1300000.0</v>
      </c>
      <c r="J28" s="20" t="s">
        <v>205</v>
      </c>
      <c r="K28" s="10"/>
    </row>
    <row r="29" ht="15.75" customHeight="1">
      <c r="A29" s="10" t="s">
        <v>502</v>
      </c>
      <c r="B29" s="10" t="s">
        <v>203</v>
      </c>
      <c r="C29" s="13" t="str">
        <f t="array" ref="C29">IFERROR(INDEX('간병신청대장'!$B:$B,MATCH($B29,'간병신청대장'!$A:$A,0)),"")</f>
        <v>심윤주 </v>
      </c>
      <c r="D29" s="10" t="s">
        <v>225</v>
      </c>
      <c r="E29" s="10" t="s">
        <v>238</v>
      </c>
      <c r="F29" s="10" t="s">
        <v>503</v>
      </c>
      <c r="G29" s="29">
        <v>10.0</v>
      </c>
      <c r="H29" s="18">
        <v>130000.0</v>
      </c>
      <c r="I29" s="18">
        <v>1300000.0</v>
      </c>
      <c r="J29" s="20" t="s">
        <v>205</v>
      </c>
      <c r="K29" s="10"/>
    </row>
    <row r="30" ht="15.75" customHeight="1">
      <c r="A30" s="10" t="s">
        <v>511</v>
      </c>
      <c r="B30" s="10" t="s">
        <v>203</v>
      </c>
      <c r="C30" s="13" t="str">
        <f t="array" ref="C30">IFERROR(INDEX('간병신청대장'!$B:$B,MATCH($B30,'간병신청대장'!$A:$A,0)),"")</f>
        <v>심윤주 </v>
      </c>
      <c r="D30" s="10" t="s">
        <v>225</v>
      </c>
      <c r="E30" s="10" t="s">
        <v>261</v>
      </c>
      <c r="F30" s="10" t="s">
        <v>525</v>
      </c>
      <c r="G30" s="29">
        <v>11.0</v>
      </c>
      <c r="H30" s="18">
        <v>130000.0</v>
      </c>
      <c r="I30" s="18">
        <v>1430000.0</v>
      </c>
      <c r="J30" s="20" t="s">
        <v>205</v>
      </c>
      <c r="K30" s="10"/>
    </row>
    <row r="31" ht="15.75" customHeight="1">
      <c r="A31" s="10" t="s">
        <v>532</v>
      </c>
      <c r="B31" s="10" t="s">
        <v>203</v>
      </c>
      <c r="C31" s="13" t="str">
        <f t="array" ref="C31">IFERROR(INDEX('간병신청대장'!$B:$B,MATCH($B31,'간병신청대장'!$A:$A,0)),"")</f>
        <v>심윤주 </v>
      </c>
      <c r="D31" s="10" t="s">
        <v>225</v>
      </c>
      <c r="E31" s="10" t="s">
        <v>266</v>
      </c>
      <c r="F31" s="10" t="s">
        <v>533</v>
      </c>
      <c r="G31" s="29">
        <v>10.0</v>
      </c>
      <c r="H31" s="18">
        <v>130000.0</v>
      </c>
      <c r="I31" s="18">
        <v>1300000.0</v>
      </c>
      <c r="J31" s="20" t="s">
        <v>205</v>
      </c>
      <c r="K31" s="10"/>
    </row>
    <row r="32" ht="15.75" customHeight="1">
      <c r="A32" s="10" t="s">
        <v>548</v>
      </c>
      <c r="B32" s="10" t="s">
        <v>203</v>
      </c>
      <c r="C32" s="13" t="str">
        <f t="array" ref="C32">IFERROR(INDEX('간병신청대장'!$B:$B,MATCH($B32,'간병신청대장'!$A:$A,0)),"")</f>
        <v>심윤주 </v>
      </c>
      <c r="D32" s="10" t="s">
        <v>225</v>
      </c>
      <c r="E32" s="10" t="s">
        <v>281</v>
      </c>
      <c r="F32" s="10" t="s">
        <v>555</v>
      </c>
      <c r="G32" s="29">
        <v>10.0</v>
      </c>
      <c r="H32" s="18">
        <v>130000.0</v>
      </c>
      <c r="I32" s="18">
        <v>1300000.0</v>
      </c>
      <c r="J32" s="20" t="s">
        <v>205</v>
      </c>
      <c r="K32" s="10"/>
    </row>
    <row r="33" ht="15.75" customHeight="1">
      <c r="A33" s="10" t="s">
        <v>566</v>
      </c>
      <c r="B33" s="10" t="s">
        <v>203</v>
      </c>
      <c r="C33" s="13" t="str">
        <f t="array" ref="C33">IFERROR(INDEX('간병신청대장'!$B:$B,MATCH($B33,'간병신청대장'!$A:$A,0)),"")</f>
        <v>심윤주 </v>
      </c>
      <c r="D33" s="10" t="s">
        <v>225</v>
      </c>
      <c r="E33" s="10" t="s">
        <v>567</v>
      </c>
      <c r="F33" s="10" t="s">
        <v>568</v>
      </c>
      <c r="G33" s="29">
        <v>10.0</v>
      </c>
      <c r="H33" s="18">
        <v>130000.0</v>
      </c>
      <c r="I33" s="18">
        <v>1300000.0</v>
      </c>
      <c r="J33" s="20" t="s">
        <v>205</v>
      </c>
      <c r="K33" s="10"/>
    </row>
    <row r="34" ht="15.75" customHeight="1">
      <c r="A34" s="10" t="s">
        <v>578</v>
      </c>
      <c r="B34" s="10" t="s">
        <v>203</v>
      </c>
      <c r="C34" s="13" t="str">
        <f t="array" ref="C34">IFERROR(INDEX('간병신청대장'!$B:$B,MATCH($B34,'간병신청대장'!$A:$A,0)),"")</f>
        <v>심윤주 </v>
      </c>
      <c r="D34" s="10" t="s">
        <v>225</v>
      </c>
      <c r="E34" s="10" t="s">
        <v>592</v>
      </c>
      <c r="F34" s="10" t="s">
        <v>593</v>
      </c>
      <c r="G34" s="29">
        <v>10.0</v>
      </c>
      <c r="H34" s="18">
        <v>130000.0</v>
      </c>
      <c r="I34" s="18">
        <v>1300000.0</v>
      </c>
      <c r="J34" s="20" t="s">
        <v>205</v>
      </c>
      <c r="K34" s="10"/>
    </row>
    <row r="35" ht="15.75" customHeight="1">
      <c r="A35" s="10" t="s">
        <v>594</v>
      </c>
      <c r="B35" s="10" t="s">
        <v>203</v>
      </c>
      <c r="C35" s="13" t="str">
        <f t="array" ref="C35">IFERROR(INDEX('간병신청대장'!$B:$B,MATCH($B35,'간병신청대장'!$A:$A,0)),"")</f>
        <v>심윤주 </v>
      </c>
      <c r="D35" s="10" t="s">
        <v>225</v>
      </c>
      <c r="E35" s="10" t="s">
        <v>112</v>
      </c>
      <c r="F35" s="10" t="s">
        <v>603</v>
      </c>
      <c r="G35" s="29">
        <v>10.0</v>
      </c>
      <c r="H35" s="18">
        <v>130000.0</v>
      </c>
      <c r="I35" s="18">
        <v>1300000.0</v>
      </c>
      <c r="J35" s="20" t="s">
        <v>205</v>
      </c>
      <c r="K35" s="10"/>
    </row>
    <row r="36" ht="15.75" customHeight="1">
      <c r="A36" s="10" t="s">
        <v>604</v>
      </c>
      <c r="B36" s="10" t="s">
        <v>203</v>
      </c>
      <c r="C36" s="13" t="str">
        <f t="array" ref="C36">IFERROR(INDEX('간병신청대장'!$B:$B,MATCH($B36,'간병신청대장'!$A:$A,0)),"")</f>
        <v>심윤주 </v>
      </c>
      <c r="D36" s="10" t="s">
        <v>225</v>
      </c>
      <c r="E36" s="10" t="s">
        <v>194</v>
      </c>
      <c r="F36" s="10" t="s">
        <v>612</v>
      </c>
      <c r="G36" s="29">
        <v>11.0</v>
      </c>
      <c r="H36" s="18">
        <v>130000.0</v>
      </c>
      <c r="I36" s="18">
        <v>1430000.0</v>
      </c>
      <c r="J36" s="20" t="s">
        <v>205</v>
      </c>
      <c r="K36" s="10"/>
    </row>
    <row r="37" ht="15.75" customHeight="1">
      <c r="A37" s="10" t="s">
        <v>613</v>
      </c>
      <c r="B37" s="10" t="s">
        <v>203</v>
      </c>
      <c r="C37" s="13" t="str">
        <f t="array" ref="C37">IFERROR(INDEX('간병신청대장'!$B:$B,MATCH($B37,'간병신청대장'!$A:$A,0)),"")</f>
        <v>심윤주 </v>
      </c>
      <c r="D37" s="10" t="s">
        <v>225</v>
      </c>
      <c r="E37" s="10" t="s">
        <v>622</v>
      </c>
      <c r="F37" s="10" t="s">
        <v>623</v>
      </c>
      <c r="G37" s="29">
        <v>10.0</v>
      </c>
      <c r="H37" s="18">
        <v>130000.0</v>
      </c>
      <c r="I37" s="18">
        <v>1300000.0</v>
      </c>
      <c r="J37" s="20" t="s">
        <v>205</v>
      </c>
      <c r="K37" s="10"/>
    </row>
    <row r="38" ht="15.75" customHeight="1">
      <c r="A38" s="10" t="s">
        <v>627</v>
      </c>
      <c r="B38" s="10" t="s">
        <v>235</v>
      </c>
      <c r="C38" s="13" t="str">
        <f t="array" ref="C38">IFERROR(INDEX('간병신청대장'!$B:$B,MATCH($B38,'간병신청대장'!$A:$A,0)),"")</f>
        <v>김진선</v>
      </c>
      <c r="D38" s="10" t="s">
        <v>246</v>
      </c>
      <c r="E38" s="10" t="s">
        <v>95</v>
      </c>
      <c r="F38" s="10" t="s">
        <v>255</v>
      </c>
      <c r="G38" s="29">
        <v>5.2</v>
      </c>
      <c r="H38" s="18">
        <v>140000.0</v>
      </c>
      <c r="I38" s="18">
        <v>730000.0</v>
      </c>
      <c r="J38" s="20" t="s">
        <v>205</v>
      </c>
      <c r="K38" s="10"/>
    </row>
    <row r="39" ht="15.75" customHeight="1">
      <c r="A39" s="10" t="s">
        <v>632</v>
      </c>
      <c r="B39" s="10" t="s">
        <v>259</v>
      </c>
      <c r="C39" s="13" t="str">
        <f t="array" ref="C39">IFERROR(INDEX('간병신청대장'!$B:$B,MATCH($B39,'간병신청대장'!$A:$A,0)),"")</f>
        <v>김진선</v>
      </c>
      <c r="D39" s="10" t="s">
        <v>268</v>
      </c>
      <c r="E39" s="10" t="s">
        <v>95</v>
      </c>
      <c r="F39" s="10" t="s">
        <v>642</v>
      </c>
      <c r="G39" s="29">
        <v>6.0</v>
      </c>
      <c r="H39" s="18">
        <v>140000.0</v>
      </c>
      <c r="I39" s="18">
        <v>840000.0</v>
      </c>
      <c r="J39" s="20" t="s">
        <v>205</v>
      </c>
      <c r="K39" s="10"/>
    </row>
    <row r="40" ht="15.75" customHeight="1">
      <c r="A40" s="10" t="s">
        <v>644</v>
      </c>
      <c r="B40" s="10" t="s">
        <v>295</v>
      </c>
      <c r="C40" s="13" t="str">
        <f t="array" ref="C40">IFERROR(INDEX('간병신청대장'!$B:$B,MATCH($B40,'간병신청대장'!$A:$A,0)),"")</f>
        <v>김진선</v>
      </c>
      <c r="D40" s="10" t="s">
        <v>300</v>
      </c>
      <c r="E40" s="10" t="s">
        <v>190</v>
      </c>
      <c r="F40" s="10" t="s">
        <v>303</v>
      </c>
      <c r="G40" s="29">
        <v>8.0</v>
      </c>
      <c r="H40" s="18">
        <v>140000.0</v>
      </c>
      <c r="I40" s="18">
        <v>1120000.0</v>
      </c>
      <c r="J40" s="20" t="s">
        <v>205</v>
      </c>
      <c r="K40" s="10"/>
    </row>
    <row r="41" ht="15.75" customHeight="1">
      <c r="A41" s="10" t="s">
        <v>653</v>
      </c>
      <c r="B41" s="10" t="s">
        <v>307</v>
      </c>
      <c r="C41" s="13" t="str">
        <f t="array" ref="C41">IFERROR(INDEX('간병신청대장'!$B:$B,MATCH($B41,'간병신청대장'!$A:$A,0)),"")</f>
        <v>김진선</v>
      </c>
      <c r="D41" s="10" t="s">
        <v>300</v>
      </c>
      <c r="E41" s="10" t="s">
        <v>149</v>
      </c>
      <c r="F41" s="10" t="s">
        <v>664</v>
      </c>
      <c r="G41" s="29">
        <v>5.0</v>
      </c>
      <c r="H41" s="18">
        <v>140000.0</v>
      </c>
      <c r="I41" s="18">
        <v>700000.0</v>
      </c>
      <c r="J41" s="20" t="s">
        <v>205</v>
      </c>
      <c r="K41" s="10"/>
    </row>
    <row r="42" ht="15.75" customHeight="1">
      <c r="A42" s="10" t="s">
        <v>665</v>
      </c>
      <c r="B42" s="10" t="s">
        <v>326</v>
      </c>
      <c r="C42" s="13" t="str">
        <f t="array" ref="C42">IFERROR(INDEX('간병신청대장'!$B:$B,MATCH($B42,'간병신청대장'!$A:$A,0)),"")</f>
        <v>김진선</v>
      </c>
      <c r="D42" s="10" t="s">
        <v>300</v>
      </c>
      <c r="E42" s="10" t="s">
        <v>204</v>
      </c>
      <c r="F42" s="10" t="s">
        <v>684</v>
      </c>
      <c r="G42" s="29">
        <v>10.0</v>
      </c>
      <c r="H42" s="18">
        <v>140000.0</v>
      </c>
      <c r="I42" s="18">
        <v>1400000.0</v>
      </c>
      <c r="J42" s="20" t="s">
        <v>205</v>
      </c>
      <c r="K42" s="10"/>
    </row>
    <row r="43" ht="15.75" customHeight="1">
      <c r="A43" s="10" t="s">
        <v>685</v>
      </c>
      <c r="B43" s="10" t="s">
        <v>326</v>
      </c>
      <c r="C43" s="13" t="str">
        <f t="array" ref="C43">IFERROR(INDEX('간병신청대장'!$B:$B,MATCH($B43,'간병신청대장'!$A:$A,0)),"")</f>
        <v>김진선</v>
      </c>
      <c r="D43" s="10" t="s">
        <v>300</v>
      </c>
      <c r="E43" s="10" t="s">
        <v>149</v>
      </c>
      <c r="F43" s="10" t="s">
        <v>696</v>
      </c>
      <c r="G43" s="29">
        <v>5.0</v>
      </c>
      <c r="H43" s="18">
        <v>140000.0</v>
      </c>
      <c r="I43" s="18">
        <v>700000.0</v>
      </c>
      <c r="J43" s="20" t="s">
        <v>205</v>
      </c>
      <c r="K43" s="10"/>
    </row>
    <row r="44" ht="15.75" customHeight="1">
      <c r="A44" s="10" t="s">
        <v>697</v>
      </c>
      <c r="B44" s="10" t="s">
        <v>333</v>
      </c>
      <c r="C44" s="13" t="str">
        <f t="array" ref="C44">IFERROR(INDEX('간병신청대장'!$B:$B,MATCH($B44,'간병신청대장'!$A:$A,0)),"")</f>
        <v>김진선</v>
      </c>
      <c r="D44" s="10" t="s">
        <v>300</v>
      </c>
      <c r="E44" s="10" t="s">
        <v>149</v>
      </c>
      <c r="F44" s="10" t="s">
        <v>351</v>
      </c>
      <c r="G44" s="29">
        <v>2.0</v>
      </c>
      <c r="H44" s="18">
        <v>140000.0</v>
      </c>
      <c r="I44" s="18">
        <v>280000.0</v>
      </c>
      <c r="J44" s="20" t="s">
        <v>205</v>
      </c>
      <c r="K44" s="10"/>
    </row>
    <row r="45" ht="15.75" customHeight="1">
      <c r="A45" s="10" t="s">
        <v>709</v>
      </c>
      <c r="B45" s="10" t="s">
        <v>353</v>
      </c>
      <c r="C45" s="13" t="str">
        <f t="array" ref="C45">IFERROR(INDEX('간병신청대장'!$B:$B,MATCH($B45,'간병신청대장'!$A:$A,0)),"")</f>
        <v>김진선</v>
      </c>
      <c r="D45" s="10" t="s">
        <v>360</v>
      </c>
      <c r="E45" s="10" t="s">
        <v>238</v>
      </c>
      <c r="F45" s="10" t="s">
        <v>368</v>
      </c>
      <c r="G45" s="29">
        <v>4.0</v>
      </c>
      <c r="H45" s="18">
        <v>140000.0</v>
      </c>
      <c r="I45" s="18">
        <v>560000.0</v>
      </c>
      <c r="J45" s="20" t="s">
        <v>205</v>
      </c>
      <c r="K45" s="10"/>
    </row>
    <row r="46" ht="15.75" customHeight="1">
      <c r="A46" s="10" t="s">
        <v>720</v>
      </c>
      <c r="B46" s="10" t="s">
        <v>375</v>
      </c>
      <c r="C46" s="13" t="str">
        <f t="array" ref="C46">IFERROR(INDEX('간병신청대장'!$B:$B,MATCH($B46,'간병신청대장'!$A:$A,0)),"")</f>
        <v>권영술</v>
      </c>
      <c r="D46" s="10" t="s">
        <v>378</v>
      </c>
      <c r="E46" s="10" t="s">
        <v>95</v>
      </c>
      <c r="F46" s="10" t="s">
        <v>736</v>
      </c>
      <c r="G46" s="29">
        <v>9.0</v>
      </c>
      <c r="H46" s="18">
        <v>130000.0</v>
      </c>
      <c r="I46" s="18">
        <v>1170000.0</v>
      </c>
      <c r="J46" s="20" t="s">
        <v>205</v>
      </c>
      <c r="K46" s="10"/>
    </row>
    <row r="47" ht="15.75" customHeight="1">
      <c r="A47" s="10" t="s">
        <v>737</v>
      </c>
      <c r="B47" s="10" t="s">
        <v>386</v>
      </c>
      <c r="C47" s="13" t="str">
        <f t="array" ref="C47">IFERROR(INDEX('간병신청대장'!$B:$B,MATCH($B47,'간병신청대장'!$A:$A,0)),"")</f>
        <v>김진선</v>
      </c>
      <c r="D47" s="10" t="s">
        <v>300</v>
      </c>
      <c r="E47" s="10" t="s">
        <v>238</v>
      </c>
      <c r="F47" s="10" t="s">
        <v>401</v>
      </c>
      <c r="G47" s="29">
        <v>4.0</v>
      </c>
      <c r="H47" s="18">
        <v>140000.0</v>
      </c>
      <c r="I47" s="18">
        <v>560000.0</v>
      </c>
      <c r="J47" s="20" t="s">
        <v>205</v>
      </c>
      <c r="K47" s="10"/>
    </row>
    <row r="48" ht="15.75" customHeight="1">
      <c r="A48" s="10" t="s">
        <v>756</v>
      </c>
      <c r="B48" s="10" t="s">
        <v>404</v>
      </c>
      <c r="C48" s="13" t="str">
        <f t="array" ref="C48">IFERROR(INDEX('간병신청대장'!$B:$B,MATCH($B48,'간병신청대장'!$A:$A,0)),"")</f>
        <v>김진선</v>
      </c>
      <c r="D48" s="10" t="s">
        <v>300</v>
      </c>
      <c r="E48" s="10" t="s">
        <v>261</v>
      </c>
      <c r="F48" s="10" t="s">
        <v>763</v>
      </c>
      <c r="G48" s="29">
        <v>11.0</v>
      </c>
      <c r="H48" s="18">
        <v>140000.0</v>
      </c>
      <c r="I48" s="18">
        <v>1540000.0</v>
      </c>
      <c r="J48" s="20" t="s">
        <v>205</v>
      </c>
      <c r="K48" s="10"/>
    </row>
    <row r="49" ht="15.75" customHeight="1">
      <c r="A49" s="10" t="s">
        <v>764</v>
      </c>
      <c r="B49" s="10" t="s">
        <v>404</v>
      </c>
      <c r="C49" s="13" t="str">
        <f t="array" ref="C49">IFERROR(INDEX('간병신청대장'!$B:$B,MATCH($B49,'간병신청대장'!$A:$A,0)),"")</f>
        <v>김진선</v>
      </c>
      <c r="D49" s="10" t="s">
        <v>300</v>
      </c>
      <c r="E49" s="10" t="s">
        <v>266</v>
      </c>
      <c r="F49" s="10" t="s">
        <v>769</v>
      </c>
      <c r="G49" s="29">
        <v>10.0</v>
      </c>
      <c r="H49" s="18">
        <v>140000.0</v>
      </c>
      <c r="I49" s="18">
        <v>1400000.0</v>
      </c>
      <c r="J49" s="20" t="s">
        <v>205</v>
      </c>
      <c r="K49" s="10"/>
    </row>
    <row r="50" ht="15.75" customHeight="1">
      <c r="A50" s="10" t="s">
        <v>770</v>
      </c>
      <c r="B50" s="10" t="s">
        <v>435</v>
      </c>
      <c r="C50" s="13" t="str">
        <f t="array" ref="C50">IFERROR(INDEX('간병신청대장'!$B:$B,MATCH($B50,'간병신청대장'!$A:$A,0)),"")</f>
        <v>김진선</v>
      </c>
      <c r="D50" s="10" t="s">
        <v>300</v>
      </c>
      <c r="E50" s="10" t="s">
        <v>281</v>
      </c>
      <c r="F50" s="10" t="s">
        <v>447</v>
      </c>
      <c r="G50" s="29">
        <v>6.0</v>
      </c>
      <c r="H50" s="18">
        <v>140000.0</v>
      </c>
      <c r="I50" s="18">
        <v>840000.0</v>
      </c>
      <c r="J50" s="20" t="s">
        <v>205</v>
      </c>
      <c r="K50" s="10"/>
    </row>
    <row r="51" ht="15.75" customHeight="1">
      <c r="A51" s="10" t="s">
        <v>778</v>
      </c>
      <c r="B51" s="10" t="s">
        <v>450</v>
      </c>
      <c r="C51" s="13" t="str">
        <f t="array" ref="C51">IFERROR(INDEX('간병신청대장'!$B:$B,MATCH($B51,'간병신청대장'!$A:$A,0)),"")</f>
        <v>김진선</v>
      </c>
      <c r="D51" s="10" t="s">
        <v>456</v>
      </c>
      <c r="E51" s="10" t="s">
        <v>281</v>
      </c>
      <c r="F51" s="10" t="s">
        <v>458</v>
      </c>
      <c r="G51" s="29">
        <v>3.0</v>
      </c>
      <c r="H51" s="18">
        <v>140000.0</v>
      </c>
      <c r="I51" s="18">
        <v>420000.0</v>
      </c>
      <c r="J51" s="20" t="s">
        <v>205</v>
      </c>
      <c r="K51" s="10"/>
    </row>
    <row r="52" ht="15.75" customHeight="1">
      <c r="A52" s="10" t="s">
        <v>793</v>
      </c>
      <c r="B52" s="10" t="s">
        <v>461</v>
      </c>
      <c r="C52" s="13" t="str">
        <f t="array" ref="C52">IFERROR(INDEX('간병신청대장'!$B:$B,MATCH($B52,'간병신청대장'!$A:$A,0)),"")</f>
        <v>김진선</v>
      </c>
      <c r="D52" s="10" t="s">
        <v>300</v>
      </c>
      <c r="E52" s="10" t="s">
        <v>567</v>
      </c>
      <c r="F52" s="10" t="s">
        <v>804</v>
      </c>
      <c r="G52" s="29">
        <v>10.0</v>
      </c>
      <c r="H52" s="18">
        <v>140000.0</v>
      </c>
      <c r="I52" s="18">
        <v>1400000.0</v>
      </c>
      <c r="J52" s="20" t="s">
        <v>205</v>
      </c>
      <c r="K52" s="10"/>
    </row>
    <row r="53" ht="15.75" customHeight="1">
      <c r="A53" s="10" t="s">
        <v>815</v>
      </c>
      <c r="B53" s="10" t="s">
        <v>461</v>
      </c>
      <c r="C53" s="13" t="str">
        <f t="array" ref="C53">IFERROR(INDEX('간병신청대장'!$B:$B,MATCH($B53,'간병신청대장'!$A:$A,0)),"")</f>
        <v>김진선</v>
      </c>
      <c r="D53" s="10" t="s">
        <v>300</v>
      </c>
      <c r="E53" s="10" t="s">
        <v>592</v>
      </c>
      <c r="F53" s="10" t="s">
        <v>816</v>
      </c>
      <c r="G53" s="29">
        <v>10.0</v>
      </c>
      <c r="H53" s="18">
        <v>140000.0</v>
      </c>
      <c r="I53" s="18">
        <v>1400000.0</v>
      </c>
      <c r="J53" s="20" t="s">
        <v>205</v>
      </c>
      <c r="K53" s="10"/>
    </row>
    <row r="54" ht="15.75" customHeight="1">
      <c r="A54" s="10" t="s">
        <v>827</v>
      </c>
      <c r="B54" s="10" t="s">
        <v>480</v>
      </c>
      <c r="C54" s="13" t="str">
        <f t="array" ref="C54">IFERROR(INDEX('간병신청대장'!$B:$B,MATCH($B54,'간병신청대장'!$A:$A,0)),"")</f>
        <v>김진선</v>
      </c>
      <c r="D54" s="10" t="s">
        <v>300</v>
      </c>
      <c r="E54" s="10" t="s">
        <v>112</v>
      </c>
      <c r="F54" s="10" t="s">
        <v>836</v>
      </c>
      <c r="G54" s="29">
        <v>10.0</v>
      </c>
      <c r="H54" s="18">
        <v>140000.0</v>
      </c>
      <c r="I54" s="18">
        <v>1400000.0</v>
      </c>
      <c r="J54" s="20" t="s">
        <v>205</v>
      </c>
      <c r="K54" s="10"/>
    </row>
    <row r="55" ht="15.75" customHeight="1">
      <c r="A55" s="10" t="s">
        <v>837</v>
      </c>
      <c r="B55" s="10" t="s">
        <v>486</v>
      </c>
      <c r="C55" s="13" t="str">
        <f t="array" ref="C55">IFERROR(INDEX('간병신청대장'!$B:$B,MATCH($B55,'간병신청대장'!$A:$A,0)),"")</f>
        <v>김진선</v>
      </c>
      <c r="D55" s="10" t="s">
        <v>300</v>
      </c>
      <c r="E55" s="10" t="s">
        <v>194</v>
      </c>
      <c r="F55" s="10" t="s">
        <v>849</v>
      </c>
      <c r="G55" s="29">
        <v>11.0</v>
      </c>
      <c r="H55" s="18">
        <v>140000.0</v>
      </c>
      <c r="I55" s="18">
        <v>1540000.0</v>
      </c>
      <c r="J55" s="20" t="s">
        <v>205</v>
      </c>
      <c r="K55" s="10"/>
    </row>
    <row r="56" ht="15.75" customHeight="1">
      <c r="A56" s="10" t="s">
        <v>853</v>
      </c>
      <c r="B56" s="10" t="s">
        <v>486</v>
      </c>
      <c r="C56" s="13" t="str">
        <f t="array" ref="C56">IFERROR(INDEX('간병신청대장'!$B:$B,MATCH($B56,'간병신청대장'!$A:$A,0)),"")</f>
        <v>김진선</v>
      </c>
      <c r="D56" s="10" t="s">
        <v>300</v>
      </c>
      <c r="E56" s="10" t="s">
        <v>622</v>
      </c>
      <c r="F56" s="10" t="s">
        <v>862</v>
      </c>
      <c r="G56" s="29">
        <v>3.0</v>
      </c>
      <c r="H56" s="18">
        <v>140000.0</v>
      </c>
      <c r="I56" s="18">
        <v>420000.0</v>
      </c>
      <c r="J56" s="20" t="s">
        <v>205</v>
      </c>
      <c r="K56" s="10"/>
    </row>
    <row r="57" ht="15.75" customHeight="1">
      <c r="A57" s="10" t="s">
        <v>865</v>
      </c>
      <c r="B57" s="10" t="s">
        <v>501</v>
      </c>
      <c r="C57" s="13" t="str">
        <f t="array" ref="C57">IFERROR(INDEX('간병신청대장'!$B:$B,MATCH($B57,'간병신청대장'!$A:$A,0)),"")</f>
        <v>김진선</v>
      </c>
      <c r="D57" s="10" t="s">
        <v>504</v>
      </c>
      <c r="E57" s="10" t="s">
        <v>622</v>
      </c>
      <c r="F57" s="10" t="s">
        <v>506</v>
      </c>
      <c r="G57" s="29">
        <v>3.0</v>
      </c>
      <c r="H57" s="18">
        <v>140000.0</v>
      </c>
      <c r="I57" s="18">
        <v>420000.0</v>
      </c>
      <c r="J57" s="20" t="s">
        <v>205</v>
      </c>
      <c r="K57" s="10"/>
    </row>
    <row r="58" ht="15.75" customHeight="1">
      <c r="A58" s="10" t="s">
        <v>871</v>
      </c>
      <c r="B58" s="10" t="s">
        <v>510</v>
      </c>
      <c r="C58" s="13" t="str">
        <f t="array" ref="C58">IFERROR(INDEX('간병신청대장'!$B:$B,MATCH($B58,'간병신청대장'!$A:$A,0)),"")</f>
        <v>권영술</v>
      </c>
      <c r="D58" s="10" t="s">
        <v>522</v>
      </c>
      <c r="E58" s="10" t="s">
        <v>190</v>
      </c>
      <c r="F58" s="10" t="s">
        <v>883</v>
      </c>
      <c r="G58" s="29">
        <v>10.0</v>
      </c>
      <c r="H58" s="18">
        <v>140000.0</v>
      </c>
      <c r="I58" s="18">
        <v>1400000.0</v>
      </c>
      <c r="J58" s="20" t="s">
        <v>205</v>
      </c>
      <c r="K58" s="10"/>
    </row>
    <row r="59" ht="15.75" customHeight="1">
      <c r="A59" s="10" t="s">
        <v>884</v>
      </c>
      <c r="B59" s="10" t="s">
        <v>510</v>
      </c>
      <c r="C59" s="13" t="str">
        <f t="array" ref="C59">IFERROR(INDEX('간병신청대장'!$B:$B,MATCH($B59,'간병신청대장'!$A:$A,0)),"")</f>
        <v>권영술</v>
      </c>
      <c r="D59" s="10" t="s">
        <v>522</v>
      </c>
      <c r="E59" s="10" t="s">
        <v>204</v>
      </c>
      <c r="F59" s="10" t="s">
        <v>895</v>
      </c>
      <c r="G59" s="29">
        <v>10.0</v>
      </c>
      <c r="H59" s="18">
        <v>140000.0</v>
      </c>
      <c r="I59" s="18">
        <v>1400000.0</v>
      </c>
      <c r="J59" s="20" t="s">
        <v>205</v>
      </c>
      <c r="K59" s="10"/>
    </row>
    <row r="60" ht="15.75" customHeight="1">
      <c r="A60" s="10" t="s">
        <v>896</v>
      </c>
      <c r="B60" s="10" t="s">
        <v>510</v>
      </c>
      <c r="C60" s="13" t="str">
        <f t="array" ref="C60">IFERROR(INDEX('간병신청대장'!$B:$B,MATCH($B60,'간병신청대장'!$A:$A,0)),"")</f>
        <v>권영술</v>
      </c>
      <c r="D60" s="10" t="s">
        <v>522</v>
      </c>
      <c r="E60" s="10" t="s">
        <v>149</v>
      </c>
      <c r="F60" s="10" t="s">
        <v>527</v>
      </c>
      <c r="G60" s="29">
        <v>11.0</v>
      </c>
      <c r="H60" s="18">
        <v>140000.0</v>
      </c>
      <c r="I60" s="18">
        <v>1540000.0</v>
      </c>
      <c r="J60" s="20" t="s">
        <v>205</v>
      </c>
      <c r="K60" s="10"/>
    </row>
    <row r="61" ht="15.75" customHeight="1">
      <c r="A61" s="10" t="s">
        <v>905</v>
      </c>
      <c r="B61" s="10" t="s">
        <v>530</v>
      </c>
      <c r="C61" s="13" t="str">
        <f t="array" ref="C61">IFERROR(INDEX('간병신청대장'!$B:$B,MATCH($B61,'간병신청대장'!$A:$A,0)),"")</f>
        <v>전남영</v>
      </c>
      <c r="D61" s="10" t="s">
        <v>535</v>
      </c>
      <c r="E61" s="10" t="s">
        <v>95</v>
      </c>
      <c r="F61" s="10" t="s">
        <v>383</v>
      </c>
      <c r="G61" s="29">
        <v>9.0</v>
      </c>
      <c r="H61" s="18">
        <v>130000.0</v>
      </c>
      <c r="I61" s="18">
        <v>1170000.0</v>
      </c>
      <c r="J61" s="20" t="s">
        <v>205</v>
      </c>
      <c r="K61" s="10"/>
    </row>
    <row r="62" ht="15.75" customHeight="1">
      <c r="A62" s="10" t="s">
        <v>915</v>
      </c>
      <c r="B62" s="10" t="s">
        <v>530</v>
      </c>
      <c r="C62" s="13" t="str">
        <f t="array" ref="C62">IFERROR(INDEX('간병신청대장'!$B:$B,MATCH($B62,'간병신청대장'!$A:$A,0)),"")</f>
        <v>전남영</v>
      </c>
      <c r="D62" s="10" t="s">
        <v>535</v>
      </c>
      <c r="E62" s="10" t="s">
        <v>190</v>
      </c>
      <c r="F62" s="10" t="s">
        <v>914</v>
      </c>
      <c r="G62" s="29">
        <v>10.0</v>
      </c>
      <c r="H62" s="18">
        <v>130000.0</v>
      </c>
      <c r="I62" s="18">
        <v>1300000.0</v>
      </c>
      <c r="J62" s="20" t="s">
        <v>205</v>
      </c>
      <c r="K62" s="10"/>
    </row>
    <row r="63" ht="15.75" customHeight="1">
      <c r="A63" s="10" t="s">
        <v>921</v>
      </c>
      <c r="B63" s="10" t="s">
        <v>530</v>
      </c>
      <c r="C63" s="13" t="str">
        <f t="array" ref="C63">IFERROR(INDEX('간병신청대장'!$B:$B,MATCH($B63,'간병신청대장'!$A:$A,0)),"")</f>
        <v>전남영</v>
      </c>
      <c r="D63" s="10" t="s">
        <v>535</v>
      </c>
      <c r="E63" s="10" t="s">
        <v>204</v>
      </c>
      <c r="F63" s="10" t="s">
        <v>924</v>
      </c>
      <c r="G63" s="29">
        <v>10.0</v>
      </c>
      <c r="H63" s="18">
        <v>130000.0</v>
      </c>
      <c r="I63" s="18">
        <v>1300000.0</v>
      </c>
      <c r="J63" s="20" t="s">
        <v>205</v>
      </c>
      <c r="K63" s="10"/>
    </row>
    <row r="64" ht="15.75" customHeight="1">
      <c r="A64" s="10" t="s">
        <v>926</v>
      </c>
      <c r="B64" s="10" t="s">
        <v>530</v>
      </c>
      <c r="C64" s="13" t="str">
        <f t="array" ref="C64">IFERROR(INDEX('간병신청대장'!$B:$B,MATCH($B64,'간병신청대장'!$A:$A,0)),"")</f>
        <v>전남영</v>
      </c>
      <c r="D64" s="10" t="s">
        <v>535</v>
      </c>
      <c r="E64" s="10" t="s">
        <v>238</v>
      </c>
      <c r="F64" s="10" t="s">
        <v>540</v>
      </c>
      <c r="G64" s="29">
        <v>14.0</v>
      </c>
      <c r="H64" s="18">
        <v>130000.0</v>
      </c>
      <c r="I64" s="18">
        <v>1820000.0</v>
      </c>
      <c r="J64" s="20" t="s">
        <v>205</v>
      </c>
      <c r="K64" s="10"/>
    </row>
    <row r="65" ht="15.75" customHeight="1">
      <c r="A65" s="10" t="s">
        <v>937</v>
      </c>
      <c r="B65" s="10" t="s">
        <v>544</v>
      </c>
      <c r="C65" s="13" t="str">
        <f t="array" ref="C65">IFERROR(INDEX('간병신청대장'!$B:$B,MATCH($B65,'간병신청대장'!$A:$A,0)),"")</f>
        <v>전남영</v>
      </c>
      <c r="D65" s="10" t="s">
        <v>556</v>
      </c>
      <c r="E65" s="10" t="s">
        <v>266</v>
      </c>
      <c r="F65" s="10" t="s">
        <v>941</v>
      </c>
      <c r="G65" s="29">
        <v>31.0</v>
      </c>
      <c r="H65" s="18">
        <v>135000.0</v>
      </c>
      <c r="I65" s="18">
        <v>4185000.0</v>
      </c>
      <c r="J65" s="20" t="s">
        <v>205</v>
      </c>
      <c r="K65" s="10"/>
    </row>
    <row r="66" ht="15.75" customHeight="1">
      <c r="A66" s="10" t="s">
        <v>942</v>
      </c>
      <c r="B66" s="10" t="s">
        <v>544</v>
      </c>
      <c r="C66" s="13" t="str">
        <f t="array" ref="C66">IFERROR(INDEX('간병신청대장'!$B:$B,MATCH($B66,'간병신청대장'!$A:$A,0)),"")</f>
        <v>전남영</v>
      </c>
      <c r="D66" s="10" t="s">
        <v>556</v>
      </c>
      <c r="E66" s="10" t="s">
        <v>281</v>
      </c>
      <c r="F66" s="10" t="s">
        <v>774</v>
      </c>
      <c r="G66" s="29">
        <v>6.0</v>
      </c>
      <c r="H66" s="18">
        <v>135000.0</v>
      </c>
      <c r="I66" s="18">
        <v>810000.0</v>
      </c>
      <c r="J66" s="20" t="s">
        <v>205</v>
      </c>
      <c r="K66" s="10"/>
    </row>
    <row r="67" ht="15.75" customHeight="1">
      <c r="A67" s="10" t="s">
        <v>960</v>
      </c>
      <c r="B67" s="10" t="s">
        <v>564</v>
      </c>
      <c r="C67" s="13" t="str">
        <f t="array" ref="C67">IFERROR(INDEX('간병신청대장'!$B:$B,MATCH($B67,'간병신청대장'!$A:$A,0)),"")</f>
        <v>전남영</v>
      </c>
      <c r="D67" s="10" t="s">
        <v>581</v>
      </c>
      <c r="E67" s="10" t="s">
        <v>567</v>
      </c>
      <c r="F67" s="10" t="s">
        <v>969</v>
      </c>
      <c r="G67" s="29">
        <v>11.0</v>
      </c>
      <c r="H67" s="18">
        <v>140000.0</v>
      </c>
      <c r="I67" s="18">
        <v>1540000.0</v>
      </c>
      <c r="J67" s="20" t="s">
        <v>205</v>
      </c>
      <c r="K67" s="10"/>
    </row>
    <row r="68" ht="15.75" customHeight="1">
      <c r="A68" s="10" t="s">
        <v>970</v>
      </c>
      <c r="B68" s="10" t="s">
        <v>564</v>
      </c>
      <c r="C68" s="13" t="str">
        <f t="array" ref="C68">IFERROR(INDEX('간병신청대장'!$B:$B,MATCH($B68,'간병신청대장'!$A:$A,0)),"")</f>
        <v>전남영</v>
      </c>
      <c r="D68" s="10" t="s">
        <v>581</v>
      </c>
      <c r="E68" s="10" t="s">
        <v>592</v>
      </c>
      <c r="F68" s="10" t="s">
        <v>983</v>
      </c>
      <c r="G68" s="29">
        <v>10.0</v>
      </c>
      <c r="H68" s="18">
        <v>140000.0</v>
      </c>
      <c r="I68" s="18">
        <v>1400000.0</v>
      </c>
      <c r="J68" s="20" t="s">
        <v>205</v>
      </c>
      <c r="K68" s="10"/>
    </row>
    <row r="69" ht="15.75" customHeight="1">
      <c r="A69" s="10" t="s">
        <v>984</v>
      </c>
      <c r="B69" s="10" t="s">
        <v>564</v>
      </c>
      <c r="C69" s="13" t="str">
        <f t="array" ref="C69">IFERROR(INDEX('간병신청대장'!$B:$B,MATCH($B69,'간병신청대장'!$A:$A,0)),"")</f>
        <v>전남영</v>
      </c>
      <c r="D69" s="10" t="s">
        <v>581</v>
      </c>
      <c r="E69" s="10" t="s">
        <v>112</v>
      </c>
      <c r="F69" s="10" t="s">
        <v>1002</v>
      </c>
      <c r="G69" s="29">
        <v>10.0</v>
      </c>
      <c r="H69" s="18">
        <v>140000.0</v>
      </c>
      <c r="I69" s="18">
        <v>1400000.0</v>
      </c>
      <c r="J69" s="20" t="s">
        <v>205</v>
      </c>
      <c r="K69" s="10"/>
    </row>
    <row r="70" ht="15.75" customHeight="1">
      <c r="A70" s="10" t="s">
        <v>1003</v>
      </c>
      <c r="B70" s="10" t="s">
        <v>564</v>
      </c>
      <c r="C70" s="13" t="str">
        <f t="array" ref="C70">IFERROR(INDEX('간병신청대장'!$B:$B,MATCH($B70,'간병신청대장'!$A:$A,0)),"")</f>
        <v>전남영</v>
      </c>
      <c r="D70" s="10" t="s">
        <v>581</v>
      </c>
      <c r="E70" s="10" t="s">
        <v>194</v>
      </c>
      <c r="F70" s="10" t="s">
        <v>1014</v>
      </c>
      <c r="G70" s="29">
        <v>11.0</v>
      </c>
      <c r="H70" s="18">
        <v>140000.0</v>
      </c>
      <c r="I70" s="18">
        <v>1540000.0</v>
      </c>
      <c r="J70" s="20" t="s">
        <v>205</v>
      </c>
      <c r="K70" s="10"/>
    </row>
    <row r="71" ht="15.75" customHeight="1">
      <c r="A71" s="10" t="s">
        <v>1015</v>
      </c>
      <c r="B71" s="10" t="s">
        <v>564</v>
      </c>
      <c r="C71" s="13" t="str">
        <f t="array" ref="C71">IFERROR(INDEX('간병신청대장'!$B:$B,MATCH($B71,'간병신청대장'!$A:$A,0)),"")</f>
        <v>전남영</v>
      </c>
      <c r="D71" s="10" t="s">
        <v>581</v>
      </c>
      <c r="E71" s="10" t="s">
        <v>622</v>
      </c>
      <c r="F71" s="10" t="s">
        <v>1026</v>
      </c>
      <c r="G71" s="29">
        <v>10.0</v>
      </c>
      <c r="H71" s="18">
        <v>140000.0</v>
      </c>
      <c r="I71" s="18">
        <v>1400000.0</v>
      </c>
      <c r="J71" s="20" t="s">
        <v>205</v>
      </c>
      <c r="K71" s="10"/>
    </row>
    <row r="72" ht="15.75" customHeight="1">
      <c r="A72" s="10" t="s">
        <v>1027</v>
      </c>
      <c r="B72" s="10" t="s">
        <v>591</v>
      </c>
      <c r="C72" s="13" t="str">
        <f t="array" ref="C72">IFERROR(INDEX('간병신청대장'!$B:$B,MATCH($B72,'간병신청대장'!$A:$A,0)),"")</f>
        <v>이성자</v>
      </c>
      <c r="D72" s="10" t="s">
        <v>605</v>
      </c>
      <c r="E72" s="10" t="s">
        <v>95</v>
      </c>
      <c r="F72" s="10" t="s">
        <v>383</v>
      </c>
      <c r="G72" s="29">
        <v>9.0</v>
      </c>
      <c r="H72" s="18">
        <v>150000.0</v>
      </c>
      <c r="I72" s="18">
        <v>1350000.0</v>
      </c>
      <c r="J72" s="20" t="s">
        <v>205</v>
      </c>
      <c r="K72" s="10"/>
    </row>
    <row r="73" ht="15.75" customHeight="1">
      <c r="A73" s="10" t="s">
        <v>1037</v>
      </c>
      <c r="B73" s="10" t="s">
        <v>591</v>
      </c>
      <c r="C73" s="13" t="str">
        <f t="array" ref="C73">IFERROR(INDEX('간병신청대장'!$B:$B,MATCH($B73,'간병신청대장'!$A:$A,0)),"")</f>
        <v>이성자</v>
      </c>
      <c r="D73" s="10" t="s">
        <v>605</v>
      </c>
      <c r="E73" s="10" t="s">
        <v>190</v>
      </c>
      <c r="F73" s="10" t="s">
        <v>914</v>
      </c>
      <c r="G73" s="29">
        <v>10.0</v>
      </c>
      <c r="H73" s="18">
        <v>150000.0</v>
      </c>
      <c r="I73" s="18">
        <v>1500000.0</v>
      </c>
      <c r="J73" s="20" t="s">
        <v>205</v>
      </c>
      <c r="K73" s="10"/>
    </row>
    <row r="74" ht="15.75" customHeight="1">
      <c r="A74" s="10" t="s">
        <v>1043</v>
      </c>
      <c r="B74" s="10" t="s">
        <v>591</v>
      </c>
      <c r="C74" s="13" t="str">
        <f t="array" ref="C74">IFERROR(INDEX('간병신청대장'!$B:$B,MATCH($B74,'간병신청대장'!$A:$A,0)),"")</f>
        <v>이성자</v>
      </c>
      <c r="D74" s="10" t="s">
        <v>605</v>
      </c>
      <c r="E74" s="10" t="s">
        <v>204</v>
      </c>
      <c r="F74" s="10" t="s">
        <v>1048</v>
      </c>
      <c r="G74" s="29">
        <v>11.0</v>
      </c>
      <c r="H74" s="18">
        <v>150000.0</v>
      </c>
      <c r="I74" s="18">
        <v>1650000.0</v>
      </c>
      <c r="J74" s="20" t="s">
        <v>205</v>
      </c>
      <c r="K74" s="10"/>
    </row>
    <row r="75" ht="15.75" customHeight="1">
      <c r="A75" s="10" t="s">
        <v>1049</v>
      </c>
      <c r="B75" s="10" t="s">
        <v>611</v>
      </c>
      <c r="C75" s="13" t="str">
        <f t="array" ref="C75">IFERROR(INDEX('간병신청대장'!$B:$B,MATCH($B75,'간병신청대장'!$A:$A,0)),"")</f>
        <v>이성자</v>
      </c>
      <c r="D75" s="10" t="s">
        <v>617</v>
      </c>
      <c r="E75" s="10" t="s">
        <v>238</v>
      </c>
      <c r="F75" s="10" t="s">
        <v>624</v>
      </c>
      <c r="G75" s="29">
        <v>12.0</v>
      </c>
      <c r="H75" s="18">
        <v>140000.0</v>
      </c>
      <c r="I75" s="18">
        <v>1680000.0</v>
      </c>
      <c r="J75" s="20" t="s">
        <v>205</v>
      </c>
      <c r="K75" s="10"/>
    </row>
    <row r="76" ht="15.75" customHeight="1">
      <c r="A76" s="10" t="s">
        <v>1067</v>
      </c>
      <c r="B76" s="10" t="s">
        <v>628</v>
      </c>
      <c r="C76" s="13" t="str">
        <f t="array" ref="C76">IFERROR(INDEX('간병신청대장'!$B:$B,MATCH($B76,'간병신청대장'!$A:$A,0)),"")</f>
        <v>신용찬</v>
      </c>
      <c r="D76" s="10" t="s">
        <v>633</v>
      </c>
      <c r="E76" s="10" t="s">
        <v>190</v>
      </c>
      <c r="F76" s="10" t="s">
        <v>1069</v>
      </c>
      <c r="G76" s="29">
        <v>20.0</v>
      </c>
      <c r="H76" s="18">
        <v>160000.0</v>
      </c>
      <c r="I76" s="18">
        <v>3200000.0</v>
      </c>
      <c r="J76" s="20" t="s">
        <v>205</v>
      </c>
      <c r="K76" s="10"/>
    </row>
    <row r="77" ht="15.75" customHeight="1">
      <c r="A77" s="10" t="s">
        <v>1071</v>
      </c>
      <c r="B77" s="10" t="s">
        <v>628</v>
      </c>
      <c r="C77" s="13" t="str">
        <f t="array" ref="C77">IFERROR(INDEX('간병신청대장'!$B:$B,MATCH($B77,'간병신청대장'!$A:$A,0)),"")</f>
        <v>신용찬</v>
      </c>
      <c r="D77" s="10" t="s">
        <v>633</v>
      </c>
      <c r="E77" s="10" t="s">
        <v>204</v>
      </c>
      <c r="F77" s="10" t="s">
        <v>1081</v>
      </c>
      <c r="G77" s="29">
        <v>9.0</v>
      </c>
      <c r="H77" s="18">
        <v>160000.0</v>
      </c>
      <c r="I77" s="18">
        <v>1440000.0</v>
      </c>
      <c r="J77" s="20" t="s">
        <v>205</v>
      </c>
      <c r="K77" s="10"/>
    </row>
    <row r="78" ht="15.75" customHeight="1">
      <c r="A78" s="10" t="s">
        <v>1082</v>
      </c>
      <c r="B78" s="10" t="s">
        <v>641</v>
      </c>
      <c r="C78" s="13" t="str">
        <f t="array" ref="C78">IFERROR(INDEX('간병신청대장'!$B:$B,MATCH($B78,'간병신청대장'!$A:$A,0)),"")</f>
        <v>오죽삼</v>
      </c>
      <c r="D78" s="10" t="s">
        <v>646</v>
      </c>
      <c r="E78" s="10" t="s">
        <v>95</v>
      </c>
      <c r="F78" s="10" t="s">
        <v>650</v>
      </c>
      <c r="G78" s="41">
        <v>0.35</v>
      </c>
      <c r="H78" s="18"/>
      <c r="I78" s="18">
        <v>35000.0</v>
      </c>
      <c r="J78" s="20" t="s">
        <v>205</v>
      </c>
      <c r="K78" s="10"/>
    </row>
    <row r="79" ht="15.75" customHeight="1">
      <c r="A79" s="10" t="s">
        <v>1094</v>
      </c>
      <c r="B79" s="10" t="s">
        <v>652</v>
      </c>
      <c r="C79" s="13" t="str">
        <f t="array" ref="C79">IFERROR(INDEX('간병신청대장'!$B:$B,MATCH($B79,'간병신청대장'!$A:$A,0)),"")</f>
        <v>오죽삼</v>
      </c>
      <c r="D79" s="10" t="s">
        <v>654</v>
      </c>
      <c r="E79" s="10" t="s">
        <v>95</v>
      </c>
      <c r="F79" s="10" t="s">
        <v>1107</v>
      </c>
      <c r="G79" s="29">
        <v>8.0</v>
      </c>
      <c r="H79" s="18">
        <v>135000.0</v>
      </c>
      <c r="I79" s="18">
        <v>1080000.0</v>
      </c>
      <c r="J79" s="20" t="s">
        <v>205</v>
      </c>
      <c r="K79" s="10"/>
    </row>
    <row r="80" ht="15.75" customHeight="1">
      <c r="A80" s="10" t="s">
        <v>1110</v>
      </c>
      <c r="B80" s="10" t="s">
        <v>662</v>
      </c>
      <c r="C80" s="13" t="str">
        <f t="array" ref="C80">IFERROR(INDEX('간병신청대장'!$B:$B,MATCH($B80,'간병신청대장'!$A:$A,0)),"")</f>
        <v>박영희</v>
      </c>
      <c r="D80" s="10" t="s">
        <v>666</v>
      </c>
      <c r="E80" s="10" t="s">
        <v>95</v>
      </c>
      <c r="F80" s="10" t="s">
        <v>670</v>
      </c>
      <c r="G80" s="29">
        <v>5.0</v>
      </c>
      <c r="H80" s="18">
        <v>130000.0</v>
      </c>
      <c r="I80" s="18">
        <v>650000.0</v>
      </c>
      <c r="J80" s="20" t="s">
        <v>205</v>
      </c>
      <c r="K80" s="10"/>
    </row>
    <row r="81" ht="15.75" customHeight="1">
      <c r="A81" s="10" t="s">
        <v>1120</v>
      </c>
      <c r="B81" s="10" t="s">
        <v>673</v>
      </c>
      <c r="C81" s="13" t="str">
        <f t="array" ref="C81">IFERROR(INDEX('간병신청대장'!$B:$B,MATCH($B81,'간병신청대장'!$A:$A,0)),"")</f>
        <v>조하랑</v>
      </c>
      <c r="D81" s="10" t="s">
        <v>675</v>
      </c>
      <c r="E81" s="10" t="s">
        <v>95</v>
      </c>
      <c r="F81" s="10" t="s">
        <v>681</v>
      </c>
      <c r="G81" s="29">
        <v>2.0</v>
      </c>
      <c r="H81" s="18">
        <v>140000.0</v>
      </c>
      <c r="I81" s="18">
        <v>280000.0</v>
      </c>
      <c r="J81" s="20" t="s">
        <v>205</v>
      </c>
      <c r="K81" s="10"/>
    </row>
    <row r="82" ht="15.75" customHeight="1">
      <c r="A82" s="10" t="s">
        <v>1141</v>
      </c>
      <c r="B82" s="10" t="s">
        <v>683</v>
      </c>
      <c r="C82" s="13" t="str">
        <f t="array" ref="C82">IFERROR(INDEX('간병신청대장'!$B:$B,MATCH($B82,'간병신청대장'!$A:$A,0)),"")</f>
        <v>조하륜</v>
      </c>
      <c r="D82" s="10" t="s">
        <v>688</v>
      </c>
      <c r="E82" s="10" t="s">
        <v>95</v>
      </c>
      <c r="F82" s="10" t="s">
        <v>681</v>
      </c>
      <c r="G82" s="29">
        <v>2.0</v>
      </c>
      <c r="H82" s="18">
        <v>140000.0</v>
      </c>
      <c r="I82" s="18">
        <v>280000.0</v>
      </c>
      <c r="J82" s="20" t="s">
        <v>205</v>
      </c>
      <c r="K82" s="10"/>
    </row>
    <row r="83" ht="15.75" customHeight="1">
      <c r="A83" s="10" t="s">
        <v>1151</v>
      </c>
      <c r="B83" s="10" t="s">
        <v>692</v>
      </c>
      <c r="C83" s="13" t="str">
        <f t="array" ref="C83">IFERROR(INDEX('간병신청대장'!$B:$B,MATCH($B83,'간병신청대장'!$A:$A,0)),"")</f>
        <v>전영수</v>
      </c>
      <c r="D83" s="10" t="s">
        <v>698</v>
      </c>
      <c r="E83" s="10" t="s">
        <v>190</v>
      </c>
      <c r="F83" s="10" t="s">
        <v>703</v>
      </c>
      <c r="G83" s="29">
        <v>16.0</v>
      </c>
      <c r="H83" s="18">
        <v>135000.0</v>
      </c>
      <c r="I83" s="18">
        <v>2160000.0</v>
      </c>
      <c r="J83" s="20" t="s">
        <v>205</v>
      </c>
      <c r="K83" s="10"/>
    </row>
    <row r="84" ht="15.75" customHeight="1">
      <c r="A84" s="10" t="s">
        <v>1160</v>
      </c>
      <c r="B84" s="10" t="s">
        <v>707</v>
      </c>
      <c r="C84" s="13" t="str">
        <f t="array" ref="C84">IFERROR(INDEX('간병신청대장'!$B:$B,MATCH($B84,'간병신청대장'!$A:$A,0)),"")</f>
        <v>고봉석</v>
      </c>
      <c r="D84" s="10" t="s">
        <v>712</v>
      </c>
      <c r="E84" s="10" t="s">
        <v>95</v>
      </c>
      <c r="F84" s="10" t="s">
        <v>681</v>
      </c>
      <c r="G84" s="29">
        <v>2.0</v>
      </c>
      <c r="H84" s="18">
        <v>140000.0</v>
      </c>
      <c r="I84" s="18">
        <v>280000.0</v>
      </c>
      <c r="J84" s="20" t="s">
        <v>205</v>
      </c>
      <c r="K84" s="10"/>
    </row>
    <row r="85" ht="15.75" customHeight="1">
      <c r="A85" s="10" t="s">
        <v>1170</v>
      </c>
      <c r="B85" s="10" t="s">
        <v>718</v>
      </c>
      <c r="C85" s="13" t="str">
        <f t="array" ref="C85">IFERROR(INDEX('간병신청대장'!$B:$B,MATCH($B85,'간병신청대장'!$A:$A,0)),"")</f>
        <v>김명수</v>
      </c>
      <c r="D85" s="10" t="s">
        <v>721</v>
      </c>
      <c r="E85" s="10" t="s">
        <v>95</v>
      </c>
      <c r="F85" s="10" t="s">
        <v>724</v>
      </c>
      <c r="G85" s="29">
        <v>7.0</v>
      </c>
      <c r="H85" s="18">
        <v>135000.0</v>
      </c>
      <c r="I85" s="18">
        <v>945000.0</v>
      </c>
      <c r="J85" s="20" t="s">
        <v>205</v>
      </c>
      <c r="K85" s="10"/>
    </row>
    <row r="86" ht="15.75" customHeight="1">
      <c r="A86" s="10" t="s">
        <v>1194</v>
      </c>
      <c r="B86" s="10" t="s">
        <v>727</v>
      </c>
      <c r="C86" s="13" t="str">
        <f t="array" ref="C86">IFERROR(INDEX('간병신청대장'!$B:$B,MATCH($B86,'간병신청대장'!$A:$A,0)),"")</f>
        <v>김명수</v>
      </c>
      <c r="D86" s="10" t="s">
        <v>730</v>
      </c>
      <c r="E86" s="10" t="s">
        <v>190</v>
      </c>
      <c r="F86" s="10" t="s">
        <v>732</v>
      </c>
      <c r="G86" s="29">
        <v>6.0</v>
      </c>
      <c r="H86" s="18">
        <v>135000.0</v>
      </c>
      <c r="I86" s="18">
        <v>810000.0</v>
      </c>
      <c r="J86" s="20" t="s">
        <v>205</v>
      </c>
      <c r="K86" s="10"/>
    </row>
    <row r="87" ht="15.75" customHeight="1">
      <c r="A87" s="10" t="s">
        <v>1204</v>
      </c>
      <c r="B87" s="10" t="s">
        <v>735</v>
      </c>
      <c r="C87" s="13" t="str">
        <f t="array" ref="C87">IFERROR(INDEX('간병신청대장'!$B:$B,MATCH($B87,'간병신청대장'!$A:$A,0)),"")</f>
        <v>김명수</v>
      </c>
      <c r="D87" s="10" t="s">
        <v>749</v>
      </c>
      <c r="E87" s="10" t="s">
        <v>190</v>
      </c>
      <c r="F87" s="10" t="s">
        <v>303</v>
      </c>
      <c r="G87" s="29">
        <v>6.0</v>
      </c>
      <c r="H87" s="18">
        <v>135000.0</v>
      </c>
      <c r="I87" s="18">
        <v>810000.0</v>
      </c>
      <c r="J87" s="20" t="s">
        <v>205</v>
      </c>
      <c r="K87" s="10"/>
    </row>
    <row r="88" ht="15.75" customHeight="1">
      <c r="A88" s="10" t="s">
        <v>1219</v>
      </c>
      <c r="B88" s="10" t="s">
        <v>735</v>
      </c>
      <c r="C88" s="13" t="str">
        <f t="array" ref="C88">IFERROR(INDEX('간병신청대장'!$B:$B,MATCH($B88,'간병신청대장'!$A:$A,0)),"")</f>
        <v>김명수</v>
      </c>
      <c r="D88" s="10" t="s">
        <v>749</v>
      </c>
      <c r="E88" s="10" t="s">
        <v>204</v>
      </c>
      <c r="F88" s="10" t="s">
        <v>207</v>
      </c>
      <c r="G88" s="29">
        <v>10.0</v>
      </c>
      <c r="H88" s="18">
        <v>135000.0</v>
      </c>
      <c r="I88" s="18">
        <v>1350000.0</v>
      </c>
      <c r="J88" s="20" t="s">
        <v>205</v>
      </c>
      <c r="K88" s="10"/>
    </row>
    <row r="89" ht="15.75" customHeight="1">
      <c r="A89" s="10" t="s">
        <v>1235</v>
      </c>
      <c r="B89" s="10" t="s">
        <v>754</v>
      </c>
      <c r="C89" s="13" t="str">
        <f t="array" ref="C89">IFERROR(INDEX('간병신청대장'!$B:$B,MATCH($B89,'간병신청대장'!$A:$A,0)),"")</f>
        <v>김명수</v>
      </c>
      <c r="D89" s="10" t="s">
        <v>749</v>
      </c>
      <c r="E89" s="10" t="s">
        <v>149</v>
      </c>
      <c r="F89" s="10" t="s">
        <v>1247</v>
      </c>
      <c r="G89" s="29">
        <v>10.0</v>
      </c>
      <c r="H89" s="18">
        <v>135000.0</v>
      </c>
      <c r="I89" s="18">
        <v>1350000.0</v>
      </c>
      <c r="J89" s="20" t="s">
        <v>205</v>
      </c>
      <c r="K89" s="10"/>
    </row>
    <row r="90" ht="15.75" customHeight="1">
      <c r="A90" s="10" t="s">
        <v>1251</v>
      </c>
      <c r="B90" s="10" t="s">
        <v>754</v>
      </c>
      <c r="C90" s="13" t="str">
        <f t="array" ref="C90">IFERROR(INDEX('간병신청대장'!$B:$B,MATCH($B90,'간병신청대장'!$A:$A,0)),"")</f>
        <v>김명수</v>
      </c>
      <c r="D90" s="10" t="s">
        <v>749</v>
      </c>
      <c r="E90" s="10" t="s">
        <v>238</v>
      </c>
      <c r="F90" s="10" t="s">
        <v>758</v>
      </c>
      <c r="G90" s="29">
        <v>6.0</v>
      </c>
      <c r="H90" s="18">
        <v>135000.0</v>
      </c>
      <c r="I90" s="18">
        <v>810000.0</v>
      </c>
      <c r="J90" s="20" t="s">
        <v>205</v>
      </c>
      <c r="K90" s="10"/>
    </row>
    <row r="91" ht="15.75" customHeight="1">
      <c r="A91" s="10" t="s">
        <v>1262</v>
      </c>
      <c r="B91" s="10" t="s">
        <v>760</v>
      </c>
      <c r="C91" s="13" t="str">
        <f t="array" ref="C91">IFERROR(INDEX('간병신청대장'!$B:$B,MATCH($B91,'간병신청대장'!$A:$A,0)),"")</f>
        <v>김명수</v>
      </c>
      <c r="D91" s="10" t="s">
        <v>749</v>
      </c>
      <c r="E91" s="10" t="s">
        <v>238</v>
      </c>
      <c r="F91" s="10" t="s">
        <v>1277</v>
      </c>
      <c r="G91" s="29">
        <v>3.0</v>
      </c>
      <c r="H91" s="18">
        <v>135000.0</v>
      </c>
      <c r="I91" s="18">
        <v>405000.0</v>
      </c>
      <c r="J91" s="20" t="s">
        <v>205</v>
      </c>
      <c r="K91" s="10"/>
    </row>
    <row r="92" ht="15.75" customHeight="1">
      <c r="A92" s="10" t="s">
        <v>1280</v>
      </c>
      <c r="B92" s="10" t="s">
        <v>760</v>
      </c>
      <c r="C92" s="13" t="str">
        <f t="array" ref="C92">IFERROR(INDEX('간병신청대장'!$B:$B,MATCH($B92,'간병신청대장'!$A:$A,0)),"")</f>
        <v>김명수</v>
      </c>
      <c r="D92" s="10" t="s">
        <v>749</v>
      </c>
      <c r="E92" s="10" t="s">
        <v>261</v>
      </c>
      <c r="F92" s="10" t="s">
        <v>1288</v>
      </c>
      <c r="G92" s="29">
        <v>11.0</v>
      </c>
      <c r="H92" s="18">
        <v>135000.0</v>
      </c>
      <c r="I92" s="18">
        <v>1485000.0</v>
      </c>
      <c r="J92" s="20" t="s">
        <v>205</v>
      </c>
      <c r="K92" s="10"/>
    </row>
    <row r="93" ht="15.75" customHeight="1">
      <c r="A93" s="10" t="s">
        <v>1289</v>
      </c>
      <c r="B93" s="10" t="s">
        <v>760</v>
      </c>
      <c r="C93" s="13" t="str">
        <f t="array" ref="C93">IFERROR(INDEX('간병신청대장'!$B:$B,MATCH($B93,'간병신청대장'!$A:$A,0)),"")</f>
        <v>김명수</v>
      </c>
      <c r="D93" s="10" t="s">
        <v>749</v>
      </c>
      <c r="E93" s="10" t="s">
        <v>266</v>
      </c>
      <c r="F93" s="10" t="s">
        <v>766</v>
      </c>
      <c r="G93" s="29">
        <v>2.0</v>
      </c>
      <c r="H93" s="18">
        <v>135000.0</v>
      </c>
      <c r="I93" s="18">
        <v>270000.0</v>
      </c>
      <c r="J93" s="20" t="s">
        <v>205</v>
      </c>
      <c r="K93" s="10"/>
    </row>
    <row r="94" ht="15.75" customHeight="1">
      <c r="A94" s="10" t="s">
        <v>1311</v>
      </c>
      <c r="B94" s="10" t="s">
        <v>768</v>
      </c>
      <c r="C94" s="13" t="str">
        <f t="array" ref="C94">IFERROR(INDEX('간병신청대장'!$B:$B,MATCH($B94,'간병신청대장'!$A:$A,0)),"")</f>
        <v>김명수</v>
      </c>
      <c r="D94" s="10" t="s">
        <v>749</v>
      </c>
      <c r="E94" s="10" t="s">
        <v>266</v>
      </c>
      <c r="F94" s="10" t="s">
        <v>1314</v>
      </c>
      <c r="G94" s="29">
        <v>7.0</v>
      </c>
      <c r="H94" s="18">
        <v>135000.0</v>
      </c>
      <c r="I94" s="18">
        <v>945000.0</v>
      </c>
      <c r="J94" s="20" t="s">
        <v>205</v>
      </c>
      <c r="K94" s="10"/>
    </row>
    <row r="95" ht="15.75" customHeight="1">
      <c r="A95" s="10" t="s">
        <v>1317</v>
      </c>
      <c r="B95" s="10" t="s">
        <v>768</v>
      </c>
      <c r="C95" s="13" t="str">
        <f t="array" ref="C95">IFERROR(INDEX('간병신청대장'!$B:$B,MATCH($B95,'간병신청대장'!$A:$A,0)),"")</f>
        <v>김명수</v>
      </c>
      <c r="D95" s="10" t="s">
        <v>749</v>
      </c>
      <c r="E95" s="10" t="s">
        <v>281</v>
      </c>
      <c r="F95" s="10" t="s">
        <v>774</v>
      </c>
      <c r="G95" s="29">
        <v>8.0</v>
      </c>
      <c r="H95" s="18">
        <v>135000.0</v>
      </c>
      <c r="I95" s="18">
        <v>1080000.0</v>
      </c>
      <c r="J95" s="20" t="s">
        <v>205</v>
      </c>
      <c r="K95" s="10"/>
    </row>
    <row r="96" ht="15.75" customHeight="1">
      <c r="A96" s="10" t="s">
        <v>1329</v>
      </c>
      <c r="B96" s="10" t="s">
        <v>776</v>
      </c>
      <c r="C96" s="13" t="str">
        <f t="array" ref="C96">IFERROR(INDEX('간병신청대장'!$B:$B,MATCH($B96,'간병신청대장'!$A:$A,0)),"")</f>
        <v>마율하</v>
      </c>
      <c r="D96" s="10" t="s">
        <v>781</v>
      </c>
      <c r="E96" s="10" t="s">
        <v>95</v>
      </c>
      <c r="F96" s="10" t="s">
        <v>376</v>
      </c>
      <c r="G96" s="29">
        <v>8.0</v>
      </c>
      <c r="H96" s="18">
        <v>135000.0</v>
      </c>
      <c r="I96" s="18">
        <v>1080000.0</v>
      </c>
      <c r="J96" s="20" t="s">
        <v>205</v>
      </c>
      <c r="K96" s="10"/>
    </row>
    <row r="97" ht="15.75" customHeight="1">
      <c r="A97" s="10" t="s">
        <v>1341</v>
      </c>
      <c r="B97" s="10" t="s">
        <v>776</v>
      </c>
      <c r="C97" s="13" t="str">
        <f t="array" ref="C97">IFERROR(INDEX('간병신청대장'!$B:$B,MATCH($B97,'간병신청대장'!$A:$A,0)),"")</f>
        <v>마율하</v>
      </c>
      <c r="D97" s="10" t="s">
        <v>781</v>
      </c>
      <c r="E97" s="10" t="s">
        <v>190</v>
      </c>
      <c r="F97" s="10" t="s">
        <v>784</v>
      </c>
      <c r="G97" s="29">
        <v>1.0</v>
      </c>
      <c r="H97" s="18">
        <v>135000.0</v>
      </c>
      <c r="I97" s="18">
        <v>135000.0</v>
      </c>
      <c r="J97" s="20" t="s">
        <v>205</v>
      </c>
      <c r="K97" s="10"/>
    </row>
    <row r="98" ht="15.75" customHeight="1">
      <c r="A98" s="10" t="s">
        <v>1355</v>
      </c>
      <c r="B98" s="10" t="s">
        <v>788</v>
      </c>
      <c r="C98" s="13" t="str">
        <f t="array" ref="C98">IFERROR(INDEX('간병신청대장'!$B:$B,MATCH($B98,'간병신청대장'!$A:$A,0)),"")</f>
        <v>문굉순</v>
      </c>
      <c r="D98" s="10" t="s">
        <v>792</v>
      </c>
      <c r="E98" s="10" t="s">
        <v>95</v>
      </c>
      <c r="F98" s="10" t="s">
        <v>376</v>
      </c>
      <c r="G98" s="29">
        <v>9.0</v>
      </c>
      <c r="H98" s="18">
        <v>140000.0</v>
      </c>
      <c r="I98" s="18">
        <v>1215000.0</v>
      </c>
      <c r="J98" s="20" t="s">
        <v>205</v>
      </c>
      <c r="K98" s="10"/>
    </row>
    <row r="99" ht="15.75" customHeight="1">
      <c r="A99" s="10" t="s">
        <v>1360</v>
      </c>
      <c r="B99" s="10" t="s">
        <v>788</v>
      </c>
      <c r="C99" s="13" t="str">
        <f t="array" ref="C99">IFERROR(INDEX('간병신청대장'!$B:$B,MATCH($B99,'간병신청대장'!$A:$A,0)),"")</f>
        <v>문굉순</v>
      </c>
      <c r="D99" s="10" t="s">
        <v>792</v>
      </c>
      <c r="E99" s="10" t="s">
        <v>190</v>
      </c>
      <c r="F99" s="10" t="s">
        <v>402</v>
      </c>
      <c r="G99" s="29">
        <v>10.0</v>
      </c>
      <c r="H99" s="18">
        <v>140000.0</v>
      </c>
      <c r="I99" s="18">
        <v>1400000.0</v>
      </c>
      <c r="J99" s="20" t="s">
        <v>205</v>
      </c>
      <c r="K99" s="10"/>
    </row>
    <row r="100" ht="15.75" customHeight="1">
      <c r="A100" s="10" t="s">
        <v>1372</v>
      </c>
      <c r="B100" s="10" t="s">
        <v>788</v>
      </c>
      <c r="C100" s="13" t="str">
        <f t="array" ref="C100">IFERROR(INDEX('간병신청대장'!$B:$B,MATCH($B100,'간병신청대장'!$A:$A,0)),"")</f>
        <v>문굉순</v>
      </c>
      <c r="D100" s="10" t="s">
        <v>792</v>
      </c>
      <c r="E100" s="10" t="s">
        <v>204</v>
      </c>
      <c r="F100" s="10" t="s">
        <v>407</v>
      </c>
      <c r="G100" s="29">
        <v>10.0</v>
      </c>
      <c r="H100" s="18">
        <v>140000.0</v>
      </c>
      <c r="I100" s="18">
        <v>1400000.0</v>
      </c>
      <c r="J100" s="20" t="s">
        <v>205</v>
      </c>
      <c r="K100" s="10"/>
    </row>
    <row r="101" ht="15.75" customHeight="1">
      <c r="A101" s="10" t="s">
        <v>1381</v>
      </c>
      <c r="B101" s="10" t="s">
        <v>788</v>
      </c>
      <c r="C101" s="13" t="str">
        <f t="array" ref="C101">IFERROR(INDEX('간병신청대장'!$B:$B,MATCH($B101,'간병신청대장'!$A:$A,0)),"")</f>
        <v>문굉순</v>
      </c>
      <c r="D101" s="10" t="s">
        <v>792</v>
      </c>
      <c r="E101" s="10" t="s">
        <v>149</v>
      </c>
      <c r="F101" s="10" t="s">
        <v>413</v>
      </c>
      <c r="G101" s="29">
        <v>10.0</v>
      </c>
      <c r="H101" s="18">
        <v>140000.0</v>
      </c>
      <c r="I101" s="18">
        <v>1400000.0</v>
      </c>
      <c r="J101" s="20" t="s">
        <v>205</v>
      </c>
      <c r="K101" s="10"/>
    </row>
    <row r="102" ht="15.75" customHeight="1">
      <c r="A102" s="10" t="s">
        <v>1395</v>
      </c>
      <c r="B102" s="10" t="s">
        <v>788</v>
      </c>
      <c r="C102" s="13" t="str">
        <f t="array" ref="C102">IFERROR(INDEX('간병신청대장'!$B:$B,MATCH($B102,'간병신청대장'!$A:$A,0)),"")</f>
        <v>문굉순</v>
      </c>
      <c r="D102" s="10" t="s">
        <v>792</v>
      </c>
      <c r="E102" s="10" t="s">
        <v>238</v>
      </c>
      <c r="F102" s="10" t="s">
        <v>420</v>
      </c>
      <c r="G102" s="29">
        <v>10.0</v>
      </c>
      <c r="H102" s="18">
        <v>140000.0</v>
      </c>
      <c r="I102" s="18">
        <v>1400000.0</v>
      </c>
      <c r="J102" s="20" t="s">
        <v>205</v>
      </c>
      <c r="K102" s="10"/>
    </row>
    <row r="103" ht="15.75" customHeight="1">
      <c r="A103" s="10" t="s">
        <v>1404</v>
      </c>
      <c r="B103" s="10" t="s">
        <v>788</v>
      </c>
      <c r="C103" s="13" t="str">
        <f t="array" ref="C103">IFERROR(INDEX('간병신청대장'!$B:$B,MATCH($B103,'간병신청대장'!$A:$A,0)),"")</f>
        <v>문굉순</v>
      </c>
      <c r="D103" s="10" t="s">
        <v>792</v>
      </c>
      <c r="E103" s="10" t="s">
        <v>261</v>
      </c>
      <c r="F103" s="10" t="s">
        <v>437</v>
      </c>
      <c r="G103" s="29">
        <v>11.0</v>
      </c>
      <c r="H103" s="18">
        <v>140000.0</v>
      </c>
      <c r="I103" s="18">
        <v>1540000.0</v>
      </c>
      <c r="J103" s="20" t="s">
        <v>205</v>
      </c>
      <c r="K103" s="10"/>
    </row>
    <row r="104" ht="15.75" customHeight="1">
      <c r="A104" s="10" t="s">
        <v>1416</v>
      </c>
      <c r="B104" s="10" t="s">
        <v>788</v>
      </c>
      <c r="C104" s="13" t="str">
        <f t="array" ref="C104">IFERROR(INDEX('간병신청대장'!$B:$B,MATCH($B104,'간병신청대장'!$A:$A,0)),"")</f>
        <v>문굉순</v>
      </c>
      <c r="D104" s="10" t="s">
        <v>792</v>
      </c>
      <c r="E104" s="10" t="s">
        <v>266</v>
      </c>
      <c r="F104" s="10" t="s">
        <v>1405</v>
      </c>
      <c r="G104" s="29">
        <v>10.0</v>
      </c>
      <c r="H104" s="18">
        <v>140000.0</v>
      </c>
      <c r="I104" s="18">
        <v>1400000.0</v>
      </c>
      <c r="J104" s="20" t="s">
        <v>205</v>
      </c>
      <c r="K104" s="10"/>
    </row>
    <row r="105" ht="15.75" customHeight="1">
      <c r="A105" s="10" t="s">
        <v>1426</v>
      </c>
      <c r="B105" s="10" t="s">
        <v>788</v>
      </c>
      <c r="C105" s="13" t="str">
        <f t="array" ref="C105">IFERROR(INDEX('간병신청대장'!$B:$B,MATCH($B105,'간병신청대장'!$A:$A,0)),"")</f>
        <v>문굉순</v>
      </c>
      <c r="D105" s="10" t="s">
        <v>792</v>
      </c>
      <c r="E105" s="10" t="s">
        <v>281</v>
      </c>
      <c r="F105" s="10" t="s">
        <v>1417</v>
      </c>
      <c r="G105" s="29">
        <v>10.0</v>
      </c>
      <c r="H105" s="18">
        <v>140000.0</v>
      </c>
      <c r="I105" s="18">
        <v>1400000.0</v>
      </c>
      <c r="J105" s="20" t="s">
        <v>205</v>
      </c>
      <c r="K105" s="10"/>
    </row>
    <row r="106" ht="15.75" customHeight="1">
      <c r="A106" s="10" t="s">
        <v>1438</v>
      </c>
      <c r="B106" s="10" t="s">
        <v>788</v>
      </c>
      <c r="C106" s="13" t="str">
        <f t="array" ref="C106">IFERROR(INDEX('간병신청대장'!$B:$B,MATCH($B106,'간병신청대장'!$A:$A,0)),"")</f>
        <v>문굉순</v>
      </c>
      <c r="D106" s="10" t="s">
        <v>792</v>
      </c>
      <c r="E106" s="10" t="s">
        <v>567</v>
      </c>
      <c r="F106" s="10" t="s">
        <v>804</v>
      </c>
      <c r="G106" s="29">
        <v>10.0</v>
      </c>
      <c r="H106" s="18">
        <v>140000.0</v>
      </c>
      <c r="I106" s="18">
        <v>1400000.0</v>
      </c>
      <c r="J106" s="20" t="s">
        <v>205</v>
      </c>
      <c r="K106" s="10"/>
    </row>
    <row r="107" ht="15.75" customHeight="1">
      <c r="A107" s="10" t="s">
        <v>1456</v>
      </c>
      <c r="B107" s="10" t="s">
        <v>788</v>
      </c>
      <c r="C107" s="13" t="str">
        <f t="array" ref="C107">IFERROR(INDEX('간병신청대장'!$B:$B,MATCH($B107,'간병신청대장'!$A:$A,0)),"")</f>
        <v>문굉순</v>
      </c>
      <c r="D107" s="10" t="s">
        <v>792</v>
      </c>
      <c r="E107" s="10" t="s">
        <v>592</v>
      </c>
      <c r="F107" s="10" t="s">
        <v>816</v>
      </c>
      <c r="G107" s="29">
        <v>10.0</v>
      </c>
      <c r="H107" s="18">
        <v>140000.0</v>
      </c>
      <c r="I107" s="18">
        <v>1400000.0</v>
      </c>
      <c r="J107" s="20" t="s">
        <v>205</v>
      </c>
      <c r="K107" s="10"/>
    </row>
    <row r="108" ht="15.75" customHeight="1">
      <c r="A108" s="10" t="s">
        <v>1461</v>
      </c>
      <c r="B108" s="10" t="s">
        <v>788</v>
      </c>
      <c r="C108" s="13" t="str">
        <f t="array" ref="C108">IFERROR(INDEX('간병신청대장'!$B:$B,MATCH($B108,'간병신청대장'!$A:$A,0)),"")</f>
        <v>문굉순</v>
      </c>
      <c r="D108" s="10" t="s">
        <v>792</v>
      </c>
      <c r="E108" s="10" t="s">
        <v>112</v>
      </c>
      <c r="F108" s="10" t="s">
        <v>836</v>
      </c>
      <c r="G108" s="29">
        <v>10.0</v>
      </c>
      <c r="H108" s="18">
        <v>140000.0</v>
      </c>
      <c r="I108" s="18">
        <v>1400000.0</v>
      </c>
      <c r="J108" s="20" t="s">
        <v>205</v>
      </c>
      <c r="K108" s="10"/>
    </row>
    <row r="109" ht="15.75" customHeight="1">
      <c r="A109" s="10" t="s">
        <v>1470</v>
      </c>
      <c r="B109" s="10" t="s">
        <v>788</v>
      </c>
      <c r="C109" s="13" t="str">
        <f t="array" ref="C109">IFERROR(INDEX('간병신청대장'!$B:$B,MATCH($B109,'간병신청대장'!$A:$A,0)),"")</f>
        <v>문굉순</v>
      </c>
      <c r="D109" s="10" t="s">
        <v>792</v>
      </c>
      <c r="E109" s="10" t="s">
        <v>194</v>
      </c>
      <c r="F109" s="10" t="s">
        <v>849</v>
      </c>
      <c r="G109" s="29">
        <v>11.0</v>
      </c>
      <c r="H109" s="18">
        <v>140000.0</v>
      </c>
      <c r="I109" s="18">
        <v>1540000.0</v>
      </c>
      <c r="J109" s="20" t="s">
        <v>205</v>
      </c>
      <c r="K109" s="10"/>
    </row>
    <row r="110" ht="15.75" customHeight="1">
      <c r="A110" s="10" t="s">
        <v>1477</v>
      </c>
      <c r="B110" s="10" t="s">
        <v>788</v>
      </c>
      <c r="C110" s="13" t="str">
        <f t="array" ref="C110">IFERROR(INDEX('간병신청대장'!$B:$B,MATCH($B110,'간병신청대장'!$A:$A,0)),"")</f>
        <v>문굉순</v>
      </c>
      <c r="D110" s="10" t="s">
        <v>792</v>
      </c>
      <c r="E110" s="10" t="s">
        <v>622</v>
      </c>
      <c r="F110" s="10" t="s">
        <v>1495</v>
      </c>
      <c r="G110" s="29">
        <v>-15.0</v>
      </c>
      <c r="H110" s="18">
        <v>140000.0</v>
      </c>
      <c r="I110" s="18">
        <v>-2100000.0</v>
      </c>
      <c r="J110" s="20" t="s">
        <v>205</v>
      </c>
      <c r="K110" s="10"/>
    </row>
    <row r="111" ht="15.75" customHeight="1">
      <c r="A111" s="10" t="s">
        <v>1496</v>
      </c>
      <c r="B111" s="10" t="s">
        <v>802</v>
      </c>
      <c r="C111" s="13" t="str">
        <f t="array" ref="C111">IFERROR(INDEX('간병신청대장'!$B:$B,MATCH($B111,'간병신청대장'!$A:$A,0)),"")</f>
        <v>이지연</v>
      </c>
      <c r="D111" s="10" t="s">
        <v>806</v>
      </c>
      <c r="E111" s="10" t="s">
        <v>95</v>
      </c>
      <c r="F111" s="10" t="s">
        <v>736</v>
      </c>
      <c r="G111" s="29">
        <v>9.0</v>
      </c>
      <c r="H111" s="18">
        <v>138000.0</v>
      </c>
      <c r="I111" s="18">
        <v>1242000.0</v>
      </c>
      <c r="J111" s="20" t="s">
        <v>205</v>
      </c>
      <c r="K111" s="10"/>
    </row>
    <row r="112" ht="15.75" customHeight="1">
      <c r="A112" s="10" t="s">
        <v>1506</v>
      </c>
      <c r="B112" s="10" t="s">
        <v>802</v>
      </c>
      <c r="C112" s="13" t="str">
        <f t="array" ref="C112">IFERROR(INDEX('간병신청대장'!$B:$B,MATCH($B112,'간병신청대장'!$A:$A,0)),"")</f>
        <v>이지연</v>
      </c>
      <c r="D112" s="10" t="s">
        <v>806</v>
      </c>
      <c r="E112" s="10" t="s">
        <v>190</v>
      </c>
      <c r="F112" s="10" t="s">
        <v>811</v>
      </c>
      <c r="G112" s="29">
        <v>6.0</v>
      </c>
      <c r="H112" s="18">
        <v>138000.0</v>
      </c>
      <c r="I112" s="18">
        <v>828000.0</v>
      </c>
      <c r="J112" s="20" t="s">
        <v>205</v>
      </c>
      <c r="K112" s="10"/>
    </row>
    <row r="113" ht="15.75" customHeight="1">
      <c r="A113" s="10" t="s">
        <v>1519</v>
      </c>
      <c r="B113" s="10" t="s">
        <v>814</v>
      </c>
      <c r="C113" s="13" t="str">
        <f t="array" ref="C113">IFERROR(INDEX('간병신청대장'!$B:$B,MATCH($B113,'간병신청대장'!$A:$A,0)),"")</f>
        <v>고원석</v>
      </c>
      <c r="D113" s="10" t="s">
        <v>817</v>
      </c>
      <c r="E113" s="10" t="s">
        <v>95</v>
      </c>
      <c r="F113" s="10" t="s">
        <v>822</v>
      </c>
      <c r="G113" s="29">
        <v>7.0</v>
      </c>
      <c r="H113" s="18"/>
      <c r="I113" s="18">
        <v>1070000.0</v>
      </c>
      <c r="J113" s="20" t="s">
        <v>205</v>
      </c>
      <c r="K113" s="10"/>
    </row>
    <row r="114" ht="15.75" customHeight="1">
      <c r="A114" s="10" t="s">
        <v>1531</v>
      </c>
      <c r="B114" s="10" t="s">
        <v>833</v>
      </c>
      <c r="C114" s="13" t="str">
        <f t="array" ref="C114">IFERROR(INDEX('간병신청대장'!$B:$B,MATCH($B114,'간병신청대장'!$A:$A,0)),"")</f>
        <v>조용운</v>
      </c>
      <c r="D114" s="10" t="s">
        <v>838</v>
      </c>
      <c r="E114" s="10" t="s">
        <v>95</v>
      </c>
      <c r="F114" s="10" t="s">
        <v>843</v>
      </c>
      <c r="G114" s="29">
        <v>4.0</v>
      </c>
      <c r="H114" s="18">
        <v>135000.0</v>
      </c>
      <c r="I114" s="18">
        <v>540000.0</v>
      </c>
      <c r="J114" s="20" t="s">
        <v>205</v>
      </c>
      <c r="K114" s="10"/>
    </row>
    <row r="115" ht="15.75" customHeight="1">
      <c r="A115" s="10" t="s">
        <v>1542</v>
      </c>
      <c r="B115" s="10" t="s">
        <v>846</v>
      </c>
      <c r="C115" s="13" t="str">
        <f t="array" ref="C115">IFERROR(INDEX('간병신청대장'!$B:$B,MATCH($B115,'간병신청대장'!$A:$A,0)),"")</f>
        <v>조용운</v>
      </c>
      <c r="D115" s="10" t="s">
        <v>378</v>
      </c>
      <c r="E115" s="10" t="s">
        <v>95</v>
      </c>
      <c r="F115" s="10" t="s">
        <v>850</v>
      </c>
      <c r="G115" s="29">
        <v>1.0</v>
      </c>
      <c r="H115" s="18">
        <v>135000.0</v>
      </c>
      <c r="I115" s="18">
        <v>135000.0</v>
      </c>
      <c r="J115" s="20" t="s">
        <v>205</v>
      </c>
      <c r="K115" s="10"/>
    </row>
    <row r="116" ht="15.75" customHeight="1">
      <c r="A116" s="10" t="s">
        <v>1553</v>
      </c>
      <c r="B116" s="10" t="s">
        <v>852</v>
      </c>
      <c r="C116" s="13" t="str">
        <f t="array" ref="C116">IFERROR(INDEX('간병신청대장'!$B:$B,MATCH($B116,'간병신청대장'!$A:$A,0)),"")</f>
        <v>조용운</v>
      </c>
      <c r="D116" s="10" t="s">
        <v>857</v>
      </c>
      <c r="E116" s="10" t="s">
        <v>190</v>
      </c>
      <c r="F116" s="10" t="s">
        <v>303</v>
      </c>
      <c r="G116" s="29">
        <v>10.0</v>
      </c>
      <c r="H116" s="18">
        <v>135000.0</v>
      </c>
      <c r="I116" s="18">
        <v>1350000.0</v>
      </c>
      <c r="J116" s="20" t="s">
        <v>205</v>
      </c>
      <c r="K116" s="10"/>
    </row>
    <row r="117" ht="15.75" customHeight="1">
      <c r="A117" s="10" t="s">
        <v>1567</v>
      </c>
      <c r="B117" s="10" t="s">
        <v>867</v>
      </c>
      <c r="C117" s="13" t="str">
        <f t="array" ref="C117">IFERROR(INDEX('간병신청대장'!$B:$B,MATCH($B117,'간병신청대장'!$A:$A,0)),"")</f>
        <v>조용운</v>
      </c>
      <c r="D117" s="10" t="s">
        <v>857</v>
      </c>
      <c r="E117" s="10" t="s">
        <v>204</v>
      </c>
      <c r="F117" s="10" t="s">
        <v>872</v>
      </c>
      <c r="G117" s="29">
        <v>9.0</v>
      </c>
      <c r="H117" s="18">
        <v>135000.0</v>
      </c>
      <c r="I117" s="18">
        <v>1215000.0</v>
      </c>
      <c r="J117" s="20" t="s">
        <v>205</v>
      </c>
      <c r="K117" s="10"/>
    </row>
    <row r="118" ht="15.75" customHeight="1">
      <c r="A118" s="10" t="s">
        <v>1577</v>
      </c>
      <c r="B118" s="10" t="s">
        <v>874</v>
      </c>
      <c r="C118" s="13" t="str">
        <f t="array" ref="C118">IFERROR(INDEX('간병신청대장'!$B:$B,MATCH($B118,'간병신청대장'!$A:$A,0)),"")</f>
        <v>조용운</v>
      </c>
      <c r="D118" s="10" t="s">
        <v>877</v>
      </c>
      <c r="E118" s="10" t="s">
        <v>204</v>
      </c>
      <c r="F118" s="10" t="s">
        <v>684</v>
      </c>
      <c r="G118" s="29">
        <v>1.0</v>
      </c>
      <c r="H118" s="18">
        <v>135000.0</v>
      </c>
      <c r="I118" s="18">
        <v>135000.0</v>
      </c>
      <c r="J118" s="20" t="s">
        <v>205</v>
      </c>
      <c r="K118" s="10"/>
    </row>
    <row r="119" ht="15.75" customHeight="1">
      <c r="A119" s="10" t="s">
        <v>1592</v>
      </c>
      <c r="B119" s="10" t="s">
        <v>874</v>
      </c>
      <c r="C119" s="13" t="str">
        <f t="array" ref="C119">IFERROR(INDEX('간병신청대장'!$B:$B,MATCH($B119,'간병신청대장'!$A:$A,0)),"")</f>
        <v>조용운</v>
      </c>
      <c r="D119" s="10" t="s">
        <v>877</v>
      </c>
      <c r="E119" s="10" t="s">
        <v>149</v>
      </c>
      <c r="F119" s="10" t="s">
        <v>879</v>
      </c>
      <c r="G119" s="29">
        <v>9.0</v>
      </c>
      <c r="H119" s="18">
        <v>135000.0</v>
      </c>
      <c r="I119" s="18">
        <v>1215000.0</v>
      </c>
      <c r="J119" s="20" t="s">
        <v>205</v>
      </c>
      <c r="K119" s="10"/>
    </row>
    <row r="120" ht="15.75" customHeight="1">
      <c r="A120" s="10" t="s">
        <v>1604</v>
      </c>
      <c r="B120" s="10" t="s">
        <v>892</v>
      </c>
      <c r="C120" s="13" t="str">
        <f t="array" ref="C120">IFERROR(INDEX('간병신청대장'!$B:$B,MATCH($B120,'간병신청대장'!$A:$A,0)),"")</f>
        <v>김용신</v>
      </c>
      <c r="D120" s="10" t="s">
        <v>898</v>
      </c>
      <c r="E120" s="10" t="s">
        <v>95</v>
      </c>
      <c r="F120" s="10" t="s">
        <v>901</v>
      </c>
      <c r="G120" s="29">
        <v>7.0</v>
      </c>
      <c r="H120" s="18">
        <v>135000.0</v>
      </c>
      <c r="I120" s="18">
        <v>945000.0</v>
      </c>
      <c r="J120" s="20" t="s">
        <v>205</v>
      </c>
      <c r="K120" s="10"/>
    </row>
    <row r="121" ht="15.75" customHeight="1">
      <c r="A121" s="10" t="s">
        <v>1622</v>
      </c>
      <c r="B121" s="10" t="s">
        <v>904</v>
      </c>
      <c r="C121" s="13" t="str">
        <f t="array" ref="C121">IFERROR(INDEX('간병신청대장'!$B:$B,MATCH($B121,'간병신청대장'!$A:$A,0)),"")</f>
        <v>김용신</v>
      </c>
      <c r="D121" s="10" t="s">
        <v>907</v>
      </c>
      <c r="E121" s="10" t="s">
        <v>95</v>
      </c>
      <c r="F121" s="10" t="s">
        <v>1631</v>
      </c>
      <c r="G121" s="29">
        <v>3.0</v>
      </c>
      <c r="H121" s="18">
        <v>135000.0</v>
      </c>
      <c r="I121" s="18">
        <v>405000.0</v>
      </c>
      <c r="J121" s="20" t="s">
        <v>205</v>
      </c>
      <c r="K121" s="10"/>
    </row>
    <row r="122" ht="15.75" customHeight="1">
      <c r="A122" s="10" t="s">
        <v>1632</v>
      </c>
      <c r="B122" s="10" t="s">
        <v>904</v>
      </c>
      <c r="C122" s="13" t="str">
        <f t="array" ref="C122">IFERROR(INDEX('간병신청대장'!$B:$B,MATCH($B122,'간병신청대장'!$A:$A,0)),"")</f>
        <v>김용신</v>
      </c>
      <c r="D122" s="10" t="s">
        <v>907</v>
      </c>
      <c r="E122" s="10" t="s">
        <v>190</v>
      </c>
      <c r="F122" s="10" t="s">
        <v>910</v>
      </c>
      <c r="G122" s="29">
        <v>4.0</v>
      </c>
      <c r="H122" s="18">
        <v>135000.0</v>
      </c>
      <c r="I122" s="18">
        <v>540000.0</v>
      </c>
      <c r="J122" s="20" t="s">
        <v>205</v>
      </c>
      <c r="K122" s="10"/>
    </row>
    <row r="123" ht="15.75" customHeight="1">
      <c r="A123" s="10" t="s">
        <v>1641</v>
      </c>
      <c r="B123" s="10" t="s">
        <v>913</v>
      </c>
      <c r="C123" s="13" t="str">
        <f t="array" ref="C123">IFERROR(INDEX('간병신청대장'!$B:$B,MATCH($B123,'간병신청대장'!$A:$A,0)),"")</f>
        <v>김용신</v>
      </c>
      <c r="D123" s="10" t="s">
        <v>917</v>
      </c>
      <c r="E123" s="10" t="s">
        <v>149</v>
      </c>
      <c r="F123" s="10" t="s">
        <v>527</v>
      </c>
      <c r="G123" s="29">
        <v>6.0</v>
      </c>
      <c r="H123" s="18">
        <v>135000.0</v>
      </c>
      <c r="I123" s="18">
        <v>810000.0</v>
      </c>
      <c r="J123" s="20" t="s">
        <v>205</v>
      </c>
      <c r="K123" s="10"/>
    </row>
    <row r="124" ht="15.75" customHeight="1">
      <c r="A124" s="10" t="s">
        <v>1651</v>
      </c>
      <c r="B124" s="10" t="s">
        <v>923</v>
      </c>
      <c r="C124" s="13" t="str">
        <f t="array" ref="C124">IFERROR(INDEX('간병신청대장'!$B:$B,MATCH($B124,'간병신청대장'!$A:$A,0)),"")</f>
        <v>김용신</v>
      </c>
      <c r="D124" s="10" t="s">
        <v>930</v>
      </c>
      <c r="E124" s="10" t="s">
        <v>261</v>
      </c>
      <c r="F124" s="10" t="s">
        <v>933</v>
      </c>
      <c r="G124" s="29">
        <v>11.0</v>
      </c>
      <c r="H124" s="18">
        <v>135000.0</v>
      </c>
      <c r="I124" s="18">
        <v>1485000.0</v>
      </c>
      <c r="J124" s="20" t="s">
        <v>205</v>
      </c>
      <c r="K124" s="10"/>
    </row>
    <row r="125" ht="15.75" customHeight="1">
      <c r="A125" s="10" t="s">
        <v>1665</v>
      </c>
      <c r="B125" s="10" t="s">
        <v>936</v>
      </c>
      <c r="C125" s="13" t="str">
        <f t="array" ref="C125">IFERROR(INDEX('간병신청대장'!$B:$B,MATCH($B125,'간병신청대장'!$A:$A,0)),"")</f>
        <v>김리아</v>
      </c>
      <c r="D125" s="10" t="s">
        <v>943</v>
      </c>
      <c r="E125" s="10" t="s">
        <v>190</v>
      </c>
      <c r="F125" s="10" t="s">
        <v>946</v>
      </c>
      <c r="G125" s="29">
        <v>3.0</v>
      </c>
      <c r="H125" s="18">
        <v>130000.0</v>
      </c>
      <c r="I125" s="18">
        <v>390000.0</v>
      </c>
      <c r="J125" s="20" t="s">
        <v>205</v>
      </c>
      <c r="K125" s="10"/>
    </row>
    <row r="126" ht="15.75" customHeight="1">
      <c r="A126" s="10" t="s">
        <v>1679</v>
      </c>
      <c r="B126" s="10" t="s">
        <v>949</v>
      </c>
      <c r="C126" s="13" t="str">
        <f t="array" ref="C126">IFERROR(INDEX('간병신청대장'!$B:$B,MATCH($B126,'간병신청대장'!$A:$A,0)),"")</f>
        <v>나재균</v>
      </c>
      <c r="D126" s="10" t="s">
        <v>953</v>
      </c>
      <c r="E126" s="10" t="s">
        <v>95</v>
      </c>
      <c r="F126" s="10" t="s">
        <v>1686</v>
      </c>
      <c r="G126" s="29">
        <v>7.0</v>
      </c>
      <c r="H126" s="18">
        <v>135000.0</v>
      </c>
      <c r="I126" s="18">
        <v>945000.0</v>
      </c>
      <c r="J126" s="20" t="s">
        <v>205</v>
      </c>
      <c r="K126" s="10"/>
    </row>
    <row r="127" ht="15.75" customHeight="1">
      <c r="A127" s="10" t="s">
        <v>1687</v>
      </c>
      <c r="B127" s="10" t="s">
        <v>949</v>
      </c>
      <c r="C127" s="13" t="str">
        <f t="array" ref="C127">IFERROR(INDEX('간병신청대장'!$B:$B,MATCH($B127,'간병신청대장'!$A:$A,0)),"")</f>
        <v>나재균</v>
      </c>
      <c r="D127" s="10" t="s">
        <v>953</v>
      </c>
      <c r="E127" s="10" t="s">
        <v>190</v>
      </c>
      <c r="F127" s="10" t="s">
        <v>956</v>
      </c>
      <c r="G127" s="29">
        <v>3.0</v>
      </c>
      <c r="H127" s="18">
        <v>135000.0</v>
      </c>
      <c r="I127" s="18">
        <v>405000.0</v>
      </c>
      <c r="J127" s="20" t="s">
        <v>205</v>
      </c>
      <c r="K127" s="10"/>
    </row>
    <row r="128" ht="15.75" customHeight="1">
      <c r="A128" s="10" t="s">
        <v>1698</v>
      </c>
      <c r="B128" s="10" t="s">
        <v>968</v>
      </c>
      <c r="C128" s="13" t="str">
        <f t="array" ref="C128">IFERROR(INDEX('간병신청대장'!$B:$B,MATCH($B128,'간병신청대장'!$A:$A,0)),"")</f>
        <v>최경희</v>
      </c>
      <c r="D128" s="10" t="s">
        <v>971</v>
      </c>
      <c r="E128" s="10" t="s">
        <v>95</v>
      </c>
      <c r="F128" s="10" t="s">
        <v>1708</v>
      </c>
      <c r="G128" s="29">
        <v>3.0</v>
      </c>
      <c r="H128" s="18">
        <v>135000.0</v>
      </c>
      <c r="I128" s="18">
        <v>405000.0</v>
      </c>
      <c r="J128" s="20" t="s">
        <v>205</v>
      </c>
      <c r="K128" s="10"/>
    </row>
    <row r="129" ht="15.75" customHeight="1">
      <c r="A129" s="10" t="s">
        <v>1709</v>
      </c>
      <c r="B129" s="10" t="s">
        <v>968</v>
      </c>
      <c r="C129" s="13" t="str">
        <f t="array" ref="C129">IFERROR(INDEX('간병신청대장'!$B:$B,MATCH($B129,'간병신청대장'!$A:$A,0)),"")</f>
        <v>최경희</v>
      </c>
      <c r="D129" s="10" t="s">
        <v>971</v>
      </c>
      <c r="E129" s="10" t="s">
        <v>190</v>
      </c>
      <c r="F129" s="10" t="s">
        <v>977</v>
      </c>
      <c r="G129" s="29">
        <v>1.0</v>
      </c>
      <c r="H129" s="18">
        <v>135000.0</v>
      </c>
      <c r="I129" s="18">
        <v>135000.0</v>
      </c>
      <c r="J129" s="20" t="s">
        <v>205</v>
      </c>
      <c r="K129" s="10"/>
    </row>
    <row r="130" ht="15.75" customHeight="1">
      <c r="A130" s="10" t="s">
        <v>1721</v>
      </c>
      <c r="B130" s="10" t="s">
        <v>980</v>
      </c>
      <c r="C130" s="13" t="str">
        <f t="array" ref="C130">IFERROR(INDEX('간병신청대장'!$B:$B,MATCH($B130,'간병신청대장'!$A:$A,0)),"")</f>
        <v>최경희</v>
      </c>
      <c r="D130" s="10" t="s">
        <v>990</v>
      </c>
      <c r="E130" s="10" t="s">
        <v>149</v>
      </c>
      <c r="F130" s="10" t="s">
        <v>996</v>
      </c>
      <c r="G130" s="29">
        <v>2.0</v>
      </c>
      <c r="H130" s="18">
        <v>145000.0</v>
      </c>
      <c r="I130" s="18">
        <v>290000.0</v>
      </c>
      <c r="J130" s="20" t="s">
        <v>205</v>
      </c>
      <c r="K130" s="10"/>
    </row>
    <row r="131" ht="15.75" customHeight="1">
      <c r="A131" s="10" t="s">
        <v>1738</v>
      </c>
      <c r="B131" s="10" t="s">
        <v>1000</v>
      </c>
      <c r="C131" s="13" t="str">
        <f t="array" ref="C131">IFERROR(INDEX('간병신청대장'!$B:$B,MATCH($B131,'간병신청대장'!$A:$A,0)),"")</f>
        <v>최경희</v>
      </c>
      <c r="D131" s="10" t="s">
        <v>1004</v>
      </c>
      <c r="E131" s="10" t="s">
        <v>238</v>
      </c>
      <c r="F131" s="10" t="s">
        <v>1008</v>
      </c>
      <c r="G131" s="29">
        <v>3.5</v>
      </c>
      <c r="H131" s="18">
        <v>160000.0</v>
      </c>
      <c r="I131" s="18">
        <v>530000.0</v>
      </c>
      <c r="J131" s="20" t="s">
        <v>205</v>
      </c>
      <c r="K131" s="10"/>
    </row>
    <row r="132" ht="15.75" customHeight="1">
      <c r="A132" s="10" t="s">
        <v>1750</v>
      </c>
      <c r="B132" s="10" t="s">
        <v>1011</v>
      </c>
      <c r="C132" s="13" t="str">
        <f t="array" ref="C132">IFERROR(INDEX('간병신청대장'!$B:$B,MATCH($B132,'간병신청대장'!$A:$A,0)),"")</f>
        <v>최경희</v>
      </c>
      <c r="D132" s="10" t="s">
        <v>1016</v>
      </c>
      <c r="E132" s="10" t="s">
        <v>238</v>
      </c>
      <c r="F132" s="10" t="s">
        <v>1650</v>
      </c>
      <c r="G132" s="29">
        <v>5.0</v>
      </c>
      <c r="H132" s="18">
        <v>160000.0</v>
      </c>
      <c r="I132" s="18">
        <v>800000.0</v>
      </c>
      <c r="J132" s="20" t="s">
        <v>205</v>
      </c>
      <c r="K132" s="10"/>
    </row>
    <row r="133" ht="15.75" customHeight="1">
      <c r="A133" s="10" t="s">
        <v>1765</v>
      </c>
      <c r="B133" s="10" t="s">
        <v>1011</v>
      </c>
      <c r="C133" s="13" t="str">
        <f t="array" ref="C133">IFERROR(INDEX('간병신청대장'!$B:$B,MATCH($B133,'간병신청대장'!$A:$A,0)),"")</f>
        <v>최경희</v>
      </c>
      <c r="D133" s="10" t="s">
        <v>1016</v>
      </c>
      <c r="E133" s="10" t="s">
        <v>261</v>
      </c>
      <c r="F133" s="10" t="s">
        <v>1659</v>
      </c>
      <c r="G133" s="29">
        <v>11.0</v>
      </c>
      <c r="H133" s="18">
        <v>160000.0</v>
      </c>
      <c r="I133" s="18">
        <v>1760000.0</v>
      </c>
      <c r="J133" s="20" t="s">
        <v>205</v>
      </c>
      <c r="K133" s="10"/>
    </row>
    <row r="134" ht="15.75" customHeight="1">
      <c r="A134" s="10" t="s">
        <v>1775</v>
      </c>
      <c r="B134" s="10" t="s">
        <v>1011</v>
      </c>
      <c r="C134" s="13" t="str">
        <f t="array" ref="C134">IFERROR(INDEX('간병신청대장'!$B:$B,MATCH($B134,'간병신청대장'!$A:$A,0)),"")</f>
        <v>최경희</v>
      </c>
      <c r="D134" s="10" t="s">
        <v>1016</v>
      </c>
      <c r="E134" s="10" t="s">
        <v>266</v>
      </c>
      <c r="F134" s="10" t="s">
        <v>1020</v>
      </c>
      <c r="G134" s="29">
        <v>10.0</v>
      </c>
      <c r="H134" s="18">
        <v>160000.0</v>
      </c>
      <c r="I134" s="18">
        <v>1600000.0</v>
      </c>
      <c r="J134" s="20" t="s">
        <v>205</v>
      </c>
      <c r="K134" s="10"/>
    </row>
    <row r="135" ht="15.75" customHeight="1">
      <c r="A135" s="10" t="s">
        <v>1791</v>
      </c>
      <c r="B135" s="10" t="s">
        <v>1011</v>
      </c>
      <c r="C135" s="13" t="str">
        <f t="array" ref="C135">IFERROR(INDEX('간병신청대장'!$B:$B,MATCH($B135,'간병신청대장'!$A:$A,0)),"")</f>
        <v>최경희</v>
      </c>
      <c r="D135" s="10" t="s">
        <v>1016</v>
      </c>
      <c r="E135" s="10" t="s">
        <v>281</v>
      </c>
      <c r="F135" s="10" t="s">
        <v>1020</v>
      </c>
      <c r="G135" s="29">
        <v>8.0</v>
      </c>
      <c r="H135" s="18">
        <v>160000.0</v>
      </c>
      <c r="I135" s="18">
        <v>1280000.0</v>
      </c>
      <c r="J135" s="20" t="s">
        <v>205</v>
      </c>
      <c r="K135" s="10"/>
    </row>
    <row r="136" ht="15.75" customHeight="1">
      <c r="A136" s="10" t="s">
        <v>1798</v>
      </c>
      <c r="B136" s="10" t="s">
        <v>1023</v>
      </c>
      <c r="C136" s="13" t="str">
        <f t="array" ref="C136">IFERROR(INDEX('간병신청대장'!$B:$B,MATCH($B136,'간병신청대장'!$A:$A,0)),"")</f>
        <v>최경희</v>
      </c>
      <c r="D136" s="10" t="s">
        <v>1028</v>
      </c>
      <c r="E136" s="10" t="s">
        <v>281</v>
      </c>
      <c r="F136" s="10" t="s">
        <v>1033</v>
      </c>
      <c r="G136" s="29">
        <v>5.0</v>
      </c>
      <c r="H136" s="18">
        <v>150000.0</v>
      </c>
      <c r="I136" s="18">
        <v>750000.0</v>
      </c>
      <c r="J136" s="20" t="s">
        <v>205</v>
      </c>
      <c r="K136" s="10"/>
    </row>
    <row r="137" ht="15.75" customHeight="1">
      <c r="A137" s="10" t="s">
        <v>1814</v>
      </c>
      <c r="B137" s="10" t="s">
        <v>1036</v>
      </c>
      <c r="C137" s="13" t="str">
        <f t="array" ref="C137">IFERROR(INDEX('간병신청대장'!$B:$B,MATCH($B137,'간병신청대장'!$A:$A,0)),"")</f>
        <v>최경희</v>
      </c>
      <c r="D137" s="10" t="s">
        <v>1028</v>
      </c>
      <c r="E137" s="10" t="s">
        <v>567</v>
      </c>
      <c r="F137" s="10" t="s">
        <v>1817</v>
      </c>
      <c r="G137" s="29">
        <v>7.0</v>
      </c>
      <c r="H137" s="18">
        <v>150000.0</v>
      </c>
      <c r="I137" s="18">
        <v>1050000.0</v>
      </c>
      <c r="J137" s="20" t="s">
        <v>205</v>
      </c>
      <c r="K137" s="10"/>
    </row>
    <row r="138" ht="15.75" customHeight="1">
      <c r="A138" s="10" t="s">
        <v>1823</v>
      </c>
      <c r="B138" s="10" t="s">
        <v>1036</v>
      </c>
      <c r="C138" s="13" t="str">
        <f t="array" ref="C138">IFERROR(INDEX('간병신청대장'!$B:$B,MATCH($B138,'간병신청대장'!$A:$A,0)),"")</f>
        <v>최경희</v>
      </c>
      <c r="D138" s="10" t="s">
        <v>1028</v>
      </c>
      <c r="E138" s="10" t="s">
        <v>592</v>
      </c>
      <c r="F138" s="10" t="s">
        <v>1826</v>
      </c>
      <c r="G138" s="29">
        <v>8.0</v>
      </c>
      <c r="H138" s="18">
        <v>150000.0</v>
      </c>
      <c r="I138" s="18">
        <v>1200000.0</v>
      </c>
      <c r="J138" s="20" t="s">
        <v>205</v>
      </c>
      <c r="K138" s="10"/>
    </row>
    <row r="139" ht="15.75" customHeight="1">
      <c r="A139" s="10" t="s">
        <v>1829</v>
      </c>
      <c r="B139" s="10" t="s">
        <v>1036</v>
      </c>
      <c r="C139" s="13" t="str">
        <f t="array" ref="C139">IFERROR(INDEX('간병신청대장'!$B:$B,MATCH($B139,'간병신청대장'!$A:$A,0)),"")</f>
        <v>최경희</v>
      </c>
      <c r="D139" s="10" t="s">
        <v>1028</v>
      </c>
      <c r="E139" s="10" t="s">
        <v>112</v>
      </c>
      <c r="F139" s="10" t="s">
        <v>1726</v>
      </c>
      <c r="G139" s="29">
        <v>6.0</v>
      </c>
      <c r="H139" s="18">
        <v>150000.0</v>
      </c>
      <c r="I139" s="18">
        <v>900000.0</v>
      </c>
      <c r="J139" s="20" t="s">
        <v>205</v>
      </c>
      <c r="K139" s="10"/>
    </row>
    <row r="140" ht="15.75" customHeight="1">
      <c r="A140" s="10" t="s">
        <v>1837</v>
      </c>
      <c r="B140" s="10" t="s">
        <v>1036</v>
      </c>
      <c r="C140" s="13" t="str">
        <f t="array" ref="C140">IFERROR(INDEX('간병신청대장'!$B:$B,MATCH($B140,'간병신청대장'!$A:$A,0)),"")</f>
        <v>최경희</v>
      </c>
      <c r="D140" s="10" t="s">
        <v>1028</v>
      </c>
      <c r="E140" s="10" t="s">
        <v>194</v>
      </c>
      <c r="F140" s="10" t="s">
        <v>1736</v>
      </c>
      <c r="G140" s="29">
        <v>9.0</v>
      </c>
      <c r="H140" s="18">
        <v>150000.0</v>
      </c>
      <c r="I140" s="18">
        <v>1350000.0</v>
      </c>
      <c r="J140" s="20" t="s">
        <v>205</v>
      </c>
      <c r="K140" s="10"/>
    </row>
    <row r="141" ht="15.75" customHeight="1">
      <c r="A141" s="10" t="s">
        <v>1852</v>
      </c>
      <c r="B141" s="10" t="s">
        <v>1036</v>
      </c>
      <c r="C141" s="13" t="str">
        <f t="array" ref="C141">IFERROR(INDEX('간병신청대장'!$B:$B,MATCH($B141,'간병신청대장'!$A:$A,0)),"")</f>
        <v>최경희</v>
      </c>
      <c r="D141" s="10" t="s">
        <v>1028</v>
      </c>
      <c r="E141" s="10" t="s">
        <v>622</v>
      </c>
      <c r="F141" s="10" t="s">
        <v>1745</v>
      </c>
      <c r="G141" s="29">
        <v>6.0</v>
      </c>
      <c r="H141" s="18">
        <v>150000.0</v>
      </c>
      <c r="I141" s="18">
        <v>900000.0</v>
      </c>
      <c r="J141" s="20" t="s">
        <v>205</v>
      </c>
      <c r="K141" s="10"/>
    </row>
    <row r="142" ht="15.75" customHeight="1">
      <c r="A142" s="10" t="s">
        <v>1862</v>
      </c>
      <c r="B142" s="10" t="s">
        <v>1066</v>
      </c>
      <c r="C142" s="13" t="str">
        <f t="array" ref="C142">IFERROR(INDEX('간병신청대장'!$B:$B,MATCH($B142,'간병신청대장'!$A:$A,0)),"")</f>
        <v>오영숙</v>
      </c>
      <c r="D142" s="10" t="s">
        <v>1070</v>
      </c>
      <c r="E142" s="10" t="s">
        <v>204</v>
      </c>
      <c r="F142" s="10" t="s">
        <v>1767</v>
      </c>
      <c r="G142" s="29">
        <v>7.0</v>
      </c>
      <c r="H142" s="18">
        <v>140000.0</v>
      </c>
      <c r="I142" s="18">
        <v>980000.0</v>
      </c>
      <c r="J142" s="20" t="s">
        <v>205</v>
      </c>
      <c r="K142" s="10"/>
    </row>
    <row r="143" ht="15.75" customHeight="1">
      <c r="A143" s="10" t="s">
        <v>1874</v>
      </c>
      <c r="B143" s="10" t="s">
        <v>1066</v>
      </c>
      <c r="C143" s="13" t="str">
        <f t="array" ref="C143">IFERROR(INDEX('간병신청대장'!$B:$B,MATCH($B143,'간병신청대장'!$A:$A,0)),"")</f>
        <v>오영숙</v>
      </c>
      <c r="D143" s="10" t="s">
        <v>1070</v>
      </c>
      <c r="E143" s="10" t="s">
        <v>149</v>
      </c>
      <c r="F143" s="10" t="s">
        <v>1310</v>
      </c>
      <c r="G143" s="29">
        <v>5.0</v>
      </c>
      <c r="H143" s="18">
        <v>140000.0</v>
      </c>
      <c r="I143" s="18">
        <v>700000.0</v>
      </c>
      <c r="J143" s="20" t="s">
        <v>205</v>
      </c>
      <c r="K143" s="10"/>
    </row>
    <row r="144" ht="15.75" customHeight="1">
      <c r="A144" s="10" t="s">
        <v>1889</v>
      </c>
      <c r="B144" s="10" t="s">
        <v>1079</v>
      </c>
      <c r="C144" s="13" t="str">
        <f t="array" ref="C144">IFERROR(INDEX('간병신청대장'!$B:$B,MATCH($B144,'간병신청대장'!$A:$A,0)),"")</f>
        <v>지영희</v>
      </c>
      <c r="D144" s="10" t="s">
        <v>1083</v>
      </c>
      <c r="E144" s="10" t="s">
        <v>204</v>
      </c>
      <c r="F144" s="10" t="s">
        <v>1091</v>
      </c>
      <c r="G144" s="29">
        <v>5.0</v>
      </c>
      <c r="H144" s="18">
        <v>135000.0</v>
      </c>
      <c r="I144" s="18">
        <v>675000.0</v>
      </c>
      <c r="J144" s="20" t="s">
        <v>205</v>
      </c>
      <c r="K144" s="10"/>
    </row>
    <row r="145" ht="15.75" customHeight="1">
      <c r="A145" s="10" t="s">
        <v>1901</v>
      </c>
      <c r="B145" s="10" t="s">
        <v>1079</v>
      </c>
      <c r="C145" s="13" t="str">
        <f t="array" ref="C145">IFERROR(INDEX('간병신청대장'!$B:$B,MATCH($B145,'간병신청대장'!$A:$A,0)),"")</f>
        <v>지영희</v>
      </c>
      <c r="D145" s="10" t="s">
        <v>1083</v>
      </c>
      <c r="E145" s="10" t="s">
        <v>149</v>
      </c>
      <c r="F145" s="10" t="s">
        <v>929</v>
      </c>
      <c r="G145" s="29">
        <v>9.0</v>
      </c>
      <c r="H145" s="18">
        <v>135000.0</v>
      </c>
      <c r="I145" s="18">
        <v>1215000.0</v>
      </c>
      <c r="J145" s="20" t="s">
        <v>205</v>
      </c>
      <c r="K145" s="10"/>
    </row>
    <row r="146" ht="15.75" customHeight="1">
      <c r="A146" s="10" t="s">
        <v>1914</v>
      </c>
      <c r="B146" s="10" t="s">
        <v>1079</v>
      </c>
      <c r="C146" s="13" t="str">
        <f t="array" ref="C146">IFERROR(INDEX('간병신청대장'!$B:$B,MATCH($B146,'간병신청대장'!$A:$A,0)),"")</f>
        <v>지영희</v>
      </c>
      <c r="D146" s="10" t="s">
        <v>1083</v>
      </c>
      <c r="E146" s="10" t="s">
        <v>238</v>
      </c>
      <c r="F146" s="10" t="s">
        <v>414</v>
      </c>
      <c r="G146" s="29">
        <v>10.0</v>
      </c>
      <c r="H146" s="18">
        <v>135000.0</v>
      </c>
      <c r="I146" s="18">
        <v>1350000.0</v>
      </c>
      <c r="J146" s="20" t="s">
        <v>205</v>
      </c>
      <c r="K146" s="10"/>
    </row>
    <row r="147" ht="15.75" customHeight="1">
      <c r="A147" s="10" t="s">
        <v>1922</v>
      </c>
      <c r="B147" s="10" t="s">
        <v>1079</v>
      </c>
      <c r="C147" s="13" t="str">
        <f t="array" ref="C147">IFERROR(INDEX('간병신청대장'!$B:$B,MATCH($B147,'간병신청대장'!$A:$A,0)),"")</f>
        <v>지영희</v>
      </c>
      <c r="D147" s="10" t="s">
        <v>1083</v>
      </c>
      <c r="E147" s="10" t="s">
        <v>261</v>
      </c>
      <c r="F147" s="10" t="s">
        <v>763</v>
      </c>
      <c r="G147" s="29">
        <v>11.0</v>
      </c>
      <c r="H147" s="18">
        <v>135000.0</v>
      </c>
      <c r="I147" s="18">
        <v>1485000.0</v>
      </c>
      <c r="J147" s="20" t="s">
        <v>205</v>
      </c>
      <c r="K147" s="10"/>
    </row>
    <row r="148" ht="15.75" customHeight="1">
      <c r="A148" s="10" t="s">
        <v>1937</v>
      </c>
      <c r="B148" s="10" t="s">
        <v>1079</v>
      </c>
      <c r="C148" s="13" t="str">
        <f t="array" ref="C148">IFERROR(INDEX('간병신청대장'!$B:$B,MATCH($B148,'간병신청대장'!$A:$A,0)),"")</f>
        <v>지영희</v>
      </c>
      <c r="D148" s="10" t="s">
        <v>1083</v>
      </c>
      <c r="E148" s="10" t="s">
        <v>266</v>
      </c>
      <c r="F148" s="10" t="s">
        <v>1405</v>
      </c>
      <c r="G148" s="29">
        <v>10.0</v>
      </c>
      <c r="H148" s="18">
        <v>135000.0</v>
      </c>
      <c r="I148" s="18">
        <v>1350000.0</v>
      </c>
      <c r="J148" s="20" t="s">
        <v>205</v>
      </c>
      <c r="K148" s="10"/>
    </row>
    <row r="149" ht="15.75" customHeight="1">
      <c r="A149" s="10" t="s">
        <v>1954</v>
      </c>
      <c r="B149" s="10" t="s">
        <v>1079</v>
      </c>
      <c r="C149" s="13" t="str">
        <f t="array" ref="C149">IFERROR(INDEX('간병신청대장'!$B:$B,MATCH($B149,'간병신청대장'!$A:$A,0)),"")</f>
        <v>지영희</v>
      </c>
      <c r="D149" s="10" t="s">
        <v>1083</v>
      </c>
      <c r="E149" s="10" t="s">
        <v>281</v>
      </c>
      <c r="F149" s="10" t="s">
        <v>1417</v>
      </c>
      <c r="G149" s="29">
        <v>10.0</v>
      </c>
      <c r="H149" s="18">
        <v>135000.0</v>
      </c>
      <c r="I149" s="18">
        <v>1350000.0</v>
      </c>
      <c r="J149" s="20" t="s">
        <v>205</v>
      </c>
      <c r="K149" s="10"/>
    </row>
    <row r="150" ht="15.75" customHeight="1">
      <c r="A150" s="10" t="s">
        <v>1965</v>
      </c>
      <c r="B150" s="10" t="s">
        <v>1079</v>
      </c>
      <c r="C150" s="13" t="str">
        <f t="array" ref="C150">IFERROR(INDEX('간병신청대장'!$B:$B,MATCH($B150,'간병신청대장'!$A:$A,0)),"")</f>
        <v>지영희</v>
      </c>
      <c r="D150" s="10" t="s">
        <v>1083</v>
      </c>
      <c r="E150" s="10" t="s">
        <v>567</v>
      </c>
      <c r="F150" s="10" t="s">
        <v>1817</v>
      </c>
      <c r="G150" s="29">
        <v>10.0</v>
      </c>
      <c r="H150" s="18">
        <v>135000.0</v>
      </c>
      <c r="I150" s="18">
        <v>1350000.0</v>
      </c>
      <c r="J150" s="20" t="s">
        <v>205</v>
      </c>
      <c r="K150" s="10"/>
    </row>
    <row r="151" ht="15.75" customHeight="1">
      <c r="A151" s="10" t="s">
        <v>1982</v>
      </c>
      <c r="B151" s="10" t="s">
        <v>1079</v>
      </c>
      <c r="C151" s="13" t="str">
        <f t="array" ref="C151">IFERROR(INDEX('간병신청대장'!$B:$B,MATCH($B151,'간병신청대장'!$A:$A,0)),"")</f>
        <v>지영희</v>
      </c>
      <c r="D151" s="10" t="s">
        <v>1083</v>
      </c>
      <c r="E151" s="10" t="s">
        <v>592</v>
      </c>
      <c r="F151" s="10" t="s">
        <v>1826</v>
      </c>
      <c r="G151" s="29">
        <v>10.0</v>
      </c>
      <c r="H151" s="18">
        <v>135000.0</v>
      </c>
      <c r="I151" s="18">
        <v>1350000.0</v>
      </c>
      <c r="J151" s="20" t="s">
        <v>205</v>
      </c>
      <c r="K151" s="10"/>
    </row>
    <row r="152" ht="15.75" customHeight="1">
      <c r="A152" s="10" t="s">
        <v>1997</v>
      </c>
      <c r="B152" s="10" t="s">
        <v>1079</v>
      </c>
      <c r="C152" s="13" t="str">
        <f t="array" ref="C152">IFERROR(INDEX('간병신청대장'!$B:$B,MATCH($B152,'간병신청대장'!$A:$A,0)),"")</f>
        <v>지영희</v>
      </c>
      <c r="D152" s="10" t="s">
        <v>1083</v>
      </c>
      <c r="E152" s="10" t="s">
        <v>112</v>
      </c>
      <c r="F152" s="10" t="s">
        <v>2008</v>
      </c>
      <c r="G152" s="29">
        <v>10.0</v>
      </c>
      <c r="H152" s="18">
        <v>135000.0</v>
      </c>
      <c r="I152" s="18">
        <v>1350000.0</v>
      </c>
      <c r="J152" s="20" t="s">
        <v>205</v>
      </c>
      <c r="K152" s="10"/>
    </row>
    <row r="153" ht="15.75" customHeight="1">
      <c r="A153" s="10" t="s">
        <v>2009</v>
      </c>
      <c r="B153" s="10" t="s">
        <v>1079</v>
      </c>
      <c r="C153" s="13" t="str">
        <f t="array" ref="C153">IFERROR(INDEX('간병신청대장'!$B:$B,MATCH($B153,'간병신청대장'!$A:$A,0)),"")</f>
        <v>지영희</v>
      </c>
      <c r="D153" s="10" t="s">
        <v>1083</v>
      </c>
      <c r="E153" s="10" t="s">
        <v>194</v>
      </c>
      <c r="F153" s="10" t="s">
        <v>1087</v>
      </c>
      <c r="G153" s="29">
        <v>11.0</v>
      </c>
      <c r="H153" s="18">
        <v>135000.0</v>
      </c>
      <c r="I153" s="18">
        <v>1485000.0</v>
      </c>
      <c r="J153" s="20" t="s">
        <v>205</v>
      </c>
      <c r="K153" s="10"/>
    </row>
    <row r="154" ht="15.75" customHeight="1">
      <c r="A154" s="10" t="s">
        <v>2019</v>
      </c>
      <c r="B154" s="10" t="s">
        <v>1090</v>
      </c>
      <c r="C154" s="13" t="str">
        <f t="array" ref="C154">IFERROR(INDEX('간병신청대장'!$B:$B,MATCH($B154,'간병신청대장'!$A:$A,0)),"")</f>
        <v>지영희</v>
      </c>
      <c r="D154" s="10" t="s">
        <v>1095</v>
      </c>
      <c r="E154" s="10" t="s">
        <v>622</v>
      </c>
      <c r="F154" s="10" t="s">
        <v>2031</v>
      </c>
      <c r="G154" s="29">
        <v>10.0</v>
      </c>
      <c r="H154" s="18">
        <v>135000.0</v>
      </c>
      <c r="I154" s="18">
        <v>1350000.0</v>
      </c>
      <c r="J154" s="20" t="s">
        <v>205</v>
      </c>
      <c r="K154" s="10"/>
    </row>
    <row r="155" ht="15.75" customHeight="1">
      <c r="A155" s="10" t="s">
        <v>2032</v>
      </c>
      <c r="B155" s="10" t="s">
        <v>1100</v>
      </c>
      <c r="C155" s="13" t="str">
        <f t="array" ref="C155">IFERROR(INDEX('간병신청대장'!$B:$B,MATCH($B155,'간병신청대장'!$A:$A,0)),"")</f>
        <v>조순호</v>
      </c>
      <c r="D155" s="10" t="s">
        <v>1112</v>
      </c>
      <c r="E155" s="10" t="s">
        <v>190</v>
      </c>
      <c r="F155" s="10" t="s">
        <v>1116</v>
      </c>
      <c r="G155" s="29">
        <v>4.0</v>
      </c>
      <c r="H155" s="18">
        <v>140000.0</v>
      </c>
      <c r="I155" s="18">
        <v>560000.0</v>
      </c>
      <c r="J155" s="20" t="s">
        <v>205</v>
      </c>
      <c r="K155" s="10"/>
    </row>
    <row r="156" ht="15.75" customHeight="1">
      <c r="A156" s="10" t="s">
        <v>2042</v>
      </c>
      <c r="B156" s="10" t="s">
        <v>1119</v>
      </c>
      <c r="C156" s="13" t="str">
        <f t="array" ref="C156">IFERROR(INDEX('간병신청대장'!$B:$B,MATCH($B156,'간병신청대장'!$A:$A,0)),"")</f>
        <v>김경재</v>
      </c>
      <c r="D156" s="10" t="s">
        <v>1126</v>
      </c>
      <c r="E156" s="10" t="s">
        <v>190</v>
      </c>
      <c r="F156" s="10" t="s">
        <v>1132</v>
      </c>
      <c r="G156" s="29">
        <v>8.0</v>
      </c>
      <c r="H156" s="18">
        <v>140000.0</v>
      </c>
      <c r="I156" s="18">
        <v>1120000.0</v>
      </c>
      <c r="J156" s="20" t="s">
        <v>205</v>
      </c>
      <c r="K156" s="10"/>
    </row>
    <row r="157" ht="15.75" customHeight="1">
      <c r="A157" s="10" t="s">
        <v>2050</v>
      </c>
      <c r="B157" s="10" t="s">
        <v>1137</v>
      </c>
      <c r="C157" s="13" t="str">
        <f t="array" ref="C157">IFERROR(INDEX('간병신청대장'!$B:$B,MATCH($B157,'간병신청대장'!$A:$A,0)),"")</f>
        <v>최덕순</v>
      </c>
      <c r="D157" s="10" t="s">
        <v>1143</v>
      </c>
      <c r="E157" s="10" t="s">
        <v>190</v>
      </c>
      <c r="F157" s="10" t="s">
        <v>1147</v>
      </c>
      <c r="G157" s="29">
        <v>6.3</v>
      </c>
      <c r="H157" s="18">
        <v>140000.0</v>
      </c>
      <c r="I157" s="18">
        <v>870000.0</v>
      </c>
      <c r="J157" s="20" t="s">
        <v>205</v>
      </c>
      <c r="K157" s="10"/>
    </row>
    <row r="158" ht="15.75" customHeight="1">
      <c r="A158" s="10" t="s">
        <v>2058</v>
      </c>
      <c r="B158" s="10" t="s">
        <v>1150</v>
      </c>
      <c r="C158" s="13" t="str">
        <f t="array" ref="C158">IFERROR(INDEX('간병신청대장'!$B:$B,MATCH($B158,'간병신청대장'!$A:$A,0)),"")</f>
        <v>이영기</v>
      </c>
      <c r="D158" s="10" t="s">
        <v>1153</v>
      </c>
      <c r="E158" s="10" t="s">
        <v>149</v>
      </c>
      <c r="F158" s="10" t="s">
        <v>1156</v>
      </c>
      <c r="G158" s="29">
        <v>5.0</v>
      </c>
      <c r="H158" s="18">
        <v>135000.0</v>
      </c>
      <c r="I158" s="18">
        <v>675000.0</v>
      </c>
      <c r="J158" s="20" t="s">
        <v>205</v>
      </c>
      <c r="K158" s="10"/>
    </row>
    <row r="159" ht="15.75" customHeight="1">
      <c r="A159" s="10" t="s">
        <v>2068</v>
      </c>
      <c r="B159" s="10" t="s">
        <v>1158</v>
      </c>
      <c r="C159" s="13" t="str">
        <f t="array" ref="C159">IFERROR(INDEX('간병신청대장'!$B:$B,MATCH($B159,'간병신청대장'!$A:$A,0)),"")</f>
        <v>정춘영</v>
      </c>
      <c r="D159" s="10" t="s">
        <v>1162</v>
      </c>
      <c r="E159" s="10" t="s">
        <v>204</v>
      </c>
      <c r="F159" s="10" t="s">
        <v>1165</v>
      </c>
      <c r="G159" s="29">
        <v>8.6</v>
      </c>
      <c r="H159" s="18">
        <v>130000.0</v>
      </c>
      <c r="I159" s="18">
        <v>1110000.0</v>
      </c>
      <c r="J159" s="20" t="s">
        <v>205</v>
      </c>
      <c r="K159" s="10"/>
    </row>
    <row r="160" ht="15.75" customHeight="1">
      <c r="A160" s="10" t="s">
        <v>2076</v>
      </c>
      <c r="B160" s="10" t="s">
        <v>1168</v>
      </c>
      <c r="C160" s="13" t="str">
        <f t="array" ref="C160">IFERROR(INDEX('간병신청대장'!$B:$B,MATCH($B160,'간병신청대장'!$A:$A,0)),"")</f>
        <v>김정은</v>
      </c>
      <c r="D160" s="10" t="s">
        <v>1171</v>
      </c>
      <c r="E160" s="10" t="s">
        <v>149</v>
      </c>
      <c r="F160" s="10" t="s">
        <v>1174</v>
      </c>
      <c r="G160" s="29">
        <v>6.0</v>
      </c>
      <c r="H160" s="18">
        <v>80000.0</v>
      </c>
      <c r="I160" s="18">
        <v>480000.0</v>
      </c>
      <c r="J160" s="20" t="s">
        <v>205</v>
      </c>
      <c r="K160" s="10"/>
    </row>
    <row r="161" ht="15.75" customHeight="1">
      <c r="A161" s="10" t="s">
        <v>2092</v>
      </c>
      <c r="B161" s="10" t="s">
        <v>1186</v>
      </c>
      <c r="C161" s="13" t="str">
        <f t="array" ref="C161">IFERROR(INDEX('간병신청대장'!$B:$B,MATCH($B161,'간병신청대장'!$A:$A,0)),"")</f>
        <v>김우현</v>
      </c>
      <c r="D161" s="10" t="s">
        <v>1195</v>
      </c>
      <c r="E161" s="10" t="s">
        <v>204</v>
      </c>
      <c r="F161" s="10" t="s">
        <v>1199</v>
      </c>
      <c r="G161" s="29">
        <v>5.0</v>
      </c>
      <c r="H161" s="18">
        <v>135000.0</v>
      </c>
      <c r="I161" s="18">
        <v>675000.0</v>
      </c>
      <c r="J161" s="20" t="s">
        <v>205</v>
      </c>
      <c r="K161" s="10"/>
    </row>
    <row r="162" ht="15.75" customHeight="1">
      <c r="A162" s="10" t="s">
        <v>2099</v>
      </c>
      <c r="B162" s="10" t="s">
        <v>1202</v>
      </c>
      <c r="C162" s="13" t="str">
        <f t="array" ref="C162">IFERROR(INDEX('간병신청대장'!$B:$B,MATCH($B162,'간병신청대장'!$A:$A,0)),"")</f>
        <v>이담</v>
      </c>
      <c r="D162" s="10" t="s">
        <v>1205</v>
      </c>
      <c r="E162" s="10" t="s">
        <v>204</v>
      </c>
      <c r="F162" s="10" t="s">
        <v>1207</v>
      </c>
      <c r="G162" s="29">
        <v>3.0</v>
      </c>
      <c r="H162" s="18">
        <v>135000.0</v>
      </c>
      <c r="I162" s="18">
        <v>405000.0</v>
      </c>
      <c r="J162" s="20" t="s">
        <v>205</v>
      </c>
      <c r="K162" s="10"/>
    </row>
    <row r="163" ht="15.75" customHeight="1">
      <c r="A163" s="10" t="s">
        <v>2114</v>
      </c>
      <c r="B163" s="10" t="s">
        <v>1210</v>
      </c>
      <c r="C163" s="13" t="str">
        <f t="array" ref="C163">IFERROR(INDEX('간병신청대장'!$B:$B,MATCH($B163,'간병신청대장'!$A:$A,0)),"")</f>
        <v>김태자</v>
      </c>
      <c r="D163" s="10" t="s">
        <v>1222</v>
      </c>
      <c r="E163" s="10" t="s">
        <v>204</v>
      </c>
      <c r="F163" s="10" t="s">
        <v>1228</v>
      </c>
      <c r="G163" s="29">
        <v>7.0</v>
      </c>
      <c r="H163" s="18">
        <v>135000.0</v>
      </c>
      <c r="I163" s="18">
        <v>945000.0</v>
      </c>
      <c r="J163" s="20" t="s">
        <v>205</v>
      </c>
      <c r="K163" s="10"/>
    </row>
    <row r="164" ht="15.75" customHeight="1">
      <c r="A164" s="10" t="s">
        <v>2127</v>
      </c>
      <c r="B164" s="10" t="s">
        <v>1231</v>
      </c>
      <c r="C164" s="13" t="str">
        <f t="array" ref="C164">IFERROR(INDEX('간병신청대장'!$B:$B,MATCH($B164,'간병신청대장'!$A:$A,0)),"")</f>
        <v>하덕임</v>
      </c>
      <c r="D164" s="10" t="s">
        <v>1234</v>
      </c>
      <c r="E164" s="10" t="s">
        <v>204</v>
      </c>
      <c r="F164" s="10" t="s">
        <v>482</v>
      </c>
      <c r="G164" s="29">
        <v>5.0</v>
      </c>
      <c r="H164" s="18">
        <v>130000.0</v>
      </c>
      <c r="I164" s="18">
        <v>650000.0</v>
      </c>
      <c r="J164" s="20" t="s">
        <v>205</v>
      </c>
      <c r="K164" s="10"/>
    </row>
    <row r="165" ht="15.75" customHeight="1">
      <c r="A165" s="10" t="s">
        <v>2146</v>
      </c>
      <c r="B165" s="10" t="s">
        <v>1231</v>
      </c>
      <c r="C165" s="13" t="str">
        <f t="array" ref="C165">IFERROR(INDEX('간병신청대장'!$B:$B,MATCH($B165,'간병신청대장'!$A:$A,0)),"")</f>
        <v>하덕임</v>
      </c>
      <c r="D165" s="10" t="s">
        <v>1234</v>
      </c>
      <c r="E165" s="10" t="s">
        <v>149</v>
      </c>
      <c r="F165" s="10" t="s">
        <v>495</v>
      </c>
      <c r="G165" s="29">
        <v>10.0</v>
      </c>
      <c r="H165" s="18">
        <v>130000.0</v>
      </c>
      <c r="I165" s="18">
        <v>1300000.0</v>
      </c>
      <c r="J165" s="20" t="s">
        <v>205</v>
      </c>
      <c r="K165" s="10"/>
    </row>
    <row r="166" ht="15.75" customHeight="1">
      <c r="A166" s="10" t="s">
        <v>2163</v>
      </c>
      <c r="B166" s="10" t="s">
        <v>1231</v>
      </c>
      <c r="C166" s="13" t="str">
        <f t="array" ref="C166">IFERROR(INDEX('간병신청대장'!$B:$B,MATCH($B166,'간병신청대장'!$A:$A,0)),"")</f>
        <v>하덕임</v>
      </c>
      <c r="D166" s="10" t="s">
        <v>1234</v>
      </c>
      <c r="E166" s="10" t="s">
        <v>238</v>
      </c>
      <c r="F166" s="10" t="s">
        <v>1241</v>
      </c>
      <c r="G166" s="29">
        <v>2.0</v>
      </c>
      <c r="H166" s="18">
        <v>130000.0</v>
      </c>
      <c r="I166" s="18">
        <v>260000.0</v>
      </c>
      <c r="J166" s="20" t="s">
        <v>205</v>
      </c>
      <c r="K166" s="10"/>
    </row>
    <row r="167" ht="15.75" customHeight="1">
      <c r="A167" s="10" t="s">
        <v>2183</v>
      </c>
      <c r="B167" s="10" t="s">
        <v>1244</v>
      </c>
      <c r="C167" s="13" t="str">
        <f t="array" ref="C167">IFERROR(INDEX('간병신청대장'!$B:$B,MATCH($B167,'간병신청대장'!$A:$A,0)),"")</f>
        <v>문영해</v>
      </c>
      <c r="D167" s="10" t="s">
        <v>1252</v>
      </c>
      <c r="E167" s="10" t="s">
        <v>238</v>
      </c>
      <c r="F167" s="10" t="s">
        <v>2191</v>
      </c>
      <c r="G167" s="29">
        <v>22.0</v>
      </c>
      <c r="H167" s="18">
        <v>139500.0</v>
      </c>
      <c r="I167" s="18">
        <v>3069000.0</v>
      </c>
      <c r="J167" s="20" t="s">
        <v>205</v>
      </c>
      <c r="K167" s="10"/>
    </row>
    <row r="168" ht="15.75" customHeight="1">
      <c r="A168" s="10" t="s">
        <v>2192</v>
      </c>
      <c r="B168" s="10" t="s">
        <v>1244</v>
      </c>
      <c r="C168" s="13" t="str">
        <f t="array" ref="C168">IFERROR(INDEX('간병신청대장'!$B:$B,MATCH($B168,'간병신청대장'!$A:$A,0)),"")</f>
        <v>문영해</v>
      </c>
      <c r="D168" s="10" t="s">
        <v>1252</v>
      </c>
      <c r="E168" s="10" t="s">
        <v>261</v>
      </c>
      <c r="F168" s="10" t="s">
        <v>2020</v>
      </c>
      <c r="G168" s="29">
        <v>16.0</v>
      </c>
      <c r="H168" s="18">
        <v>139500.0</v>
      </c>
      <c r="I168" s="18">
        <v>2232000.0</v>
      </c>
      <c r="J168" s="20" t="s">
        <v>205</v>
      </c>
      <c r="K168" s="10"/>
    </row>
    <row r="169" ht="15.75" customHeight="1">
      <c r="A169" s="10" t="s">
        <v>2211</v>
      </c>
      <c r="B169" s="10" t="s">
        <v>1244</v>
      </c>
      <c r="C169" s="13" t="str">
        <f t="array" ref="C169">IFERROR(INDEX('간병신청대장'!$B:$B,MATCH($B169,'간병신청대장'!$A:$A,0)),"")</f>
        <v>문영해</v>
      </c>
      <c r="D169" s="10" t="s">
        <v>1252</v>
      </c>
      <c r="E169" s="10" t="s">
        <v>266</v>
      </c>
      <c r="F169" s="10" t="s">
        <v>2036</v>
      </c>
      <c r="G169" s="29">
        <v>10.0</v>
      </c>
      <c r="H169" s="18">
        <v>139500.0</v>
      </c>
      <c r="I169" s="18">
        <v>1395000.0</v>
      </c>
      <c r="J169" s="20" t="s">
        <v>205</v>
      </c>
      <c r="K169" s="10"/>
    </row>
    <row r="170" ht="15.75" customHeight="1">
      <c r="A170" s="10" t="s">
        <v>2223</v>
      </c>
      <c r="B170" s="10" t="s">
        <v>1244</v>
      </c>
      <c r="C170" s="13" t="str">
        <f t="array" ref="C170">IFERROR(INDEX('간병신청대장'!$B:$B,MATCH($B170,'간병신청대장'!$A:$A,0)),"")</f>
        <v>문영해</v>
      </c>
      <c r="D170" s="10" t="s">
        <v>1252</v>
      </c>
      <c r="E170" s="10" t="s">
        <v>281</v>
      </c>
      <c r="F170" s="10" t="s">
        <v>2041</v>
      </c>
      <c r="G170" s="29">
        <v>10.0</v>
      </c>
      <c r="H170" s="18">
        <v>139500.0</v>
      </c>
      <c r="I170" s="18">
        <v>1395000.0</v>
      </c>
      <c r="J170" s="20" t="s">
        <v>205</v>
      </c>
      <c r="K170" s="10"/>
    </row>
    <row r="171" ht="15.75" customHeight="1">
      <c r="A171" s="10" t="s">
        <v>2235</v>
      </c>
      <c r="B171" s="10" t="s">
        <v>1244</v>
      </c>
      <c r="C171" s="13" t="str">
        <f t="array" ref="C171">IFERROR(INDEX('간병신청대장'!$B:$B,MATCH($B171,'간병신청대장'!$A:$A,0)),"")</f>
        <v>문영해</v>
      </c>
      <c r="D171" s="10" t="s">
        <v>1252</v>
      </c>
      <c r="E171" s="10" t="s">
        <v>567</v>
      </c>
      <c r="F171" s="10" t="s">
        <v>2049</v>
      </c>
      <c r="G171" s="29">
        <v>10.0</v>
      </c>
      <c r="H171" s="18">
        <v>139500.0</v>
      </c>
      <c r="I171" s="18">
        <v>1395000.0</v>
      </c>
      <c r="J171" s="20" t="s">
        <v>205</v>
      </c>
      <c r="K171" s="10"/>
    </row>
    <row r="172" ht="15.75" customHeight="1">
      <c r="A172" s="10" t="s">
        <v>2251</v>
      </c>
      <c r="B172" s="10" t="s">
        <v>1244</v>
      </c>
      <c r="C172" s="13" t="str">
        <f t="array" ref="C172">IFERROR(INDEX('간병신청대장'!$B:$B,MATCH($B172,'간병신청대장'!$A:$A,0)),"")</f>
        <v>문영해</v>
      </c>
      <c r="D172" s="10" t="s">
        <v>1252</v>
      </c>
      <c r="E172" s="10" t="s">
        <v>592</v>
      </c>
      <c r="F172" s="10" t="s">
        <v>1715</v>
      </c>
      <c r="G172" s="29">
        <v>10.0</v>
      </c>
      <c r="H172" s="18">
        <v>139500.0</v>
      </c>
      <c r="I172" s="18">
        <v>1395000.0</v>
      </c>
      <c r="J172" s="20" t="s">
        <v>205</v>
      </c>
      <c r="K172" s="10"/>
    </row>
    <row r="173" ht="15.75" customHeight="1">
      <c r="A173" s="10" t="s">
        <v>2274</v>
      </c>
      <c r="B173" s="10" t="s">
        <v>1244</v>
      </c>
      <c r="C173" s="13" t="str">
        <f t="array" ref="C173">IFERROR(INDEX('간병신청대장'!$B:$B,MATCH($B173,'간병신청대장'!$A:$A,0)),"")</f>
        <v>문영해</v>
      </c>
      <c r="D173" s="10" t="s">
        <v>1252</v>
      </c>
      <c r="E173" s="10" t="s">
        <v>112</v>
      </c>
      <c r="F173" s="10" t="s">
        <v>2284</v>
      </c>
      <c r="G173" s="29">
        <v>10.0</v>
      </c>
      <c r="H173" s="18">
        <v>139500.0</v>
      </c>
      <c r="I173" s="18">
        <v>1395000.0</v>
      </c>
      <c r="J173" s="20" t="s">
        <v>205</v>
      </c>
      <c r="K173" s="10"/>
    </row>
    <row r="174" ht="15.75" customHeight="1">
      <c r="A174" s="10" t="s">
        <v>2285</v>
      </c>
      <c r="B174" s="10" t="s">
        <v>1244</v>
      </c>
      <c r="C174" s="13" t="str">
        <f t="array" ref="C174">IFERROR(INDEX('간병신청대장'!$B:$B,MATCH($B174,'간병신청대장'!$A:$A,0)),"")</f>
        <v>문영해</v>
      </c>
      <c r="D174" s="10" t="s">
        <v>1252</v>
      </c>
      <c r="E174" s="10" t="s">
        <v>194</v>
      </c>
      <c r="F174" s="10" t="s">
        <v>1087</v>
      </c>
      <c r="G174" s="29">
        <v>11.0</v>
      </c>
      <c r="H174" s="18">
        <v>139500.0</v>
      </c>
      <c r="I174" s="18">
        <v>1534500.0</v>
      </c>
      <c r="J174" s="20" t="s">
        <v>205</v>
      </c>
      <c r="K174" s="10"/>
    </row>
    <row r="175" ht="15.75" customHeight="1">
      <c r="A175" s="10" t="s">
        <v>2304</v>
      </c>
      <c r="B175" s="10" t="s">
        <v>1244</v>
      </c>
      <c r="C175" s="13" t="str">
        <f t="array" ref="C175">IFERROR(INDEX('간병신청대장'!$B:$B,MATCH($B175,'간병신청대장'!$A:$A,0)),"")</f>
        <v>문영해</v>
      </c>
      <c r="D175" s="10" t="s">
        <v>1252</v>
      </c>
      <c r="E175" s="10" t="s">
        <v>622</v>
      </c>
      <c r="F175" s="10" t="s">
        <v>2318</v>
      </c>
      <c r="G175" s="29">
        <v>10.0</v>
      </c>
      <c r="H175" s="18">
        <v>139500.0</v>
      </c>
      <c r="I175" s="18">
        <v>1395000.0</v>
      </c>
      <c r="J175" s="20" t="s">
        <v>205</v>
      </c>
      <c r="K175" s="10"/>
    </row>
    <row r="176" ht="15.75" customHeight="1">
      <c r="A176" s="10" t="s">
        <v>2319</v>
      </c>
      <c r="B176" s="10" t="s">
        <v>1260</v>
      </c>
      <c r="C176" s="13" t="str">
        <f t="array" ref="C176">IFERROR(INDEX('간병신청대장'!$B:$B,MATCH($B176,'간병신청대장'!$A:$A,0)),"")</f>
        <v>이정완</v>
      </c>
      <c r="D176" s="10" t="s">
        <v>1263</v>
      </c>
      <c r="E176" s="10" t="s">
        <v>204</v>
      </c>
      <c r="F176" s="10" t="s">
        <v>2334</v>
      </c>
      <c r="G176" s="29">
        <v>6.0</v>
      </c>
      <c r="H176" s="18">
        <v>140000.0</v>
      </c>
      <c r="I176" s="18">
        <v>840000.0</v>
      </c>
      <c r="J176" s="20" t="s">
        <v>205</v>
      </c>
      <c r="K176" s="10"/>
    </row>
    <row r="177" ht="15.75" customHeight="1">
      <c r="A177" s="10" t="s">
        <v>2336</v>
      </c>
      <c r="B177" s="10" t="s">
        <v>1260</v>
      </c>
      <c r="C177" s="13" t="str">
        <f t="array" ref="C177">IFERROR(INDEX('간병신청대장'!$B:$B,MATCH($B177,'간병신청대장'!$A:$A,0)),"")</f>
        <v>이정완</v>
      </c>
      <c r="D177" s="10" t="s">
        <v>1263</v>
      </c>
      <c r="E177" s="10" t="s">
        <v>149</v>
      </c>
      <c r="F177" s="10" t="s">
        <v>1267</v>
      </c>
      <c r="G177" s="29">
        <v>4.0</v>
      </c>
      <c r="H177" s="18">
        <v>140000.0</v>
      </c>
      <c r="I177" s="18">
        <v>560000.0</v>
      </c>
      <c r="J177" s="20" t="s">
        <v>205</v>
      </c>
      <c r="K177" s="10"/>
    </row>
    <row r="178" ht="15.75" customHeight="1">
      <c r="A178" s="10" t="s">
        <v>2349</v>
      </c>
      <c r="B178" s="10" t="s">
        <v>1270</v>
      </c>
      <c r="C178" s="13" t="str">
        <f t="array" ref="C178">IFERROR(INDEX('간병신청대장'!$B:$B,MATCH($B178,'간병신청대장'!$A:$A,0)),"")</f>
        <v>이정완</v>
      </c>
      <c r="D178" s="10" t="s">
        <v>1282</v>
      </c>
      <c r="E178" s="10" t="s">
        <v>149</v>
      </c>
      <c r="F178" s="10" t="s">
        <v>1007</v>
      </c>
      <c r="G178" s="29">
        <v>7.0</v>
      </c>
      <c r="H178" s="18">
        <v>140000.0</v>
      </c>
      <c r="I178" s="18">
        <v>980000.0</v>
      </c>
      <c r="J178" s="20" t="s">
        <v>205</v>
      </c>
      <c r="K178" s="10"/>
    </row>
    <row r="179" ht="15.75" customHeight="1">
      <c r="A179" s="10" t="s">
        <v>2364</v>
      </c>
      <c r="B179" s="10" t="s">
        <v>1286</v>
      </c>
      <c r="C179" s="13" t="str">
        <f t="array" ref="C179">IFERROR(INDEX('간병신청대장'!$B:$B,MATCH($B179,'간병신청대장'!$A:$A,0)),"")</f>
        <v>이정완</v>
      </c>
      <c r="D179" s="10" t="s">
        <v>1290</v>
      </c>
      <c r="E179" s="10" t="s">
        <v>238</v>
      </c>
      <c r="F179" s="10" t="s">
        <v>1296</v>
      </c>
      <c r="G179" s="29">
        <v>6.0</v>
      </c>
      <c r="H179" s="18">
        <v>150000.0</v>
      </c>
      <c r="I179" s="18">
        <v>900000.0</v>
      </c>
      <c r="J179" s="20" t="s">
        <v>205</v>
      </c>
      <c r="K179" s="10"/>
    </row>
    <row r="180" ht="15.75" customHeight="1">
      <c r="A180" s="10" t="s">
        <v>2370</v>
      </c>
      <c r="B180" s="10" t="s">
        <v>1299</v>
      </c>
      <c r="C180" s="13" t="str">
        <f t="array" ref="C180">IFERROR(INDEX('간병신청대장'!$B:$B,MATCH($B180,'간병신청대장'!$A:$A,0)),"")</f>
        <v>김창식</v>
      </c>
      <c r="D180" s="10" t="s">
        <v>1162</v>
      </c>
      <c r="E180" s="10" t="s">
        <v>204</v>
      </c>
      <c r="F180" s="10" t="s">
        <v>2385</v>
      </c>
      <c r="G180" s="29">
        <v>5.0</v>
      </c>
      <c r="H180" s="18">
        <v>130000.0</v>
      </c>
      <c r="I180" s="18">
        <v>650000.0</v>
      </c>
      <c r="J180" s="20" t="s">
        <v>205</v>
      </c>
      <c r="K180" s="10"/>
    </row>
    <row r="181" ht="15.75" customHeight="1">
      <c r="A181" s="10" t="s">
        <v>2386</v>
      </c>
      <c r="B181" s="10" t="s">
        <v>1313</v>
      </c>
      <c r="C181" s="13" t="str">
        <f t="array" ref="C181">IFERROR(INDEX('간병신청대장'!$B:$B,MATCH($B181,'간병신청대장'!$A:$A,0)),"")</f>
        <v>김창식</v>
      </c>
      <c r="D181" s="10" t="s">
        <v>1162</v>
      </c>
      <c r="E181" s="10" t="s">
        <v>149</v>
      </c>
      <c r="F181" s="10" t="s">
        <v>1315</v>
      </c>
      <c r="G181" s="29">
        <v>6.0</v>
      </c>
      <c r="H181" s="18">
        <v>130000.0</v>
      </c>
      <c r="I181" s="18">
        <v>780000.0</v>
      </c>
      <c r="J181" s="20" t="s">
        <v>205</v>
      </c>
      <c r="K181" s="10"/>
    </row>
    <row r="182" ht="15.75" customHeight="1">
      <c r="A182" s="10" t="s">
        <v>2395</v>
      </c>
      <c r="B182" s="10" t="s">
        <v>1318</v>
      </c>
      <c r="C182" s="13" t="str">
        <f t="array" ref="C182">IFERROR(INDEX('간병신청대장'!$B:$B,MATCH($B182,'간병신청대장'!$A:$A,0)),"")</f>
        <v>손정관</v>
      </c>
      <c r="D182" s="10" t="s">
        <v>1330</v>
      </c>
      <c r="E182" s="10" t="s">
        <v>204</v>
      </c>
      <c r="F182" s="10" t="s">
        <v>2405</v>
      </c>
      <c r="G182" s="29">
        <v>7.0</v>
      </c>
      <c r="H182" s="18">
        <v>135000.0</v>
      </c>
      <c r="I182" s="18">
        <v>945000.0</v>
      </c>
      <c r="J182" s="20" t="s">
        <v>205</v>
      </c>
      <c r="K182" s="10"/>
    </row>
    <row r="183" ht="15.75" customHeight="1">
      <c r="A183" s="10" t="s">
        <v>2407</v>
      </c>
      <c r="B183" s="10" t="s">
        <v>1318</v>
      </c>
      <c r="C183" s="13" t="str">
        <f t="array" ref="C183">IFERROR(INDEX('간병신청대장'!$B:$B,MATCH($B183,'간병신청대장'!$A:$A,0)),"")</f>
        <v>손정관</v>
      </c>
      <c r="D183" s="10" t="s">
        <v>1330</v>
      </c>
      <c r="E183" s="10" t="s">
        <v>149</v>
      </c>
      <c r="F183" s="10" t="s">
        <v>1247</v>
      </c>
      <c r="G183" s="29">
        <v>10.0</v>
      </c>
      <c r="H183" s="18">
        <v>135000.0</v>
      </c>
      <c r="I183" s="18">
        <v>1350000.0</v>
      </c>
      <c r="J183" s="20" t="s">
        <v>205</v>
      </c>
      <c r="K183" s="10"/>
    </row>
    <row r="184" ht="15.75" customHeight="1">
      <c r="A184" s="10" t="s">
        <v>2428</v>
      </c>
      <c r="B184" s="10" t="s">
        <v>1318</v>
      </c>
      <c r="C184" s="13" t="str">
        <f t="array" ref="C184">IFERROR(INDEX('간병신청대장'!$B:$B,MATCH($B184,'간병신청대장'!$A:$A,0)),"")</f>
        <v>손정관</v>
      </c>
      <c r="D184" s="10" t="s">
        <v>1330</v>
      </c>
      <c r="E184" s="10" t="s">
        <v>238</v>
      </c>
      <c r="F184" s="10" t="s">
        <v>1335</v>
      </c>
      <c r="G184" s="29">
        <v>2.0</v>
      </c>
      <c r="H184" s="18">
        <v>135000.0</v>
      </c>
      <c r="I184" s="18">
        <v>270000.0</v>
      </c>
      <c r="J184" s="20" t="s">
        <v>205</v>
      </c>
      <c r="K184" s="10"/>
    </row>
    <row r="185" ht="15.75" customHeight="1">
      <c r="A185" s="10" t="s">
        <v>2445</v>
      </c>
      <c r="B185" s="10" t="s">
        <v>1338</v>
      </c>
      <c r="C185" s="13" t="str">
        <f t="array" ref="C185">IFERROR(INDEX('간병신청대장'!$B:$B,MATCH($B185,'간병신청대장'!$A:$A,0)),"")</f>
        <v>손정관</v>
      </c>
      <c r="D185" s="10" t="s">
        <v>877</v>
      </c>
      <c r="E185" s="10" t="s">
        <v>238</v>
      </c>
      <c r="F185" s="10" t="s">
        <v>2456</v>
      </c>
      <c r="G185" s="29">
        <v>8.0</v>
      </c>
      <c r="H185" s="18">
        <v>135000.0</v>
      </c>
      <c r="I185" s="18">
        <v>1080000.0</v>
      </c>
      <c r="J185" s="20" t="s">
        <v>205</v>
      </c>
      <c r="K185" s="10"/>
    </row>
    <row r="186" ht="15.75" customHeight="1">
      <c r="A186" s="10" t="s">
        <v>2459</v>
      </c>
      <c r="B186" s="10" t="s">
        <v>1338</v>
      </c>
      <c r="C186" s="13" t="str">
        <f t="array" ref="C186">IFERROR(INDEX('간병신청대장'!$B:$B,MATCH($B186,'간병신청대장'!$A:$A,0)),"")</f>
        <v>손정관</v>
      </c>
      <c r="D186" s="10" t="s">
        <v>877</v>
      </c>
      <c r="E186" s="10" t="s">
        <v>261</v>
      </c>
      <c r="F186" s="10" t="s">
        <v>2466</v>
      </c>
      <c r="G186" s="29">
        <v>2.3</v>
      </c>
      <c r="H186" s="18">
        <v>135000.0</v>
      </c>
      <c r="I186" s="18">
        <v>300000.0</v>
      </c>
      <c r="J186" s="20" t="s">
        <v>205</v>
      </c>
      <c r="K186" s="10"/>
    </row>
    <row r="187" ht="15.75" customHeight="1">
      <c r="A187" s="10" t="s">
        <v>2470</v>
      </c>
      <c r="B187" s="10" t="s">
        <v>1344</v>
      </c>
      <c r="C187" s="13" t="str">
        <f t="array" ref="C187">IFERROR(INDEX('간병신청대장'!$B:$B,MATCH($B187,'간병신청대장'!$A:$A,0)),"")</f>
        <v>고복순</v>
      </c>
      <c r="D187" s="10" t="s">
        <v>806</v>
      </c>
      <c r="E187" s="10" t="s">
        <v>204</v>
      </c>
      <c r="F187" s="10" t="s">
        <v>2481</v>
      </c>
      <c r="G187" s="29">
        <v>5.0</v>
      </c>
      <c r="H187" s="18">
        <v>138000.0</v>
      </c>
      <c r="I187" s="18">
        <v>690000.0</v>
      </c>
      <c r="J187" s="20" t="s">
        <v>205</v>
      </c>
      <c r="K187" s="10"/>
    </row>
    <row r="188" ht="15.75" customHeight="1">
      <c r="A188" s="10" t="s">
        <v>2482</v>
      </c>
      <c r="B188" s="10" t="s">
        <v>1344</v>
      </c>
      <c r="C188" s="13" t="str">
        <f t="array" ref="C188">IFERROR(INDEX('간병신청대장'!$B:$B,MATCH($B188,'간병신청대장'!$A:$A,0)),"")</f>
        <v>고복순</v>
      </c>
      <c r="D188" s="10" t="s">
        <v>806</v>
      </c>
      <c r="E188" s="10" t="s">
        <v>149</v>
      </c>
      <c r="F188" s="10" t="s">
        <v>527</v>
      </c>
      <c r="G188" s="29">
        <v>9.0</v>
      </c>
      <c r="H188" s="18">
        <v>138000.0</v>
      </c>
      <c r="I188" s="18">
        <v>1242000.0</v>
      </c>
      <c r="J188" s="20" t="s">
        <v>205</v>
      </c>
      <c r="K188" s="10"/>
    </row>
    <row r="189" ht="15.75" customHeight="1">
      <c r="A189" s="10" t="s">
        <v>2492</v>
      </c>
      <c r="B189" s="10" t="s">
        <v>1344</v>
      </c>
      <c r="C189" s="13" t="str">
        <f t="array" ref="C189">IFERROR(INDEX('간병신청대장'!$B:$B,MATCH($B189,'간병신청대장'!$A:$A,0)),"")</f>
        <v>고복순</v>
      </c>
      <c r="D189" s="10" t="s">
        <v>806</v>
      </c>
      <c r="E189" s="10" t="s">
        <v>261</v>
      </c>
      <c r="F189" s="10" t="s">
        <v>696</v>
      </c>
      <c r="G189" s="29">
        <v>-1.0</v>
      </c>
      <c r="H189" s="18">
        <v>138000.0</v>
      </c>
      <c r="I189" s="18">
        <v>-138000.0</v>
      </c>
      <c r="J189" s="20" t="s">
        <v>205</v>
      </c>
      <c r="K189" s="10"/>
    </row>
    <row r="190" ht="15.75" customHeight="1">
      <c r="A190" s="10" t="s">
        <v>2505</v>
      </c>
      <c r="B190" s="10" t="s">
        <v>1359</v>
      </c>
      <c r="C190" s="13" t="str">
        <f t="array" ref="C190">IFERROR(INDEX('간병신청대장'!$B:$B,MATCH($B190,'간병신청대장'!$A:$A,0)),"")</f>
        <v>구성란</v>
      </c>
      <c r="D190" s="10" t="s">
        <v>1363</v>
      </c>
      <c r="E190" s="10" t="s">
        <v>149</v>
      </c>
      <c r="F190" s="10" t="s">
        <v>2215</v>
      </c>
      <c r="G190" s="29">
        <v>11.0</v>
      </c>
      <c r="H190" s="18">
        <v>135000.0</v>
      </c>
      <c r="I190" s="18">
        <v>1485000.0</v>
      </c>
      <c r="J190" s="20" t="s">
        <v>205</v>
      </c>
      <c r="K190" s="10"/>
    </row>
    <row r="191" ht="15.75" customHeight="1">
      <c r="A191" s="10" t="s">
        <v>2511</v>
      </c>
      <c r="B191" s="10" t="s">
        <v>1359</v>
      </c>
      <c r="C191" s="13" t="str">
        <f t="array" ref="C191">IFERROR(INDEX('간병신청대장'!$B:$B,MATCH($B191,'간병신청대장'!$A:$A,0)),"")</f>
        <v>구성란</v>
      </c>
      <c r="D191" s="10" t="s">
        <v>1363</v>
      </c>
      <c r="E191" s="10" t="s">
        <v>238</v>
      </c>
      <c r="F191" s="10" t="s">
        <v>2519</v>
      </c>
      <c r="G191" s="29">
        <v>10.0</v>
      </c>
      <c r="H191" s="18">
        <v>135000.0</v>
      </c>
      <c r="I191" s="18">
        <v>1350000.0</v>
      </c>
      <c r="J191" s="20" t="s">
        <v>205</v>
      </c>
      <c r="K191" s="10"/>
    </row>
    <row r="192" ht="15.75" customHeight="1">
      <c r="A192" s="10" t="s">
        <v>2521</v>
      </c>
      <c r="B192" s="10" t="s">
        <v>1359</v>
      </c>
      <c r="C192" s="13" t="str">
        <f t="array" ref="C192">IFERROR(INDEX('간병신청대장'!$B:$B,MATCH($B192,'간병신청대장'!$A:$A,0)),"")</f>
        <v>구성란</v>
      </c>
      <c r="D192" s="10" t="s">
        <v>1363</v>
      </c>
      <c r="E192" s="10" t="s">
        <v>261</v>
      </c>
      <c r="F192" s="10" t="s">
        <v>1302</v>
      </c>
      <c r="G192" s="29">
        <v>11.0</v>
      </c>
      <c r="H192" s="18">
        <v>135000.0</v>
      </c>
      <c r="I192" s="18">
        <v>1485000.0</v>
      </c>
      <c r="J192" s="20" t="s">
        <v>205</v>
      </c>
      <c r="K192" s="10"/>
    </row>
    <row r="193" ht="15.75" customHeight="1">
      <c r="A193" s="10" t="s">
        <v>2534</v>
      </c>
      <c r="B193" s="10" t="s">
        <v>1359</v>
      </c>
      <c r="C193" s="13" t="str">
        <f t="array" ref="C193">IFERROR(INDEX('간병신청대장'!$B:$B,MATCH($B193,'간병신청대장'!$A:$A,0)),"")</f>
        <v>구성란</v>
      </c>
      <c r="D193" s="10" t="s">
        <v>1363</v>
      </c>
      <c r="E193" s="10" t="s">
        <v>266</v>
      </c>
      <c r="F193" s="10" t="s">
        <v>2535</v>
      </c>
      <c r="G193" s="29">
        <v>10.0</v>
      </c>
      <c r="H193" s="18">
        <v>135000.0</v>
      </c>
      <c r="I193" s="18">
        <v>1350000.0</v>
      </c>
      <c r="J193" s="20" t="s">
        <v>205</v>
      </c>
      <c r="K193" s="10"/>
    </row>
    <row r="194" ht="15.75" customHeight="1">
      <c r="A194" s="10" t="s">
        <v>2541</v>
      </c>
      <c r="B194" s="10" t="s">
        <v>1359</v>
      </c>
      <c r="C194" s="13" t="str">
        <f t="array" ref="C194">IFERROR(INDEX('간병신청대장'!$B:$B,MATCH($B194,'간병신청대장'!$A:$A,0)),"")</f>
        <v>구성란</v>
      </c>
      <c r="D194" s="10" t="s">
        <v>1363</v>
      </c>
      <c r="E194" s="10" t="s">
        <v>281</v>
      </c>
      <c r="F194" s="10" t="s">
        <v>475</v>
      </c>
      <c r="G194" s="29">
        <v>10.0</v>
      </c>
      <c r="H194" s="18">
        <v>135000.0</v>
      </c>
      <c r="I194" s="18">
        <v>1350000.0</v>
      </c>
      <c r="J194" s="20" t="s">
        <v>205</v>
      </c>
      <c r="K194" s="10"/>
    </row>
    <row r="195" ht="15.75" customHeight="1">
      <c r="A195" s="10" t="s">
        <v>2553</v>
      </c>
      <c r="B195" s="10" t="s">
        <v>1359</v>
      </c>
      <c r="C195" s="13" t="str">
        <f t="array" ref="C195">IFERROR(INDEX('간병신청대장'!$B:$B,MATCH($B195,'간병신청대장'!$A:$A,0)),"")</f>
        <v>구성란</v>
      </c>
      <c r="D195" s="10" t="s">
        <v>1363</v>
      </c>
      <c r="E195" s="10" t="s">
        <v>567</v>
      </c>
      <c r="F195" s="10" t="s">
        <v>804</v>
      </c>
      <c r="G195" s="29">
        <v>10.0</v>
      </c>
      <c r="H195" s="18">
        <v>135000.0</v>
      </c>
      <c r="I195" s="18">
        <v>1350000.0</v>
      </c>
      <c r="J195" s="20" t="s">
        <v>205</v>
      </c>
      <c r="K195" s="10"/>
    </row>
    <row r="196" ht="15.75" customHeight="1">
      <c r="A196" s="10" t="s">
        <v>2563</v>
      </c>
      <c r="B196" s="10" t="s">
        <v>1359</v>
      </c>
      <c r="C196" s="13" t="str">
        <f t="array" ref="C196">IFERROR(INDEX('간병신청대장'!$B:$B,MATCH($B196,'간병신청대장'!$A:$A,0)),"")</f>
        <v>구성란</v>
      </c>
      <c r="D196" s="10" t="s">
        <v>1363</v>
      </c>
      <c r="E196" s="10" t="s">
        <v>592</v>
      </c>
      <c r="F196" s="10" t="s">
        <v>1367</v>
      </c>
      <c r="G196" s="29">
        <v>7.0</v>
      </c>
      <c r="H196" s="18">
        <v>135000.0</v>
      </c>
      <c r="I196" s="18">
        <v>945000.0</v>
      </c>
      <c r="J196" s="20" t="s">
        <v>205</v>
      </c>
      <c r="K196" s="10"/>
    </row>
    <row r="197" ht="15.75" customHeight="1">
      <c r="A197" s="10" t="s">
        <v>2581</v>
      </c>
      <c r="B197" s="10" t="s">
        <v>1370</v>
      </c>
      <c r="C197" s="13" t="str">
        <f t="array" ref="C197">IFERROR(INDEX('간병신청대장'!$B:$B,MATCH($B197,'간병신청대장'!$A:$A,0)),"")</f>
        <v>구성란</v>
      </c>
      <c r="D197" s="10" t="s">
        <v>1375</v>
      </c>
      <c r="E197" s="10" t="s">
        <v>592</v>
      </c>
      <c r="F197" s="10" t="s">
        <v>816</v>
      </c>
      <c r="G197" s="29">
        <v>3.0</v>
      </c>
      <c r="H197" s="18">
        <v>135000.0</v>
      </c>
      <c r="I197" s="18">
        <v>405000.0</v>
      </c>
      <c r="J197" s="20" t="s">
        <v>205</v>
      </c>
      <c r="K197" s="10"/>
    </row>
    <row r="198" ht="15.75" customHeight="1">
      <c r="A198" s="10" t="s">
        <v>2591</v>
      </c>
      <c r="B198" s="10" t="s">
        <v>1370</v>
      </c>
      <c r="C198" s="13" t="str">
        <f t="array" ref="C198">IFERROR(INDEX('간병신청대장'!$B:$B,MATCH($B198,'간병신청대장'!$A:$A,0)),"")</f>
        <v>구성란</v>
      </c>
      <c r="D198" s="10" t="s">
        <v>1375</v>
      </c>
      <c r="E198" s="10" t="s">
        <v>112</v>
      </c>
      <c r="F198" s="10" t="s">
        <v>836</v>
      </c>
      <c r="G198" s="29">
        <v>10.0</v>
      </c>
      <c r="H198" s="18">
        <v>135000.0</v>
      </c>
      <c r="I198" s="18">
        <v>1350000.0</v>
      </c>
      <c r="J198" s="20" t="s">
        <v>205</v>
      </c>
      <c r="K198" s="10"/>
    </row>
    <row r="199" ht="15.75" customHeight="1">
      <c r="A199" s="10" t="s">
        <v>2599</v>
      </c>
      <c r="B199" s="10" t="s">
        <v>1370</v>
      </c>
      <c r="C199" s="13" t="str">
        <f t="array" ref="C199">IFERROR(INDEX('간병신청대장'!$B:$B,MATCH($B199,'간병신청대장'!$A:$A,0)),"")</f>
        <v>구성란</v>
      </c>
      <c r="D199" s="10" t="s">
        <v>1375</v>
      </c>
      <c r="E199" s="10" t="s">
        <v>194</v>
      </c>
      <c r="F199" s="10" t="s">
        <v>849</v>
      </c>
      <c r="G199" s="29">
        <v>11.0</v>
      </c>
      <c r="H199" s="18">
        <v>135000.0</v>
      </c>
      <c r="I199" s="18">
        <v>1485000.0</v>
      </c>
      <c r="J199" s="20" t="s">
        <v>205</v>
      </c>
      <c r="K199" s="10"/>
    </row>
    <row r="200" ht="15.75" customHeight="1">
      <c r="A200" s="10" t="s">
        <v>2610</v>
      </c>
      <c r="B200" s="10" t="s">
        <v>1370</v>
      </c>
      <c r="C200" s="13" t="str">
        <f t="array" ref="C200">IFERROR(INDEX('간병신청대장'!$B:$B,MATCH($B200,'간병신청대장'!$A:$A,0)),"")</f>
        <v>구성란</v>
      </c>
      <c r="D200" s="10" t="s">
        <v>1375</v>
      </c>
      <c r="E200" s="10" t="s">
        <v>622</v>
      </c>
      <c r="F200" s="10" t="s">
        <v>1052</v>
      </c>
      <c r="G200" s="29">
        <v>10.0</v>
      </c>
      <c r="H200" s="18">
        <v>135000.0</v>
      </c>
      <c r="I200" s="18">
        <v>1350000.0</v>
      </c>
      <c r="J200" s="20" t="s">
        <v>205</v>
      </c>
      <c r="K200" s="10"/>
    </row>
    <row r="201" ht="15.75" customHeight="1">
      <c r="A201" s="10" t="s">
        <v>2619</v>
      </c>
      <c r="B201" s="10" t="s">
        <v>1380</v>
      </c>
      <c r="C201" s="13" t="str">
        <f t="array" ref="C201">IFERROR(INDEX('간병신청대장'!$B:$B,MATCH($B201,'간병신청대장'!$A:$A,0)),"")</f>
        <v>문완모</v>
      </c>
      <c r="D201" s="10" t="s">
        <v>1383</v>
      </c>
      <c r="E201" s="10" t="s">
        <v>238</v>
      </c>
      <c r="F201" s="10" t="s">
        <v>1389</v>
      </c>
      <c r="G201" s="29">
        <v>2.0</v>
      </c>
      <c r="H201" s="18">
        <v>145000.0</v>
      </c>
      <c r="I201" s="18">
        <v>290000.0</v>
      </c>
      <c r="J201" s="20" t="s">
        <v>205</v>
      </c>
      <c r="K201" s="10"/>
    </row>
    <row r="202" ht="15.75" customHeight="1">
      <c r="A202" s="10" t="s">
        <v>2622</v>
      </c>
      <c r="B202" s="10" t="s">
        <v>1392</v>
      </c>
      <c r="C202" s="13" t="str">
        <f t="array" ref="C202">IFERROR(INDEX('간병신청대장'!$B:$B,MATCH($B202,'간병신청대장'!$A:$A,0)),"")</f>
        <v>서인화</v>
      </c>
      <c r="D202" s="10" t="s">
        <v>1396</v>
      </c>
      <c r="E202" s="10" t="s">
        <v>149</v>
      </c>
      <c r="F202" s="10" t="s">
        <v>1399</v>
      </c>
      <c r="G202" s="29">
        <v>8.0</v>
      </c>
      <c r="H202" s="18">
        <v>130000.0</v>
      </c>
      <c r="I202" s="18">
        <v>1040000.0</v>
      </c>
      <c r="J202" s="20" t="s">
        <v>205</v>
      </c>
      <c r="K202" s="10"/>
    </row>
    <row r="203" ht="15.75" customHeight="1">
      <c r="A203" s="10" t="s">
        <v>2633</v>
      </c>
      <c r="B203" s="10" t="s">
        <v>1403</v>
      </c>
      <c r="C203" s="13" t="str">
        <f t="array" ref="C203">IFERROR(INDEX('간병신청대장'!$B:$B,MATCH($B203,'간병신청대장'!$A:$A,0)),"")</f>
        <v>김국선</v>
      </c>
      <c r="D203" s="10" t="s">
        <v>1407</v>
      </c>
      <c r="E203" s="10" t="s">
        <v>149</v>
      </c>
      <c r="F203" s="10" t="s">
        <v>2215</v>
      </c>
      <c r="G203" s="29">
        <v>11.0</v>
      </c>
      <c r="H203" s="18">
        <v>140000.0</v>
      </c>
      <c r="I203" s="18">
        <v>1540000.0</v>
      </c>
      <c r="J203" s="20" t="s">
        <v>205</v>
      </c>
      <c r="K203" s="10"/>
    </row>
    <row r="204" ht="15.75" customHeight="1">
      <c r="A204" s="10" t="s">
        <v>2650</v>
      </c>
      <c r="B204" s="10" t="s">
        <v>1403</v>
      </c>
      <c r="C204" s="13" t="str">
        <f t="array" ref="C204">IFERROR(INDEX('간병신청대장'!$B:$B,MATCH($B204,'간병신청대장'!$A:$A,0)),"")</f>
        <v>김국선</v>
      </c>
      <c r="D204" s="10" t="s">
        <v>1407</v>
      </c>
      <c r="E204" s="10" t="s">
        <v>238</v>
      </c>
      <c r="F204" s="10" t="s">
        <v>2224</v>
      </c>
      <c r="G204" s="29">
        <v>10.0</v>
      </c>
      <c r="H204" s="18">
        <v>140000.0</v>
      </c>
      <c r="I204" s="18">
        <v>1400000.0</v>
      </c>
      <c r="J204" s="20" t="s">
        <v>205</v>
      </c>
      <c r="K204" s="10"/>
    </row>
    <row r="205" ht="15.75" customHeight="1">
      <c r="A205" s="10" t="s">
        <v>2656</v>
      </c>
      <c r="B205" s="10" t="s">
        <v>1403</v>
      </c>
      <c r="C205" s="13" t="str">
        <f t="array" ref="C205">IFERROR(INDEX('간병신청대장'!$B:$B,MATCH($B205,'간병신청대장'!$A:$A,0)),"")</f>
        <v>김국선</v>
      </c>
      <c r="D205" s="10" t="s">
        <v>1407</v>
      </c>
      <c r="E205" s="10" t="s">
        <v>261</v>
      </c>
      <c r="F205" s="10" t="s">
        <v>1412</v>
      </c>
      <c r="G205" s="29">
        <v>2.0</v>
      </c>
      <c r="H205" s="18">
        <v>140000.0</v>
      </c>
      <c r="I205" s="18">
        <v>280000.0</v>
      </c>
      <c r="J205" s="20" t="s">
        <v>205</v>
      </c>
      <c r="K205" s="10"/>
    </row>
    <row r="206" ht="15.75" customHeight="1">
      <c r="A206" s="10" t="s">
        <v>2662</v>
      </c>
      <c r="B206" s="10" t="s">
        <v>1415</v>
      </c>
      <c r="C206" s="13" t="str">
        <f t="array" ref="C206">IFERROR(INDEX('간병신청대장'!$B:$B,MATCH($B206,'간병신청대장'!$A:$A,0)),"")</f>
        <v>김국선</v>
      </c>
      <c r="D206" s="10" t="s">
        <v>1419</v>
      </c>
      <c r="E206" s="10" t="s">
        <v>261</v>
      </c>
      <c r="F206" s="10" t="s">
        <v>185</v>
      </c>
      <c r="G206" s="29">
        <v>9.0</v>
      </c>
      <c r="H206" s="18">
        <v>140000.0</v>
      </c>
      <c r="I206" s="18">
        <v>1260000.0</v>
      </c>
      <c r="J206" s="20" t="s">
        <v>205</v>
      </c>
      <c r="K206" s="10"/>
    </row>
    <row r="207" ht="15.75" customHeight="1">
      <c r="A207" s="10" t="s">
        <v>2674</v>
      </c>
      <c r="B207" s="10" t="s">
        <v>1415</v>
      </c>
      <c r="C207" s="13" t="str">
        <f t="array" ref="C207">IFERROR(INDEX('간병신청대장'!$B:$B,MATCH($B207,'간병신청대장'!$A:$A,0)),"")</f>
        <v>김국선</v>
      </c>
      <c r="D207" s="10" t="s">
        <v>1419</v>
      </c>
      <c r="E207" s="10" t="s">
        <v>266</v>
      </c>
      <c r="F207" s="10" t="s">
        <v>2535</v>
      </c>
      <c r="G207" s="29">
        <v>10.0</v>
      </c>
      <c r="H207" s="18">
        <v>140000.0</v>
      </c>
      <c r="I207" s="18">
        <v>1400000.0</v>
      </c>
      <c r="J207" s="20" t="s">
        <v>205</v>
      </c>
      <c r="K207" s="10"/>
    </row>
    <row r="208" ht="15.75" customHeight="1">
      <c r="A208" s="10" t="s">
        <v>2694</v>
      </c>
      <c r="B208" s="10" t="s">
        <v>1415</v>
      </c>
      <c r="C208" s="13" t="str">
        <f t="array" ref="C208">IFERROR(INDEX('간병신청대장'!$B:$B,MATCH($B208,'간병신청대장'!$A:$A,0)),"")</f>
        <v>김국선</v>
      </c>
      <c r="D208" s="10" t="s">
        <v>1419</v>
      </c>
      <c r="E208" s="10" t="s">
        <v>281</v>
      </c>
      <c r="F208" s="10" t="s">
        <v>2711</v>
      </c>
      <c r="G208" s="29">
        <v>10.0</v>
      </c>
      <c r="H208" s="18">
        <v>140000.0</v>
      </c>
      <c r="I208" s="18">
        <v>1400000.0</v>
      </c>
      <c r="J208" s="20" t="s">
        <v>205</v>
      </c>
      <c r="K208" s="10"/>
    </row>
    <row r="209" ht="15.75" customHeight="1">
      <c r="A209" s="10" t="s">
        <v>2715</v>
      </c>
      <c r="B209" s="10" t="s">
        <v>1415</v>
      </c>
      <c r="C209" s="13" t="str">
        <f t="array" ref="C209">IFERROR(INDEX('간병신청대장'!$B:$B,MATCH($B209,'간병신청대장'!$A:$A,0)),"")</f>
        <v>김국선</v>
      </c>
      <c r="D209" s="10" t="s">
        <v>1419</v>
      </c>
      <c r="E209" s="10" t="s">
        <v>567</v>
      </c>
      <c r="F209" s="10" t="s">
        <v>2732</v>
      </c>
      <c r="G209" s="29">
        <v>10.0</v>
      </c>
      <c r="H209" s="18">
        <v>140000.0</v>
      </c>
      <c r="I209" s="18">
        <v>1400000.0</v>
      </c>
      <c r="J209" s="20" t="s">
        <v>205</v>
      </c>
      <c r="K209" s="10"/>
    </row>
    <row r="210" ht="15.75" customHeight="1">
      <c r="A210" s="10" t="s">
        <v>2734</v>
      </c>
      <c r="B210" s="10" t="s">
        <v>1415</v>
      </c>
      <c r="C210" s="13" t="str">
        <f t="array" ref="C210">IFERROR(INDEX('간병신청대장'!$B:$B,MATCH($B210,'간병신청대장'!$A:$A,0)),"")</f>
        <v>김국선</v>
      </c>
      <c r="D210" s="10" t="s">
        <v>1419</v>
      </c>
      <c r="E210" s="10" t="s">
        <v>592</v>
      </c>
      <c r="F210" s="10" t="s">
        <v>2750</v>
      </c>
      <c r="G210" s="29">
        <v>10.0</v>
      </c>
      <c r="H210" s="18">
        <v>140000.0</v>
      </c>
      <c r="I210" s="18">
        <v>1400000.0</v>
      </c>
      <c r="J210" s="20" t="s">
        <v>205</v>
      </c>
      <c r="K210" s="10"/>
    </row>
    <row r="211" ht="15.75" customHeight="1">
      <c r="A211" s="10" t="s">
        <v>2751</v>
      </c>
      <c r="B211" s="10" t="s">
        <v>1415</v>
      </c>
      <c r="C211" s="13" t="str">
        <f t="array" ref="C211">IFERROR(INDEX('간병신청대장'!$B:$B,MATCH($B211,'간병신청대장'!$A:$A,0)),"")</f>
        <v>김국선</v>
      </c>
      <c r="D211" s="10" t="s">
        <v>1419</v>
      </c>
      <c r="E211" s="10" t="s">
        <v>112</v>
      </c>
      <c r="F211" s="10" t="s">
        <v>2763</v>
      </c>
      <c r="G211" s="29">
        <v>10.0</v>
      </c>
      <c r="H211" s="18">
        <v>140000.0</v>
      </c>
      <c r="I211" s="18">
        <v>1400000.0</v>
      </c>
      <c r="J211" s="20" t="s">
        <v>205</v>
      </c>
      <c r="K211" s="10"/>
    </row>
    <row r="212" ht="15.75" customHeight="1">
      <c r="A212" s="10" t="s">
        <v>2770</v>
      </c>
      <c r="B212" s="10" t="s">
        <v>1415</v>
      </c>
      <c r="C212" s="13" t="str">
        <f t="array" ref="C212">IFERROR(INDEX('간병신청대장'!$B:$B,MATCH($B212,'간병신청대장'!$A:$A,0)),"")</f>
        <v>김국선</v>
      </c>
      <c r="D212" s="10" t="s">
        <v>1419</v>
      </c>
      <c r="E212" s="10" t="s">
        <v>194</v>
      </c>
      <c r="F212" s="10" t="s">
        <v>1422</v>
      </c>
      <c r="G212" s="29">
        <v>9.0</v>
      </c>
      <c r="H212" s="18">
        <v>140000.0</v>
      </c>
      <c r="I212" s="18">
        <v>1260000.0</v>
      </c>
      <c r="J212" s="20" t="s">
        <v>205</v>
      </c>
      <c r="K212" s="10"/>
    </row>
    <row r="213" ht="15.75" customHeight="1">
      <c r="A213" s="10" t="s">
        <v>2780</v>
      </c>
      <c r="B213" s="10" t="s">
        <v>1425</v>
      </c>
      <c r="C213" s="13" t="str">
        <f t="array" ref="C213">IFERROR(INDEX('간병신청대장'!$B:$B,MATCH($B213,'간병신청대장'!$A:$A,0)),"")</f>
        <v>김국선</v>
      </c>
      <c r="D213" s="10" t="s">
        <v>1429</v>
      </c>
      <c r="E213" s="10" t="s">
        <v>194</v>
      </c>
      <c r="F213" s="10" t="s">
        <v>1431</v>
      </c>
      <c r="G213" s="29">
        <v>3.0</v>
      </c>
      <c r="H213" s="18">
        <v>140000.0</v>
      </c>
      <c r="I213" s="18">
        <v>420000.0</v>
      </c>
      <c r="J213" s="20" t="s">
        <v>205</v>
      </c>
      <c r="K213" s="10"/>
    </row>
    <row r="214" ht="15.75" customHeight="1">
      <c r="A214" s="10" t="s">
        <v>2796</v>
      </c>
      <c r="B214" s="10" t="s">
        <v>1434</v>
      </c>
      <c r="C214" s="13" t="str">
        <f t="array" ref="C214">IFERROR(INDEX('간병신청대장'!$B:$B,MATCH($B214,'간병신청대장'!$A:$A,0)),"")</f>
        <v>김국선</v>
      </c>
      <c r="D214" s="10" t="s">
        <v>1439</v>
      </c>
      <c r="E214" s="10" t="s">
        <v>622</v>
      </c>
      <c r="F214" s="10" t="s">
        <v>2594</v>
      </c>
      <c r="G214" s="29">
        <v>9.0</v>
      </c>
      <c r="H214" s="18">
        <v>140000.0</v>
      </c>
      <c r="I214" s="18">
        <v>1260000.0</v>
      </c>
      <c r="J214" s="20" t="s">
        <v>205</v>
      </c>
      <c r="K214" s="10"/>
    </row>
    <row r="215" ht="15.75" customHeight="1">
      <c r="A215" s="10" t="s">
        <v>2815</v>
      </c>
      <c r="B215" s="10" t="s">
        <v>1445</v>
      </c>
      <c r="C215" s="13" t="str">
        <f t="array" ref="C215">IFERROR(INDEX('간병신청대장'!$B:$B,MATCH($B215,'간병신청대장'!$A:$A,0)),"")</f>
        <v>임범수</v>
      </c>
      <c r="D215" s="10" t="s">
        <v>1446</v>
      </c>
      <c r="E215" s="10" t="s">
        <v>149</v>
      </c>
      <c r="F215" s="10" t="s">
        <v>1247</v>
      </c>
      <c r="G215" s="29">
        <v>7.0</v>
      </c>
      <c r="H215" s="18">
        <v>150000.0</v>
      </c>
      <c r="I215" s="18">
        <v>1050000.0</v>
      </c>
      <c r="J215" s="20" t="s">
        <v>205</v>
      </c>
      <c r="K215" s="10"/>
    </row>
    <row r="216" ht="15.75" customHeight="1">
      <c r="A216" s="10" t="s">
        <v>2833</v>
      </c>
      <c r="B216" s="10" t="s">
        <v>1445</v>
      </c>
      <c r="C216" s="13" t="str">
        <f t="array" ref="C216">IFERROR(INDEX('간병신청대장'!$B:$B,MATCH($B216,'간병신청대장'!$A:$A,0)),"")</f>
        <v>임범수</v>
      </c>
      <c r="D216" s="10" t="s">
        <v>1446</v>
      </c>
      <c r="E216" s="10" t="s">
        <v>238</v>
      </c>
      <c r="F216" s="10" t="s">
        <v>2874</v>
      </c>
      <c r="G216" s="29">
        <v>5.0</v>
      </c>
      <c r="H216" s="18">
        <v>150000.0</v>
      </c>
      <c r="I216" s="18">
        <v>750000.0</v>
      </c>
      <c r="J216" s="20" t="s">
        <v>205</v>
      </c>
      <c r="K216" s="10"/>
    </row>
    <row r="217" ht="15.75" customHeight="1">
      <c r="A217" s="10" t="s">
        <v>2881</v>
      </c>
      <c r="B217" s="10" t="s">
        <v>1455</v>
      </c>
      <c r="C217" s="13" t="str">
        <f t="array" ref="C217">IFERROR(INDEX('간병신청대장'!$B:$B,MATCH($B217,'간병신청대장'!$A:$A,0)),"")</f>
        <v>최경자</v>
      </c>
      <c r="D217" s="10" t="s">
        <v>1462</v>
      </c>
      <c r="E217" s="10" t="s">
        <v>238</v>
      </c>
      <c r="F217" s="10" t="s">
        <v>1785</v>
      </c>
      <c r="G217" s="29">
        <v>9.0</v>
      </c>
      <c r="H217" s="18">
        <v>135000.0</v>
      </c>
      <c r="I217" s="18">
        <v>1400000.0</v>
      </c>
      <c r="J217" s="20" t="s">
        <v>205</v>
      </c>
      <c r="K217" s="10"/>
    </row>
    <row r="218" ht="15.75" customHeight="1">
      <c r="A218" s="10" t="s">
        <v>2912</v>
      </c>
      <c r="B218" s="10" t="s">
        <v>1455</v>
      </c>
      <c r="C218" s="13" t="str">
        <f t="array" ref="C218">IFERROR(INDEX('간병신청대장'!$B:$B,MATCH($B218,'간병신청대장'!$A:$A,0)),"")</f>
        <v>최경자</v>
      </c>
      <c r="D218" s="10" t="s">
        <v>1462</v>
      </c>
      <c r="E218" s="10" t="s">
        <v>261</v>
      </c>
      <c r="F218" s="10" t="s">
        <v>2474</v>
      </c>
      <c r="G218" s="29">
        <v>10.0</v>
      </c>
      <c r="H218" s="18">
        <v>135000.0</v>
      </c>
      <c r="I218" s="18">
        <v>1350000.0</v>
      </c>
      <c r="J218" s="20" t="s">
        <v>205</v>
      </c>
      <c r="K218" s="10"/>
    </row>
    <row r="219" ht="15.75" customHeight="1">
      <c r="A219" s="10" t="s">
        <v>2930</v>
      </c>
      <c r="B219" s="10" t="s">
        <v>1455</v>
      </c>
      <c r="C219" s="13" t="str">
        <f t="array" ref="C219">IFERROR(INDEX('간병신청대장'!$B:$B,MATCH($B219,'간병신청대장'!$A:$A,0)),"")</f>
        <v>최경자</v>
      </c>
      <c r="D219" s="10" t="s">
        <v>1462</v>
      </c>
      <c r="E219" s="10" t="s">
        <v>266</v>
      </c>
      <c r="F219" s="10" t="s">
        <v>2491</v>
      </c>
      <c r="G219" s="29">
        <v>10.0</v>
      </c>
      <c r="H219" s="18">
        <v>135000.0</v>
      </c>
      <c r="I219" s="18">
        <v>1350000.0</v>
      </c>
      <c r="J219" s="20" t="s">
        <v>205</v>
      </c>
      <c r="K219" s="10"/>
    </row>
    <row r="220" ht="15.75" customHeight="1">
      <c r="A220" s="10" t="s">
        <v>2971</v>
      </c>
      <c r="B220" s="10" t="s">
        <v>1455</v>
      </c>
      <c r="C220" s="13" t="str">
        <f t="array" ref="C220">IFERROR(INDEX('간병신청대장'!$B:$B,MATCH($B220,'간병신청대장'!$A:$A,0)),"")</f>
        <v>최경자</v>
      </c>
      <c r="D220" s="10" t="s">
        <v>1462</v>
      </c>
      <c r="E220" s="10" t="s">
        <v>281</v>
      </c>
      <c r="F220" s="10" t="s">
        <v>2509</v>
      </c>
      <c r="G220" s="29">
        <v>10.0</v>
      </c>
      <c r="H220" s="18">
        <v>135000.0</v>
      </c>
      <c r="I220" s="18">
        <v>1350000.0</v>
      </c>
      <c r="J220" s="20" t="s">
        <v>205</v>
      </c>
      <c r="K220" s="10"/>
    </row>
    <row r="221" ht="15.75" customHeight="1">
      <c r="A221" s="10" t="s">
        <v>3040</v>
      </c>
      <c r="B221" s="10" t="s">
        <v>1455</v>
      </c>
      <c r="C221" s="13" t="str">
        <f t="array" ref="C221">IFERROR(INDEX('간병신청대장'!$B:$B,MATCH($B221,'간병신청대장'!$A:$A,0)),"")</f>
        <v>최경자</v>
      </c>
      <c r="D221" s="10" t="s">
        <v>1462</v>
      </c>
      <c r="E221" s="10" t="s">
        <v>567</v>
      </c>
      <c r="F221" s="10" t="s">
        <v>1856</v>
      </c>
      <c r="G221" s="29">
        <v>10.0</v>
      </c>
      <c r="H221" s="18">
        <v>135000.0</v>
      </c>
      <c r="I221" s="18">
        <v>1350000.0</v>
      </c>
      <c r="J221" s="20" t="s">
        <v>205</v>
      </c>
      <c r="K221" s="10"/>
    </row>
    <row r="222" ht="15.75" customHeight="1">
      <c r="A222" s="10" t="s">
        <v>3088</v>
      </c>
      <c r="B222" s="10" t="s">
        <v>1455</v>
      </c>
      <c r="C222" s="13" t="str">
        <f t="array" ref="C222">IFERROR(INDEX('간병신청대장'!$B:$B,MATCH($B222,'간병신청대장'!$A:$A,0)),"")</f>
        <v>최경자</v>
      </c>
      <c r="D222" s="10" t="s">
        <v>1462</v>
      </c>
      <c r="E222" s="10" t="s">
        <v>592</v>
      </c>
      <c r="F222" s="10" t="s">
        <v>2528</v>
      </c>
      <c r="G222" s="29">
        <v>10.0</v>
      </c>
      <c r="H222" s="18">
        <v>135000.0</v>
      </c>
      <c r="I222" s="18">
        <v>1350000.0</v>
      </c>
      <c r="J222" s="20" t="s">
        <v>205</v>
      </c>
      <c r="K222" s="10"/>
    </row>
    <row r="223" ht="15.75" customHeight="1">
      <c r="A223" s="10" t="s">
        <v>3124</v>
      </c>
      <c r="B223" s="10" t="s">
        <v>1455</v>
      </c>
      <c r="C223" s="13" t="str">
        <f t="array" ref="C223">IFERROR(INDEX('간병신청대장'!$B:$B,MATCH($B223,'간병신청대장'!$A:$A,0)),"")</f>
        <v>최경자</v>
      </c>
      <c r="D223" s="10" t="s">
        <v>1462</v>
      </c>
      <c r="E223" s="10" t="s">
        <v>112</v>
      </c>
      <c r="F223" s="10" t="s">
        <v>2284</v>
      </c>
      <c r="G223" s="29">
        <v>10.0</v>
      </c>
      <c r="H223" s="18">
        <v>135000.0</v>
      </c>
      <c r="I223" s="18">
        <v>1350000.0</v>
      </c>
      <c r="J223" s="20" t="s">
        <v>205</v>
      </c>
      <c r="K223" s="10"/>
    </row>
    <row r="224" ht="15.75" customHeight="1">
      <c r="A224" s="10" t="s">
        <v>3170</v>
      </c>
      <c r="B224" s="10" t="s">
        <v>1455</v>
      </c>
      <c r="C224" s="13" t="str">
        <f t="array" ref="C224">IFERROR(INDEX('간병신청대장'!$B:$B,MATCH($B224,'간병신청대장'!$A:$A,0)),"")</f>
        <v>최경자</v>
      </c>
      <c r="D224" s="10" t="s">
        <v>1462</v>
      </c>
      <c r="E224" s="10" t="s">
        <v>194</v>
      </c>
      <c r="F224" s="10" t="s">
        <v>1466</v>
      </c>
      <c r="G224" s="29">
        <v>4.0</v>
      </c>
      <c r="H224" s="18">
        <v>135000.0</v>
      </c>
      <c r="I224" s="18">
        <v>540000.0</v>
      </c>
      <c r="J224" s="20" t="s">
        <v>205</v>
      </c>
      <c r="K224" s="10"/>
    </row>
    <row r="225" ht="15.75" customHeight="1">
      <c r="A225" s="10" t="s">
        <v>3226</v>
      </c>
      <c r="B225" s="10" t="s">
        <v>1469</v>
      </c>
      <c r="C225" s="13" t="str">
        <f t="array" ref="C225">IFERROR(INDEX('간병신청대장'!$B:$B,MATCH($B225,'간병신청대장'!$A:$A,0)),"")</f>
        <v>차상옥</v>
      </c>
      <c r="D225" s="10" t="s">
        <v>1263</v>
      </c>
      <c r="E225" s="10" t="s">
        <v>149</v>
      </c>
      <c r="F225" s="10" t="s">
        <v>3228</v>
      </c>
      <c r="G225" s="29">
        <v>4.0</v>
      </c>
      <c r="H225" s="18">
        <v>140000.0</v>
      </c>
      <c r="I225" s="18">
        <v>560000.0</v>
      </c>
      <c r="J225" s="20" t="s">
        <v>205</v>
      </c>
      <c r="K225" s="10"/>
    </row>
    <row r="226" ht="15.75" customHeight="1">
      <c r="A226" s="10" t="s">
        <v>3229</v>
      </c>
      <c r="B226" s="10" t="s">
        <v>1469</v>
      </c>
      <c r="C226" s="13" t="str">
        <f t="array" ref="C226">IFERROR(INDEX('간병신청대장'!$B:$B,MATCH($B226,'간병신청대장'!$A:$A,0)),"")</f>
        <v>차상옥</v>
      </c>
      <c r="D226" s="10" t="s">
        <v>1263</v>
      </c>
      <c r="E226" s="10" t="s">
        <v>238</v>
      </c>
      <c r="F226" s="10" t="s">
        <v>2589</v>
      </c>
      <c r="G226" s="29">
        <v>10.0</v>
      </c>
      <c r="H226" s="18">
        <v>140000.0</v>
      </c>
      <c r="I226" s="18">
        <v>1400000.0</v>
      </c>
      <c r="J226" s="20" t="s">
        <v>205</v>
      </c>
      <c r="K226" s="10"/>
    </row>
    <row r="227" ht="15.75" customHeight="1">
      <c r="A227" s="10" t="s">
        <v>3231</v>
      </c>
      <c r="B227" s="10" t="s">
        <v>1469</v>
      </c>
      <c r="C227" s="13" t="str">
        <f t="array" ref="C227">IFERROR(INDEX('간병신청대장'!$B:$B,MATCH($B227,'간병신청대장'!$A:$A,0)),"")</f>
        <v>차상옥</v>
      </c>
      <c r="D227" s="10" t="s">
        <v>1263</v>
      </c>
      <c r="E227" s="10" t="s">
        <v>261</v>
      </c>
      <c r="F227" s="10" t="s">
        <v>1473</v>
      </c>
      <c r="G227" s="29">
        <v>7.0</v>
      </c>
      <c r="H227" s="18">
        <v>140000.0</v>
      </c>
      <c r="I227" s="18">
        <v>980000.0</v>
      </c>
      <c r="J227" s="20" t="s">
        <v>205</v>
      </c>
      <c r="K227" s="10"/>
    </row>
    <row r="228" ht="15.75" customHeight="1">
      <c r="A228" s="10" t="s">
        <v>3236</v>
      </c>
      <c r="B228" s="10" t="s">
        <v>1476</v>
      </c>
      <c r="C228" s="13" t="str">
        <f t="array" ref="C228">IFERROR(INDEX('간병신청대장'!$B:$B,MATCH($B228,'간병신청대장'!$A:$A,0)),"")</f>
        <v>차상옥</v>
      </c>
      <c r="D228" s="10" t="s">
        <v>1488</v>
      </c>
      <c r="E228" s="10" t="s">
        <v>281</v>
      </c>
      <c r="F228" s="10" t="s">
        <v>1492</v>
      </c>
      <c r="G228" s="29">
        <v>12.2</v>
      </c>
      <c r="H228" s="18">
        <v>140000.0</v>
      </c>
      <c r="I228" s="18">
        <v>1700000.0</v>
      </c>
      <c r="J228" s="20" t="s">
        <v>205</v>
      </c>
      <c r="K228" s="10"/>
    </row>
    <row r="229" ht="15.75" customHeight="1">
      <c r="A229" s="10" t="s">
        <v>3246</v>
      </c>
      <c r="B229" s="10" t="s">
        <v>1494</v>
      </c>
      <c r="C229" s="13" t="str">
        <f t="array" ref="C229">IFERROR(INDEX('간병신청대장'!$B:$B,MATCH($B229,'간병신청대장'!$A:$A,0)),"")</f>
        <v>차상옥</v>
      </c>
      <c r="D229" s="10" t="s">
        <v>1180</v>
      </c>
      <c r="E229" s="10" t="s">
        <v>592</v>
      </c>
      <c r="F229" s="10" t="s">
        <v>1500</v>
      </c>
      <c r="G229" s="29">
        <v>14.0</v>
      </c>
      <c r="H229" s="18">
        <v>140000.0</v>
      </c>
      <c r="I229" s="18">
        <v>1960000.0</v>
      </c>
      <c r="J229" s="20" t="s">
        <v>205</v>
      </c>
      <c r="K229" s="10"/>
    </row>
    <row r="230" ht="15.75" customHeight="1">
      <c r="A230" s="10" t="s">
        <v>3254</v>
      </c>
      <c r="B230" s="10" t="s">
        <v>1517</v>
      </c>
      <c r="C230" s="13" t="str">
        <f t="array" ref="C230">IFERROR(INDEX('간병신청대장'!$B:$B,MATCH($B230,'간병신청대장'!$A:$A,0)),"")</f>
        <v>김막례</v>
      </c>
      <c r="D230" s="10" t="s">
        <v>1521</v>
      </c>
      <c r="E230" s="10" t="s">
        <v>238</v>
      </c>
      <c r="F230" s="10" t="s">
        <v>239</v>
      </c>
      <c r="G230" s="29">
        <v>12.0</v>
      </c>
      <c r="H230" s="18">
        <v>130000.0</v>
      </c>
      <c r="I230" s="18">
        <v>1560000.0</v>
      </c>
      <c r="J230" s="20" t="s">
        <v>205</v>
      </c>
      <c r="K230" s="10"/>
    </row>
    <row r="231" ht="15.75" customHeight="1">
      <c r="A231" s="10" t="s">
        <v>3261</v>
      </c>
      <c r="B231" s="10" t="s">
        <v>1517</v>
      </c>
      <c r="C231" s="13" t="str">
        <f t="array" ref="C231">IFERROR(INDEX('간병신청대장'!$B:$B,MATCH($B231,'간병신청대장'!$A:$A,0)),"")</f>
        <v>김막례</v>
      </c>
      <c r="D231" s="10" t="s">
        <v>1521</v>
      </c>
      <c r="E231" s="10" t="s">
        <v>261</v>
      </c>
      <c r="F231" s="10" t="s">
        <v>263</v>
      </c>
      <c r="G231" s="29">
        <v>11.0</v>
      </c>
      <c r="H231" s="18">
        <v>130000.0</v>
      </c>
      <c r="I231" s="18">
        <v>1430000.0</v>
      </c>
      <c r="J231" s="20" t="s">
        <v>205</v>
      </c>
      <c r="K231" s="10"/>
    </row>
    <row r="232" ht="15.75" customHeight="1">
      <c r="A232" s="10" t="s">
        <v>3263</v>
      </c>
      <c r="B232" s="10" t="s">
        <v>1517</v>
      </c>
      <c r="C232" s="13" t="str">
        <f t="array" ref="C232">IFERROR(INDEX('간병신청대장'!$B:$B,MATCH($B232,'간병신청대장'!$A:$A,0)),"")</f>
        <v>김막례</v>
      </c>
      <c r="D232" s="10" t="s">
        <v>1521</v>
      </c>
      <c r="E232" s="10" t="s">
        <v>266</v>
      </c>
      <c r="F232" s="10" t="s">
        <v>1526</v>
      </c>
      <c r="G232" s="29">
        <v>4.0</v>
      </c>
      <c r="H232" s="18">
        <v>130000.0</v>
      </c>
      <c r="I232" s="18">
        <v>520000.0</v>
      </c>
      <c r="J232" s="20" t="s">
        <v>205</v>
      </c>
      <c r="K232" s="10"/>
    </row>
    <row r="233" ht="15.75" customHeight="1">
      <c r="A233" s="10" t="s">
        <v>3273</v>
      </c>
      <c r="B233" s="10" t="s">
        <v>1529</v>
      </c>
      <c r="C233" s="13" t="str">
        <f t="array" ref="C233">IFERROR(INDEX('간병신청대장'!$B:$B,MATCH($B233,'간병신청대장'!$A:$A,0)),"")</f>
        <v>이재철</v>
      </c>
      <c r="D233" s="10" t="s">
        <v>1543</v>
      </c>
      <c r="E233" s="10" t="s">
        <v>238</v>
      </c>
      <c r="F233" s="10" t="s">
        <v>1277</v>
      </c>
      <c r="G233" s="29">
        <v>10.0</v>
      </c>
      <c r="H233" s="18">
        <v>130000.0</v>
      </c>
      <c r="I233" s="18">
        <v>1300000.0</v>
      </c>
      <c r="J233" s="20" t="s">
        <v>205</v>
      </c>
      <c r="K233" s="10"/>
    </row>
    <row r="234" ht="15.75" customHeight="1">
      <c r="A234" s="10" t="s">
        <v>3279</v>
      </c>
      <c r="B234" s="10" t="s">
        <v>1529</v>
      </c>
      <c r="C234" s="13" t="str">
        <f t="array" ref="C234">IFERROR(INDEX('간병신청대장'!$B:$B,MATCH($B234,'간병신청대장'!$A:$A,0)),"")</f>
        <v>이재철</v>
      </c>
      <c r="D234" s="10" t="s">
        <v>1543</v>
      </c>
      <c r="E234" s="10" t="s">
        <v>261</v>
      </c>
      <c r="F234" s="10" t="s">
        <v>1288</v>
      </c>
      <c r="G234" s="29">
        <v>11.0</v>
      </c>
      <c r="H234" s="18">
        <v>130000.0</v>
      </c>
      <c r="I234" s="18">
        <v>1430000.0</v>
      </c>
      <c r="J234" s="20" t="s">
        <v>205</v>
      </c>
      <c r="K234" s="10"/>
    </row>
    <row r="235" ht="15.75" customHeight="1">
      <c r="A235" s="10" t="s">
        <v>3287</v>
      </c>
      <c r="B235" s="10" t="s">
        <v>1529</v>
      </c>
      <c r="C235" s="13" t="str">
        <f t="array" ref="C235">IFERROR(INDEX('간병신청대장'!$B:$B,MATCH($B235,'간병신청대장'!$A:$A,0)),"")</f>
        <v>이재철</v>
      </c>
      <c r="D235" s="10" t="s">
        <v>1543</v>
      </c>
      <c r="E235" s="10" t="s">
        <v>266</v>
      </c>
      <c r="F235" s="10" t="s">
        <v>2676</v>
      </c>
      <c r="G235" s="29">
        <v>10.0</v>
      </c>
      <c r="H235" s="18">
        <v>130000.0</v>
      </c>
      <c r="I235" s="18">
        <v>1300000.0</v>
      </c>
      <c r="J235" s="20" t="s">
        <v>205</v>
      </c>
      <c r="K235" s="10"/>
    </row>
    <row r="236" ht="15.75" customHeight="1">
      <c r="A236" s="10" t="s">
        <v>3298</v>
      </c>
      <c r="B236" s="10" t="s">
        <v>1529</v>
      </c>
      <c r="C236" s="13" t="str">
        <f t="array" ref="C236">IFERROR(INDEX('간병신청대장'!$B:$B,MATCH($B236,'간병신청대장'!$A:$A,0)),"")</f>
        <v>이재철</v>
      </c>
      <c r="D236" s="10" t="s">
        <v>1543</v>
      </c>
      <c r="E236" s="10" t="s">
        <v>281</v>
      </c>
      <c r="F236" s="10" t="s">
        <v>2692</v>
      </c>
      <c r="G236" s="29">
        <v>10.0</v>
      </c>
      <c r="H236" s="18">
        <v>130000.0</v>
      </c>
      <c r="I236" s="18">
        <v>1300000.0</v>
      </c>
      <c r="J236" s="20" t="s">
        <v>205</v>
      </c>
      <c r="K236" s="10"/>
    </row>
    <row r="237" ht="15.75" customHeight="1">
      <c r="A237" s="10" t="s">
        <v>3300</v>
      </c>
      <c r="B237" s="10" t="s">
        <v>1551</v>
      </c>
      <c r="C237" s="13" t="str">
        <f t="array" ref="C237">IFERROR(INDEX('간병신청대장'!$B:$B,MATCH($B237,'간병신청대장'!$A:$A,0)),"")</f>
        <v>이재철</v>
      </c>
      <c r="D237" s="10" t="s">
        <v>1555</v>
      </c>
      <c r="E237" s="10" t="s">
        <v>567</v>
      </c>
      <c r="F237" s="10" t="s">
        <v>2699</v>
      </c>
      <c r="G237" s="29">
        <v>8.0</v>
      </c>
      <c r="H237" s="18">
        <v>140000.0</v>
      </c>
      <c r="I237" s="18">
        <v>1120000.0</v>
      </c>
      <c r="J237" s="20" t="s">
        <v>205</v>
      </c>
      <c r="K237" s="10"/>
    </row>
    <row r="238" ht="15.75" customHeight="1">
      <c r="A238" s="10" t="s">
        <v>3308</v>
      </c>
      <c r="B238" s="10" t="s">
        <v>1551</v>
      </c>
      <c r="C238" s="13" t="str">
        <f t="array" ref="C238">IFERROR(INDEX('간병신청대장'!$B:$B,MATCH($B238,'간병신청대장'!$A:$A,0)),"")</f>
        <v>이재철</v>
      </c>
      <c r="D238" s="10" t="s">
        <v>1555</v>
      </c>
      <c r="E238" s="10" t="s">
        <v>592</v>
      </c>
      <c r="F238" s="10" t="s">
        <v>3312</v>
      </c>
      <c r="G238" s="29">
        <v>10.0</v>
      </c>
      <c r="H238" s="18">
        <v>140000.0</v>
      </c>
      <c r="I238" s="18">
        <v>1400000.0</v>
      </c>
      <c r="J238" s="20" t="s">
        <v>205</v>
      </c>
      <c r="K238" s="10"/>
    </row>
    <row r="239" ht="15.75" customHeight="1">
      <c r="A239" s="10" t="s">
        <v>3313</v>
      </c>
      <c r="B239" s="10" t="s">
        <v>1551</v>
      </c>
      <c r="C239" s="13" t="str">
        <f t="array" ref="C239">IFERROR(INDEX('간병신청대장'!$B:$B,MATCH($B239,'간병신청대장'!$A:$A,0)),"")</f>
        <v>이재철</v>
      </c>
      <c r="D239" s="10" t="s">
        <v>1555</v>
      </c>
      <c r="E239" s="10" t="s">
        <v>112</v>
      </c>
      <c r="F239" s="10" t="s">
        <v>3315</v>
      </c>
      <c r="G239" s="29">
        <v>10.0</v>
      </c>
      <c r="H239" s="18">
        <v>140000.0</v>
      </c>
      <c r="I239" s="18">
        <v>1400000.0</v>
      </c>
      <c r="J239" s="20" t="s">
        <v>205</v>
      </c>
      <c r="K239" s="10"/>
    </row>
    <row r="240" ht="15.75" customHeight="1">
      <c r="A240" s="10" t="s">
        <v>3316</v>
      </c>
      <c r="B240" s="10" t="s">
        <v>1551</v>
      </c>
      <c r="C240" s="13" t="str">
        <f t="array" ref="C240">IFERROR(INDEX('간병신청대장'!$B:$B,MATCH($B240,'간병신청대장'!$A:$A,0)),"")</f>
        <v>이재철</v>
      </c>
      <c r="D240" s="10" t="s">
        <v>1555</v>
      </c>
      <c r="E240" s="10" t="s">
        <v>194</v>
      </c>
      <c r="F240" s="10" t="s">
        <v>3314</v>
      </c>
      <c r="G240" s="29">
        <v>11.0</v>
      </c>
      <c r="H240" s="18">
        <v>140000.0</v>
      </c>
      <c r="I240" s="18">
        <v>1540000.0</v>
      </c>
      <c r="J240" s="20" t="s">
        <v>205</v>
      </c>
      <c r="K240" s="10"/>
    </row>
    <row r="241" ht="15.75" customHeight="1">
      <c r="A241" s="10" t="s">
        <v>3320</v>
      </c>
      <c r="B241" s="10" t="s">
        <v>1551</v>
      </c>
      <c r="C241" s="13" t="str">
        <f t="array" ref="C241">IFERROR(INDEX('간병신청대장'!$B:$B,MATCH($B241,'간병신청대장'!$A:$A,0)),"")</f>
        <v>이재철</v>
      </c>
      <c r="D241" s="10" t="s">
        <v>1555</v>
      </c>
      <c r="E241" s="10" t="s">
        <v>622</v>
      </c>
      <c r="F241" s="10" t="s">
        <v>3322</v>
      </c>
      <c r="G241" s="29">
        <v>10.0</v>
      </c>
      <c r="H241" s="18">
        <v>140000.0</v>
      </c>
      <c r="I241" s="18">
        <v>1400000.0</v>
      </c>
      <c r="J241" s="20" t="s">
        <v>205</v>
      </c>
      <c r="K241" s="10"/>
    </row>
    <row r="242" ht="15.75" customHeight="1">
      <c r="A242" s="10" t="s">
        <v>3323</v>
      </c>
      <c r="B242" s="10" t="s">
        <v>1559</v>
      </c>
      <c r="C242" s="13" t="str">
        <f t="array" ref="C242">IFERROR(INDEX('간병신청대장'!$B:$B,MATCH($B242,'간병신청대장'!$A:$A,0)),"")</f>
        <v>지창호</v>
      </c>
      <c r="D242" s="10" t="s">
        <v>1569</v>
      </c>
      <c r="E242" s="10" t="s">
        <v>238</v>
      </c>
      <c r="F242" s="10" t="s">
        <v>1572</v>
      </c>
      <c r="G242" s="29">
        <v>2.0</v>
      </c>
      <c r="H242" s="18">
        <v>140000.0</v>
      </c>
      <c r="I242" s="18">
        <v>280000.0</v>
      </c>
      <c r="J242" s="20" t="s">
        <v>205</v>
      </c>
      <c r="K242" s="10"/>
    </row>
    <row r="243" ht="15.75" customHeight="1">
      <c r="A243" s="10" t="s">
        <v>3326</v>
      </c>
      <c r="B243" s="10" t="s">
        <v>1583</v>
      </c>
      <c r="C243" s="13" t="str">
        <f t="array" ref="C243">IFERROR(INDEX('간병신청대장'!$B:$B,MATCH($B243,'간병신청대장'!$A:$A,0)),"")</f>
        <v>이상수</v>
      </c>
      <c r="D243" s="10" t="s">
        <v>1593</v>
      </c>
      <c r="E243" s="10" t="s">
        <v>238</v>
      </c>
      <c r="F243" s="10" t="s">
        <v>2589</v>
      </c>
      <c r="G243" s="29">
        <v>7.0</v>
      </c>
      <c r="H243" s="18">
        <v>139000.0</v>
      </c>
      <c r="I243" s="18">
        <v>973000.0</v>
      </c>
      <c r="J243" s="20" t="s">
        <v>205</v>
      </c>
      <c r="K243" s="10"/>
    </row>
    <row r="244" ht="15.75" customHeight="1">
      <c r="A244" s="10" t="s">
        <v>3329</v>
      </c>
      <c r="B244" s="10" t="s">
        <v>1583</v>
      </c>
      <c r="C244" s="13" t="str">
        <f t="array" ref="C244">IFERROR(INDEX('간병신청대장'!$B:$B,MATCH($B244,'간병신청대장'!$A:$A,0)),"")</f>
        <v>이상수</v>
      </c>
      <c r="D244" s="10" t="s">
        <v>1593</v>
      </c>
      <c r="E244" s="10" t="s">
        <v>261</v>
      </c>
      <c r="F244" s="10" t="s">
        <v>1598</v>
      </c>
      <c r="G244" s="29">
        <v>8.0</v>
      </c>
      <c r="H244" s="18">
        <v>139000.0</v>
      </c>
      <c r="I244" s="18">
        <v>1112000.0</v>
      </c>
      <c r="J244" s="20" t="s">
        <v>205</v>
      </c>
      <c r="K244" s="10"/>
    </row>
    <row r="245" ht="15.75" customHeight="1">
      <c r="A245" s="10" t="s">
        <v>3330</v>
      </c>
      <c r="B245" s="10" t="s">
        <v>1601</v>
      </c>
      <c r="C245" s="13" t="str">
        <f t="array" ref="C245">IFERROR(INDEX('간병신청대장'!$B:$B,MATCH($B245,'간병신청대장'!$A:$A,0)),"")</f>
        <v>박주희</v>
      </c>
      <c r="D245" s="10" t="s">
        <v>1605</v>
      </c>
      <c r="E245" s="10" t="s">
        <v>266</v>
      </c>
      <c r="F245" s="10" t="s">
        <v>1609</v>
      </c>
      <c r="G245" s="29">
        <v>1.0</v>
      </c>
      <c r="H245" s="18">
        <v>140000.0</v>
      </c>
      <c r="I245" s="18">
        <v>140000.0</v>
      </c>
      <c r="J245" s="20" t="s">
        <v>205</v>
      </c>
      <c r="K245" s="10"/>
    </row>
    <row r="246" ht="15.75" customHeight="1">
      <c r="A246" s="10" t="s">
        <v>3342</v>
      </c>
      <c r="B246" s="10" t="s">
        <v>1612</v>
      </c>
      <c r="C246" s="13" t="str">
        <f t="array" ref="C246">IFERROR(INDEX('간병신청대장'!$B:$B,MATCH($B246,'간병신청대장'!$A:$A,0)),"")</f>
        <v>박주희</v>
      </c>
      <c r="D246" s="10" t="s">
        <v>1623</v>
      </c>
      <c r="E246" s="10" t="s">
        <v>266</v>
      </c>
      <c r="F246" s="10" t="s">
        <v>1626</v>
      </c>
      <c r="G246" s="29">
        <v>1.0</v>
      </c>
      <c r="H246" s="18">
        <v>140000.0</v>
      </c>
      <c r="I246" s="18">
        <v>140000.0</v>
      </c>
      <c r="J246" s="20" t="s">
        <v>205</v>
      </c>
      <c r="K246" s="10"/>
    </row>
    <row r="247" ht="15.75" customHeight="1">
      <c r="A247" s="10" t="s">
        <v>3346</v>
      </c>
      <c r="B247" s="10" t="s">
        <v>1629</v>
      </c>
      <c r="C247" s="13" t="str">
        <f t="array" ref="C247">IFERROR(INDEX('간병신청대장'!$B:$B,MATCH($B247,'간병신청대장'!$A:$A,0)),"")</f>
        <v>박주희</v>
      </c>
      <c r="D247" s="10" t="s">
        <v>1633</v>
      </c>
      <c r="E247" s="10" t="s">
        <v>266</v>
      </c>
      <c r="F247" s="10" t="s">
        <v>1636</v>
      </c>
      <c r="G247" s="29">
        <v>3.0</v>
      </c>
      <c r="H247" s="18">
        <v>130000.0</v>
      </c>
      <c r="I247" s="18">
        <v>390000.0</v>
      </c>
      <c r="J247" s="20" t="s">
        <v>205</v>
      </c>
      <c r="K247" s="10"/>
    </row>
    <row r="248" ht="15.75" customHeight="1">
      <c r="A248" s="10" t="s">
        <v>3347</v>
      </c>
      <c r="B248" s="10" t="s">
        <v>1639</v>
      </c>
      <c r="C248" s="13" t="str">
        <f t="array" ref="C248">IFERROR(INDEX('간병신청대장'!$B:$B,MATCH($B248,'간병신청대장'!$A:$A,0)),"")</f>
        <v>박주희</v>
      </c>
      <c r="D248" s="10" t="s">
        <v>1643</v>
      </c>
      <c r="E248" s="10" t="s">
        <v>567</v>
      </c>
      <c r="F248" s="10" t="s">
        <v>1646</v>
      </c>
      <c r="G248" s="29">
        <v>7.0</v>
      </c>
      <c r="H248" s="18">
        <v>135000.0</v>
      </c>
      <c r="I248" s="18">
        <v>945000.0</v>
      </c>
      <c r="J248" s="20" t="s">
        <v>205</v>
      </c>
      <c r="K248" s="10"/>
    </row>
    <row r="249" ht="15.75" customHeight="1">
      <c r="A249" s="10" t="s">
        <v>3349</v>
      </c>
      <c r="B249" s="10" t="s">
        <v>1649</v>
      </c>
      <c r="C249" s="13" t="str">
        <f t="array" ref="C249">IFERROR(INDEX('간병신청대장'!$B:$B,MATCH($B249,'간병신청대장'!$A:$A,0)),"")</f>
        <v>박주희</v>
      </c>
      <c r="D249" s="10" t="s">
        <v>1653</v>
      </c>
      <c r="E249" s="10" t="s">
        <v>567</v>
      </c>
      <c r="F249" s="10" t="s">
        <v>1655</v>
      </c>
      <c r="G249" s="29">
        <v>1.0</v>
      </c>
      <c r="H249" s="18">
        <v>135000.0</v>
      </c>
      <c r="I249" s="18">
        <v>135000.0</v>
      </c>
      <c r="J249" s="20" t="s">
        <v>205</v>
      </c>
      <c r="K249" s="10"/>
    </row>
    <row r="250" ht="15.75" customHeight="1">
      <c r="A250" s="10" t="s">
        <v>3351</v>
      </c>
      <c r="B250" s="10" t="s">
        <v>1658</v>
      </c>
      <c r="C250" s="13" t="str">
        <f t="array" ref="C250">IFERROR(INDEX('간병신청대장'!$B:$B,MATCH($B250,'간병신청대장'!$A:$A,0)),"")</f>
        <v>박은희</v>
      </c>
      <c r="D250" s="10" t="s">
        <v>1662</v>
      </c>
      <c r="E250" s="10" t="s">
        <v>238</v>
      </c>
      <c r="F250" s="10" t="s">
        <v>1666</v>
      </c>
      <c r="G250" s="29">
        <v>2.0</v>
      </c>
      <c r="H250" s="18">
        <v>156000.0</v>
      </c>
      <c r="I250" s="18">
        <v>312000.0</v>
      </c>
      <c r="J250" s="20" t="s">
        <v>205</v>
      </c>
      <c r="K250" s="10"/>
    </row>
    <row r="251" ht="15.75" customHeight="1">
      <c r="A251" s="10" t="s">
        <v>3353</v>
      </c>
      <c r="B251" s="10" t="s">
        <v>1670</v>
      </c>
      <c r="C251" s="13" t="str">
        <f t="array" ref="C251">IFERROR(INDEX('간병신청대장'!$B:$B,MATCH($B251,'간병신청대장'!$A:$A,0)),"")</f>
        <v>박은희</v>
      </c>
      <c r="D251" s="10" t="s">
        <v>1671</v>
      </c>
      <c r="E251" s="10" t="s">
        <v>266</v>
      </c>
      <c r="F251" s="10" t="s">
        <v>3354</v>
      </c>
      <c r="G251" s="29">
        <v>5.0</v>
      </c>
      <c r="H251" s="18">
        <v>140000.0</v>
      </c>
      <c r="I251" s="18">
        <v>700000.0</v>
      </c>
      <c r="J251" s="20" t="s">
        <v>205</v>
      </c>
      <c r="K251" s="10"/>
    </row>
    <row r="252" ht="15.75" customHeight="1">
      <c r="A252" s="10" t="s">
        <v>3355</v>
      </c>
      <c r="B252" s="10" t="s">
        <v>1670</v>
      </c>
      <c r="C252" s="13" t="str">
        <f t="array" ref="C252">IFERROR(INDEX('간병신청대장'!$B:$B,MATCH($B252,'간병신청대장'!$A:$A,0)),"")</f>
        <v>박은희</v>
      </c>
      <c r="D252" s="10" t="s">
        <v>1671</v>
      </c>
      <c r="E252" s="10" t="s">
        <v>281</v>
      </c>
      <c r="F252" s="10" t="s">
        <v>1674</v>
      </c>
      <c r="G252" s="29">
        <v>8.0</v>
      </c>
      <c r="H252" s="18">
        <v>140000.0</v>
      </c>
      <c r="I252" s="18">
        <v>1120000.0</v>
      </c>
      <c r="J252" s="20" t="s">
        <v>205</v>
      </c>
      <c r="K252" s="10"/>
    </row>
    <row r="253" ht="15.75" customHeight="1">
      <c r="A253" s="10" t="s">
        <v>3357</v>
      </c>
      <c r="B253" s="10" t="s">
        <v>1678</v>
      </c>
      <c r="C253" s="13" t="str">
        <f t="array" ref="C253">IFERROR(INDEX('간병신청대장'!$B:$B,MATCH($B253,'간병신청대장'!$A:$A,0)),"")</f>
        <v>박은희</v>
      </c>
      <c r="D253" s="10" t="s">
        <v>1671</v>
      </c>
      <c r="E253" s="10" t="s">
        <v>567</v>
      </c>
      <c r="F253" s="10" t="s">
        <v>1697</v>
      </c>
      <c r="G253" s="29">
        <v>5.0</v>
      </c>
      <c r="H253" s="18">
        <v>140000.0</v>
      </c>
      <c r="I253" s="18">
        <v>700000.0</v>
      </c>
      <c r="J253" s="20" t="s">
        <v>205</v>
      </c>
      <c r="K253" s="10"/>
    </row>
    <row r="254" ht="15.75" customHeight="1">
      <c r="A254" s="10" t="s">
        <v>3359</v>
      </c>
      <c r="B254" s="10" t="s">
        <v>1678</v>
      </c>
      <c r="C254" s="13" t="str">
        <f t="array" ref="C254">IFERROR(INDEX('간병신청대장'!$B:$B,MATCH($B254,'간병신청대장'!$A:$A,0)),"")</f>
        <v>박은희</v>
      </c>
      <c r="D254" s="10" t="s">
        <v>1671</v>
      </c>
      <c r="E254" s="10" t="s">
        <v>592</v>
      </c>
      <c r="F254" s="10" t="s">
        <v>1682</v>
      </c>
      <c r="G254" s="29">
        <v>4.0</v>
      </c>
      <c r="H254" s="18">
        <v>140000.0</v>
      </c>
      <c r="I254" s="18">
        <v>560000.0</v>
      </c>
      <c r="J254" s="20" t="s">
        <v>205</v>
      </c>
      <c r="K254" s="10"/>
    </row>
    <row r="255" ht="15.75" customHeight="1">
      <c r="A255" s="10" t="s">
        <v>3363</v>
      </c>
      <c r="B255" s="10" t="s">
        <v>1684</v>
      </c>
      <c r="C255" s="13" t="str">
        <f t="array" ref="C255">IFERROR(INDEX('간병신청대장'!$B:$B,MATCH($B255,'간병신청대장'!$A:$A,0)),"")</f>
        <v>박은희</v>
      </c>
      <c r="D255" s="10" t="s">
        <v>1688</v>
      </c>
      <c r="E255" s="10" t="s">
        <v>592</v>
      </c>
      <c r="F255" s="10" t="s">
        <v>3371</v>
      </c>
      <c r="G255" s="29">
        <v>7.0</v>
      </c>
      <c r="H255" s="18">
        <v>140000.0</v>
      </c>
      <c r="I255" s="18">
        <v>980000.0</v>
      </c>
      <c r="J255" s="20" t="s">
        <v>205</v>
      </c>
      <c r="K255" s="10"/>
    </row>
    <row r="256" ht="15.75" customHeight="1">
      <c r="A256" s="10" t="s">
        <v>3373</v>
      </c>
      <c r="B256" s="10" t="s">
        <v>1692</v>
      </c>
      <c r="C256" s="13" t="str">
        <f t="array" ref="C256">IFERROR(INDEX('간병신청대장'!$B:$B,MATCH($B256,'간병신청대장'!$A:$A,0)),"")</f>
        <v>박은희</v>
      </c>
      <c r="D256" s="10" t="s">
        <v>1671</v>
      </c>
      <c r="E256" s="10" t="s">
        <v>112</v>
      </c>
      <c r="F256" s="10" t="s">
        <v>2008</v>
      </c>
      <c r="G256" s="29">
        <v>9.0</v>
      </c>
      <c r="H256" s="18">
        <v>140000.0</v>
      </c>
      <c r="I256" s="18">
        <v>1260000.0</v>
      </c>
      <c r="J256" s="20" t="s">
        <v>205</v>
      </c>
      <c r="K256" s="10"/>
    </row>
    <row r="257" ht="15.75" customHeight="1">
      <c r="A257" s="10" t="s">
        <v>3377</v>
      </c>
      <c r="B257" s="10" t="s">
        <v>1692</v>
      </c>
      <c r="C257" s="13" t="str">
        <f t="array" ref="C257">IFERROR(INDEX('간병신청대장'!$B:$B,MATCH($B257,'간병신청대장'!$A:$A,0)),"")</f>
        <v>박은희</v>
      </c>
      <c r="D257" s="10" t="s">
        <v>1671</v>
      </c>
      <c r="E257" s="10" t="s">
        <v>194</v>
      </c>
      <c r="F257" s="10" t="s">
        <v>1846</v>
      </c>
      <c r="G257" s="29">
        <v>11.0</v>
      </c>
      <c r="H257" s="18">
        <v>140000.0</v>
      </c>
      <c r="I257" s="18">
        <v>1540000.0</v>
      </c>
      <c r="J257" s="20" t="s">
        <v>205</v>
      </c>
      <c r="K257" s="10"/>
    </row>
    <row r="258" ht="15.75" customHeight="1">
      <c r="A258" s="10" t="s">
        <v>3385</v>
      </c>
      <c r="B258" s="10" t="s">
        <v>1692</v>
      </c>
      <c r="C258" s="13" t="str">
        <f t="array" ref="C258">IFERROR(INDEX('간병신청대장'!$B:$B,MATCH($B258,'간병신청대장'!$A:$A,0)),"")</f>
        <v>박은희</v>
      </c>
      <c r="D258" s="10" t="s">
        <v>1671</v>
      </c>
      <c r="E258" s="10" t="s">
        <v>622</v>
      </c>
      <c r="F258" s="10" t="s">
        <v>1694</v>
      </c>
      <c r="G258" s="29">
        <v>5.0</v>
      </c>
      <c r="H258" s="18">
        <v>140000.0</v>
      </c>
      <c r="I258" s="18">
        <v>700000.0</v>
      </c>
      <c r="J258" s="20" t="s">
        <v>205</v>
      </c>
      <c r="K258" s="10"/>
    </row>
    <row r="259" ht="15.75" customHeight="1">
      <c r="A259" s="10" t="s">
        <v>3389</v>
      </c>
      <c r="B259" s="10" t="s">
        <v>1696</v>
      </c>
      <c r="C259" s="13" t="str">
        <f t="array" ref="C259">IFERROR(INDEX('간병신청대장'!$B:$B,MATCH($B259,'간병신청대장'!$A:$A,0)),"")</f>
        <v>지영순</v>
      </c>
      <c r="D259" s="10" t="s">
        <v>1700</v>
      </c>
      <c r="E259" s="10" t="s">
        <v>261</v>
      </c>
      <c r="F259" s="10" t="s">
        <v>3391</v>
      </c>
      <c r="G259" s="29">
        <v>10.0</v>
      </c>
      <c r="H259" s="18">
        <v>135000.0</v>
      </c>
      <c r="I259" s="18">
        <v>1350000.0</v>
      </c>
      <c r="J259" s="20" t="s">
        <v>205</v>
      </c>
      <c r="K259" s="10"/>
    </row>
    <row r="260" ht="15.75" customHeight="1">
      <c r="A260" s="10" t="s">
        <v>3392</v>
      </c>
      <c r="B260" s="10" t="s">
        <v>1696</v>
      </c>
      <c r="C260" s="13" t="str">
        <f t="array" ref="C260">IFERROR(INDEX('간병신청대장'!$B:$B,MATCH($B260,'간병신청대장'!$A:$A,0)),"")</f>
        <v>지영순</v>
      </c>
      <c r="D260" s="10" t="s">
        <v>1700</v>
      </c>
      <c r="E260" s="10" t="s">
        <v>266</v>
      </c>
      <c r="F260" s="10" t="s">
        <v>1909</v>
      </c>
      <c r="G260" s="29">
        <v>10.0</v>
      </c>
      <c r="H260" s="18">
        <v>135000.0</v>
      </c>
      <c r="I260" s="18">
        <v>1350000.0</v>
      </c>
      <c r="J260" s="20" t="s">
        <v>205</v>
      </c>
      <c r="K260" s="10"/>
    </row>
    <row r="261" ht="15.75" customHeight="1">
      <c r="A261" s="10" t="s">
        <v>3399</v>
      </c>
      <c r="B261" s="10" t="s">
        <v>1696</v>
      </c>
      <c r="C261" s="13" t="str">
        <f t="array" ref="C261">IFERROR(INDEX('간병신청대장'!$B:$B,MATCH($B261,'간병신청대장'!$A:$A,0)),"")</f>
        <v>지영순</v>
      </c>
      <c r="D261" s="10" t="s">
        <v>1700</v>
      </c>
      <c r="E261" s="10" t="s">
        <v>281</v>
      </c>
      <c r="F261" s="10" t="s">
        <v>3401</v>
      </c>
      <c r="G261" s="29">
        <v>10.0</v>
      </c>
      <c r="H261" s="18">
        <v>135000.0</v>
      </c>
      <c r="I261" s="18">
        <v>1350000.0</v>
      </c>
      <c r="J261" s="20" t="s">
        <v>205</v>
      </c>
      <c r="K261" s="10"/>
    </row>
    <row r="262" ht="15.75" customHeight="1">
      <c r="A262" s="10" t="s">
        <v>3402</v>
      </c>
      <c r="B262" s="10" t="s">
        <v>1696</v>
      </c>
      <c r="C262" s="13" t="str">
        <f t="array" ref="C262">IFERROR(INDEX('간병신청대장'!$B:$B,MATCH($B262,'간병신청대장'!$A:$A,0)),"")</f>
        <v>지영순</v>
      </c>
      <c r="D262" s="10" t="s">
        <v>1700</v>
      </c>
      <c r="E262" s="10" t="s">
        <v>567</v>
      </c>
      <c r="F262" s="10" t="s">
        <v>3403</v>
      </c>
      <c r="G262" s="29">
        <v>10.0</v>
      </c>
      <c r="H262" s="18">
        <v>135000.0</v>
      </c>
      <c r="I262" s="18">
        <v>1350000.0</v>
      </c>
      <c r="J262" s="20" t="s">
        <v>205</v>
      </c>
      <c r="K262" s="10"/>
    </row>
    <row r="263" ht="15.75" customHeight="1">
      <c r="A263" s="10" t="s">
        <v>3404</v>
      </c>
      <c r="B263" s="10" t="s">
        <v>1696</v>
      </c>
      <c r="C263" s="13" t="str">
        <f t="array" ref="C263">IFERROR(INDEX('간병신청대장'!$B:$B,MATCH($B263,'간병신청대장'!$A:$A,0)),"")</f>
        <v>지영순</v>
      </c>
      <c r="D263" s="10" t="s">
        <v>1700</v>
      </c>
      <c r="E263" s="10" t="s">
        <v>592</v>
      </c>
      <c r="F263" s="10" t="s">
        <v>1703</v>
      </c>
      <c r="G263" s="29">
        <v>7.0</v>
      </c>
      <c r="H263" s="18">
        <v>135000.0</v>
      </c>
      <c r="I263" s="18">
        <v>946000.0</v>
      </c>
      <c r="J263" s="20" t="s">
        <v>205</v>
      </c>
      <c r="K263" s="10"/>
    </row>
    <row r="264" ht="15.75" customHeight="1">
      <c r="A264" s="10" t="s">
        <v>3410</v>
      </c>
      <c r="B264" s="10" t="s">
        <v>1707</v>
      </c>
      <c r="C264" s="13" t="str">
        <f t="array" ref="C264">IFERROR(INDEX('간병신청대장'!$B:$B,MATCH($B264,'간병신청대장'!$A:$A,0)),"")</f>
        <v>최재식</v>
      </c>
      <c r="D264" s="10" t="s">
        <v>1710</v>
      </c>
      <c r="E264" s="10" t="s">
        <v>261</v>
      </c>
      <c r="F264" s="10" t="s">
        <v>1713</v>
      </c>
      <c r="G264" s="29">
        <v>4.0</v>
      </c>
      <c r="H264" s="18">
        <v>140000.0</v>
      </c>
      <c r="I264" s="18">
        <v>560000.0</v>
      </c>
      <c r="J264" s="20" t="s">
        <v>205</v>
      </c>
      <c r="K264" s="10"/>
    </row>
    <row r="265" ht="15.75" customHeight="1">
      <c r="A265" s="10" t="s">
        <v>3418</v>
      </c>
      <c r="B265" s="10" t="s">
        <v>1717</v>
      </c>
      <c r="C265" s="13" t="str">
        <f t="array" ref="C265">IFERROR(INDEX('간병신청대장'!$B:$B,MATCH($B265,'간병신청대장'!$A:$A,0)),"")</f>
        <v>김의웅</v>
      </c>
      <c r="D265" s="10" t="s">
        <v>1719</v>
      </c>
      <c r="E265" s="10" t="s">
        <v>261</v>
      </c>
      <c r="F265" s="10" t="s">
        <v>3419</v>
      </c>
      <c r="G265" s="29">
        <v>10.0</v>
      </c>
      <c r="H265" s="18">
        <v>140000.0</v>
      </c>
      <c r="I265" s="18">
        <v>1400000.0</v>
      </c>
      <c r="J265" s="20" t="s">
        <v>205</v>
      </c>
      <c r="K265" s="10"/>
    </row>
    <row r="266" ht="15.75" customHeight="1">
      <c r="A266" s="10" t="s">
        <v>3420</v>
      </c>
      <c r="B266" s="10" t="s">
        <v>1717</v>
      </c>
      <c r="C266" s="13" t="str">
        <f t="array" ref="C266">IFERROR(INDEX('간병신청대장'!$B:$B,MATCH($B266,'간병신청대장'!$A:$A,0)),"")</f>
        <v>김의웅</v>
      </c>
      <c r="D266" s="10" t="s">
        <v>1719</v>
      </c>
      <c r="E266" s="10" t="s">
        <v>266</v>
      </c>
      <c r="F266" s="10" t="s">
        <v>773</v>
      </c>
      <c r="G266" s="29">
        <v>6.0</v>
      </c>
      <c r="H266" s="18">
        <v>140000.0</v>
      </c>
      <c r="I266" s="18">
        <v>840000.0</v>
      </c>
      <c r="J266" s="20" t="s">
        <v>205</v>
      </c>
      <c r="K266" s="10"/>
    </row>
    <row r="267" ht="15.75" customHeight="1">
      <c r="A267" s="10" t="s">
        <v>3422</v>
      </c>
      <c r="B267" s="10" t="s">
        <v>1725</v>
      </c>
      <c r="C267" s="13" t="str">
        <f t="array" ref="C267">IFERROR(INDEX('간병신청대장'!$B:$B,MATCH($B267,'간병신청대장'!$A:$A,0)),"")</f>
        <v>이정혜</v>
      </c>
      <c r="D267" s="10" t="s">
        <v>1728</v>
      </c>
      <c r="E267" s="10" t="s">
        <v>261</v>
      </c>
      <c r="F267" s="10" t="s">
        <v>1732</v>
      </c>
      <c r="G267" s="29">
        <v>2.0</v>
      </c>
      <c r="H267" s="18">
        <v>135000.0</v>
      </c>
      <c r="I267" s="18">
        <v>270000.0</v>
      </c>
      <c r="J267" s="20" t="s">
        <v>205</v>
      </c>
      <c r="K267" s="10"/>
    </row>
    <row r="268" ht="15.75" customHeight="1">
      <c r="A268" s="10" t="s">
        <v>3431</v>
      </c>
      <c r="B268" s="10" t="s">
        <v>1737</v>
      </c>
      <c r="C268" s="13" t="str">
        <f t="array" ref="C268">IFERROR(INDEX('간병신청대장'!$B:$B,MATCH($B268,'간병신청대장'!$A:$A,0)),"")</f>
        <v>김수지</v>
      </c>
      <c r="D268" s="10" t="s">
        <v>1740</v>
      </c>
      <c r="E268" s="10" t="s">
        <v>281</v>
      </c>
      <c r="F268" s="10" t="s">
        <v>1743</v>
      </c>
      <c r="G268" s="29">
        <v>2.0</v>
      </c>
      <c r="H268" s="8">
        <v>64000.0</v>
      </c>
      <c r="I268" s="18">
        <v>128000.0</v>
      </c>
      <c r="J268" s="20" t="s">
        <v>205</v>
      </c>
      <c r="K268" s="10"/>
    </row>
    <row r="269" ht="15.75" customHeight="1">
      <c r="A269" s="10" t="s">
        <v>3433</v>
      </c>
      <c r="B269" s="10" t="s">
        <v>1747</v>
      </c>
      <c r="C269" s="13" t="str">
        <f t="array" ref="C269">IFERROR(INDEX('간병신청대장'!$B:$B,MATCH($B269,'간병신청대장'!$A:$A,0)),"")</f>
        <v>김수지</v>
      </c>
      <c r="D269" s="10" t="s">
        <v>1740</v>
      </c>
      <c r="E269" s="10" t="s">
        <v>281</v>
      </c>
      <c r="F269" s="10" t="s">
        <v>1743</v>
      </c>
      <c r="G269" s="29">
        <v>2.0</v>
      </c>
      <c r="H269" s="8">
        <v>64000.0</v>
      </c>
      <c r="I269" s="18">
        <v>128000.0</v>
      </c>
      <c r="J269" s="20" t="s">
        <v>205</v>
      </c>
      <c r="K269" s="10"/>
    </row>
    <row r="270" ht="15.75" customHeight="1">
      <c r="A270" s="10" t="s">
        <v>3434</v>
      </c>
      <c r="B270" s="10" t="s">
        <v>1757</v>
      </c>
      <c r="C270" s="13" t="str">
        <f t="array" ref="C270">IFERROR(INDEX('간병신청대장'!$B:$B,MATCH($B270,'간병신청대장'!$A:$A,0)),"")</f>
        <v>조선미</v>
      </c>
      <c r="D270" s="10" t="s">
        <v>1769</v>
      </c>
      <c r="E270" s="10" t="s">
        <v>266</v>
      </c>
      <c r="F270" s="10" t="s">
        <v>1772</v>
      </c>
      <c r="G270" s="29">
        <v>4.0</v>
      </c>
      <c r="H270" s="18">
        <v>138000.0</v>
      </c>
      <c r="I270" s="18">
        <v>552000.0</v>
      </c>
      <c r="J270" s="20" t="s">
        <v>205</v>
      </c>
      <c r="K270" s="10"/>
    </row>
    <row r="271" ht="15.75" customHeight="1">
      <c r="A271" s="10" t="s">
        <v>3442</v>
      </c>
      <c r="B271" s="10" t="s">
        <v>1774</v>
      </c>
      <c r="C271" s="13" t="str">
        <f t="array" ref="C271">IFERROR(INDEX('간병신청대장'!$B:$B,MATCH($B271,'간병신청대장'!$A:$A,0)),"")</f>
        <v>이향주</v>
      </c>
      <c r="D271" s="10" t="s">
        <v>1780</v>
      </c>
      <c r="E271" s="10" t="s">
        <v>266</v>
      </c>
      <c r="F271" s="10" t="s">
        <v>269</v>
      </c>
      <c r="G271" s="29">
        <v>8.0</v>
      </c>
      <c r="H271" s="18">
        <v>130000.0</v>
      </c>
      <c r="I271" s="18">
        <v>1040000.0</v>
      </c>
      <c r="J271" s="20" t="s">
        <v>205</v>
      </c>
      <c r="K271" s="10"/>
    </row>
    <row r="272" ht="15.75" customHeight="1">
      <c r="A272" s="10" t="s">
        <v>3443</v>
      </c>
      <c r="B272" s="10" t="s">
        <v>1774</v>
      </c>
      <c r="C272" s="13" t="str">
        <f t="array" ref="C272">IFERROR(INDEX('간병신청대장'!$B:$B,MATCH($B272,'간병신청대장'!$A:$A,0)),"")</f>
        <v>이향주</v>
      </c>
      <c r="D272" s="10" t="s">
        <v>1780</v>
      </c>
      <c r="E272" s="10" t="s">
        <v>281</v>
      </c>
      <c r="F272" s="10" t="s">
        <v>557</v>
      </c>
      <c r="G272" s="29">
        <v>8.0</v>
      </c>
      <c r="H272" s="18">
        <v>130000.0</v>
      </c>
      <c r="I272" s="18">
        <v>1040000.0</v>
      </c>
      <c r="J272" s="20" t="s">
        <v>205</v>
      </c>
      <c r="K272" s="10"/>
    </row>
    <row r="273" ht="15.75" customHeight="1">
      <c r="A273" s="10" t="s">
        <v>3447</v>
      </c>
      <c r="B273" s="10" t="s">
        <v>1774</v>
      </c>
      <c r="C273" s="13" t="str">
        <f t="array" ref="C273">IFERROR(INDEX('간병신청대장'!$B:$B,MATCH($B273,'간병신청대장'!$A:$A,0)),"")</f>
        <v>이향주</v>
      </c>
      <c r="D273" s="10" t="s">
        <v>1780</v>
      </c>
      <c r="E273" s="10" t="s">
        <v>567</v>
      </c>
      <c r="F273" s="10" t="s">
        <v>569</v>
      </c>
      <c r="G273" s="29">
        <v>5.0</v>
      </c>
      <c r="H273" s="18">
        <v>130000.0</v>
      </c>
      <c r="I273" s="18">
        <v>650000.0</v>
      </c>
      <c r="J273" s="20" t="s">
        <v>205</v>
      </c>
      <c r="K273" s="10"/>
    </row>
    <row r="274" ht="15.75" customHeight="1">
      <c r="A274" s="10" t="s">
        <v>3449</v>
      </c>
      <c r="B274" s="10" t="s">
        <v>1774</v>
      </c>
      <c r="C274" s="13" t="str">
        <f t="array" ref="C274">IFERROR(INDEX('간병신청대장'!$B:$B,MATCH($B274,'간병신청대장'!$A:$A,0)),"")</f>
        <v>이향주</v>
      </c>
      <c r="D274" s="10" t="s">
        <v>1780</v>
      </c>
      <c r="E274" s="10" t="s">
        <v>592</v>
      </c>
      <c r="F274" s="10" t="s">
        <v>3450</v>
      </c>
      <c r="G274" s="29">
        <v>9.0</v>
      </c>
      <c r="H274" s="18">
        <v>130000.0</v>
      </c>
      <c r="I274" s="18">
        <v>1170000.0</v>
      </c>
      <c r="J274" s="20" t="s">
        <v>205</v>
      </c>
      <c r="K274" s="10"/>
    </row>
    <row r="275" ht="15.75" customHeight="1">
      <c r="A275" s="10" t="s">
        <v>3452</v>
      </c>
      <c r="B275" s="10" t="s">
        <v>1774</v>
      </c>
      <c r="C275" s="13" t="str">
        <f t="array" ref="C275">IFERROR(INDEX('간병신청대장'!$B:$B,MATCH($B275,'간병신청대장'!$A:$A,0)),"")</f>
        <v>이향주</v>
      </c>
      <c r="D275" s="10" t="s">
        <v>1780</v>
      </c>
      <c r="E275" s="10" t="s">
        <v>112</v>
      </c>
      <c r="F275" s="10" t="s">
        <v>3315</v>
      </c>
      <c r="G275" s="29">
        <v>7.0</v>
      </c>
      <c r="H275" s="18">
        <v>130000.0</v>
      </c>
      <c r="I275" s="18">
        <v>910000.0</v>
      </c>
      <c r="J275" s="20" t="s">
        <v>205</v>
      </c>
      <c r="K275" s="10"/>
    </row>
    <row r="276" ht="15.75" customHeight="1">
      <c r="A276" s="10" t="s">
        <v>3459</v>
      </c>
      <c r="B276" s="10" t="s">
        <v>1774</v>
      </c>
      <c r="C276" s="13" t="str">
        <f t="array" ref="C276">IFERROR(INDEX('간병신청대장'!$B:$B,MATCH($B276,'간병신청대장'!$A:$A,0)),"")</f>
        <v>이향주</v>
      </c>
      <c r="D276" s="10" t="s">
        <v>1780</v>
      </c>
      <c r="E276" s="10" t="s">
        <v>194</v>
      </c>
      <c r="F276" s="10" t="s">
        <v>3314</v>
      </c>
      <c r="G276" s="29">
        <v>9.0</v>
      </c>
      <c r="H276" s="18">
        <v>130000.0</v>
      </c>
      <c r="I276" s="18">
        <v>1170000.0</v>
      </c>
      <c r="J276" s="20" t="s">
        <v>205</v>
      </c>
      <c r="K276" s="10"/>
    </row>
    <row r="277" ht="15.75" customHeight="1">
      <c r="A277" s="10" t="s">
        <v>3467</v>
      </c>
      <c r="B277" s="10" t="s">
        <v>1774</v>
      </c>
      <c r="C277" s="13" t="str">
        <f t="array" ref="C277">IFERROR(INDEX('간병신청대장'!$B:$B,MATCH($B277,'간병신청대장'!$A:$A,0)),"")</f>
        <v>이향주</v>
      </c>
      <c r="D277" s="10" t="s">
        <v>1780</v>
      </c>
      <c r="E277" s="10" t="s">
        <v>622</v>
      </c>
      <c r="F277" s="10" t="s">
        <v>3322</v>
      </c>
      <c r="G277" s="29">
        <v>8.0</v>
      </c>
      <c r="H277" s="18">
        <v>130000.0</v>
      </c>
      <c r="I277" s="18">
        <v>1040000.0</v>
      </c>
      <c r="J277" s="20" t="s">
        <v>205</v>
      </c>
      <c r="K277" s="10"/>
    </row>
    <row r="278" ht="15.75" customHeight="1">
      <c r="A278" s="10" t="s">
        <v>3469</v>
      </c>
      <c r="B278" s="10" t="s">
        <v>1789</v>
      </c>
      <c r="C278" s="13" t="str">
        <f t="array" ref="C278">IFERROR(INDEX('간병신청대장'!$B:$B,MATCH($B278,'간병신청대장'!$A:$A,0)),"")</f>
        <v>김금례</v>
      </c>
      <c r="D278" s="10" t="s">
        <v>1793</v>
      </c>
      <c r="E278" s="10" t="s">
        <v>266</v>
      </c>
      <c r="F278" s="10" t="s">
        <v>1795</v>
      </c>
      <c r="G278" s="29">
        <v>9.0</v>
      </c>
      <c r="H278" s="18">
        <v>130000.0</v>
      </c>
      <c r="I278" s="18">
        <v>1170000.0</v>
      </c>
      <c r="J278" s="20" t="s">
        <v>205</v>
      </c>
      <c r="K278" s="10"/>
    </row>
    <row r="279" ht="15.75" customHeight="1">
      <c r="A279" s="10" t="s">
        <v>3473</v>
      </c>
      <c r="B279" s="10" t="s">
        <v>1813</v>
      </c>
      <c r="C279" s="13" t="str">
        <f t="array" ref="C279">IFERROR(INDEX('간병신청대장'!$B:$B,MATCH($B279,'간병신청대장'!$A:$A,0)),"")</f>
        <v>최묘진</v>
      </c>
      <c r="D279" s="10" t="s">
        <v>1815</v>
      </c>
      <c r="E279" s="10" t="s">
        <v>266</v>
      </c>
      <c r="F279" s="10" t="s">
        <v>1820</v>
      </c>
      <c r="G279" s="29">
        <v>6.0</v>
      </c>
      <c r="H279" s="18">
        <v>135000.0</v>
      </c>
      <c r="I279" s="18">
        <v>810000.0</v>
      </c>
      <c r="J279" s="20" t="s">
        <v>205</v>
      </c>
      <c r="K279" s="10"/>
    </row>
    <row r="280" ht="15.75" customHeight="1">
      <c r="A280" s="10" t="s">
        <v>3480</v>
      </c>
      <c r="B280" s="10" t="s">
        <v>1825</v>
      </c>
      <c r="C280" s="13" t="str">
        <f t="array" ref="C280">IFERROR(INDEX('간병신청대장'!$B:$B,MATCH($B280,'간병신청대장'!$A:$A,0)),"")</f>
        <v>전복순</v>
      </c>
      <c r="D280" s="10" t="s">
        <v>1827</v>
      </c>
      <c r="E280" s="10" t="s">
        <v>266</v>
      </c>
      <c r="F280" s="10" t="s">
        <v>1831</v>
      </c>
      <c r="G280" s="29">
        <v>6.0</v>
      </c>
      <c r="H280" s="18">
        <v>150000.0</v>
      </c>
      <c r="I280" s="18">
        <v>900000.0</v>
      </c>
      <c r="J280" s="20" t="s">
        <v>205</v>
      </c>
      <c r="K280" s="10"/>
    </row>
    <row r="281" ht="15.75" customHeight="1">
      <c r="A281" s="10" t="s">
        <v>3483</v>
      </c>
      <c r="B281" s="10" t="s">
        <v>1834</v>
      </c>
      <c r="C281" s="13" t="str">
        <f t="array" ref="C281">IFERROR(INDEX('간병신청대장'!$B:$B,MATCH($B281,'간병신청대장'!$A:$A,0)),"")</f>
        <v>남정숙</v>
      </c>
      <c r="D281" s="10" t="s">
        <v>1838</v>
      </c>
      <c r="E281" s="10" t="s">
        <v>266</v>
      </c>
      <c r="F281" s="10" t="s">
        <v>3489</v>
      </c>
      <c r="G281" s="29">
        <v>9.0</v>
      </c>
      <c r="H281" s="18">
        <v>140000.0</v>
      </c>
      <c r="I281" s="18">
        <v>1260000.0</v>
      </c>
      <c r="J281" s="20" t="s">
        <v>205</v>
      </c>
      <c r="K281" s="10"/>
    </row>
    <row r="282" ht="15.75" customHeight="1">
      <c r="A282" s="10" t="s">
        <v>3490</v>
      </c>
      <c r="B282" s="10" t="s">
        <v>1834</v>
      </c>
      <c r="C282" s="13" t="str">
        <f t="array" ref="C282">IFERROR(INDEX('간병신청대장'!$B:$B,MATCH($B282,'간병신청대장'!$A:$A,0)),"")</f>
        <v>남정숙</v>
      </c>
      <c r="D282" s="10" t="s">
        <v>1838</v>
      </c>
      <c r="E282" s="10" t="s">
        <v>281</v>
      </c>
      <c r="F282" s="10" t="s">
        <v>3493</v>
      </c>
      <c r="G282" s="29">
        <v>9.0</v>
      </c>
      <c r="H282" s="18">
        <v>140000.0</v>
      </c>
      <c r="I282" s="18">
        <v>1260000.0</v>
      </c>
      <c r="J282" s="20" t="s">
        <v>205</v>
      </c>
      <c r="K282" s="10"/>
    </row>
    <row r="283" ht="15.75" customHeight="1">
      <c r="A283" s="10" t="s">
        <v>3494</v>
      </c>
      <c r="B283" s="10" t="s">
        <v>1845</v>
      </c>
      <c r="C283" s="13" t="str">
        <f t="array" ref="C283">IFERROR(INDEX('간병신청대장'!$B:$B,MATCH($B283,'간병신청대장'!$A:$A,0)),"")</f>
        <v>남정숙</v>
      </c>
      <c r="D283" s="10" t="s">
        <v>1838</v>
      </c>
      <c r="E283" s="10" t="s">
        <v>567</v>
      </c>
      <c r="F283" s="10" t="s">
        <v>1849</v>
      </c>
      <c r="G283" s="29">
        <v>7.0</v>
      </c>
      <c r="H283" s="18">
        <v>140000.0</v>
      </c>
      <c r="I283" s="18">
        <v>980000.0</v>
      </c>
      <c r="J283" s="20" t="s">
        <v>205</v>
      </c>
      <c r="K283" s="10"/>
    </row>
    <row r="284" ht="15.75" customHeight="1">
      <c r="A284" s="10" t="s">
        <v>3502</v>
      </c>
      <c r="B284" s="10" t="s">
        <v>1851</v>
      </c>
      <c r="C284" s="13" t="str">
        <f t="array" ref="C284">IFERROR(INDEX('간병신청대장'!$B:$B,MATCH($B284,'간병신청대장'!$A:$A,0)),"")</f>
        <v>남정숙</v>
      </c>
      <c r="D284" s="10" t="s">
        <v>1853</v>
      </c>
      <c r="E284" s="10" t="s">
        <v>592</v>
      </c>
      <c r="F284" s="10" t="s">
        <v>2528</v>
      </c>
      <c r="G284" s="29">
        <v>10.0</v>
      </c>
      <c r="H284" s="18">
        <v>140000.0</v>
      </c>
      <c r="I284" s="18">
        <v>1400000.0</v>
      </c>
      <c r="J284" s="20" t="s">
        <v>205</v>
      </c>
      <c r="K284" s="10"/>
    </row>
    <row r="285" ht="15.75" customHeight="1">
      <c r="A285" s="10" t="s">
        <v>3504</v>
      </c>
      <c r="B285" s="10" t="s">
        <v>1851</v>
      </c>
      <c r="C285" s="13" t="str">
        <f t="array" ref="C285">IFERROR(INDEX('간병신청대장'!$B:$B,MATCH($B285,'간병신청대장'!$A:$A,0)),"")</f>
        <v>남정숙</v>
      </c>
      <c r="D285" s="10" t="s">
        <v>1853</v>
      </c>
      <c r="E285" s="10" t="s">
        <v>112</v>
      </c>
      <c r="F285" s="10" t="s">
        <v>2250</v>
      </c>
      <c r="G285" s="29">
        <v>7.0</v>
      </c>
      <c r="H285" s="18">
        <v>140000.0</v>
      </c>
      <c r="I285" s="18">
        <v>980000.0</v>
      </c>
      <c r="J285" s="20" t="s">
        <v>205</v>
      </c>
      <c r="K285" s="10"/>
    </row>
    <row r="286" ht="15.75" customHeight="1">
      <c r="A286" s="10" t="s">
        <v>3509</v>
      </c>
      <c r="B286" s="10" t="s">
        <v>1860</v>
      </c>
      <c r="C286" s="13" t="str">
        <f t="array" ref="C286">IFERROR(INDEX('간병신청대장'!$B:$B,MATCH($B286,'간병신청대장'!$A:$A,0)),"")</f>
        <v>김임순</v>
      </c>
      <c r="D286" s="10" t="s">
        <v>1863</v>
      </c>
      <c r="E286" s="10" t="s">
        <v>266</v>
      </c>
      <c r="F286" s="10" t="s">
        <v>1909</v>
      </c>
      <c r="G286" s="29">
        <v>8.0</v>
      </c>
      <c r="H286" s="18">
        <v>150000.0</v>
      </c>
      <c r="I286" s="18">
        <v>1200000.0</v>
      </c>
      <c r="J286" s="20" t="s">
        <v>205</v>
      </c>
      <c r="K286" s="10"/>
    </row>
    <row r="287" ht="15.75" customHeight="1">
      <c r="A287" s="10" t="s">
        <v>3513</v>
      </c>
      <c r="B287" s="10" t="s">
        <v>1860</v>
      </c>
      <c r="C287" s="13" t="str">
        <f t="array" ref="C287">IFERROR(INDEX('간병신청대장'!$B:$B,MATCH($B287,'간병신청대장'!$A:$A,0)),"")</f>
        <v>김임순</v>
      </c>
      <c r="D287" s="10" t="s">
        <v>1863</v>
      </c>
      <c r="E287" s="10" t="s">
        <v>281</v>
      </c>
      <c r="F287" s="10" t="s">
        <v>3374</v>
      </c>
      <c r="G287" s="29">
        <v>4.0</v>
      </c>
      <c r="H287" s="18">
        <v>150000.0</v>
      </c>
      <c r="I287" s="18">
        <v>600000.0</v>
      </c>
      <c r="J287" s="20" t="s">
        <v>205</v>
      </c>
      <c r="K287" s="10"/>
    </row>
    <row r="288" ht="15.75" customHeight="1">
      <c r="A288" s="10" t="s">
        <v>3521</v>
      </c>
      <c r="B288" s="10" t="s">
        <v>1871</v>
      </c>
      <c r="C288" s="13" t="str">
        <f t="array" ref="C288">IFERROR(INDEX('간병신청대장'!$B:$B,MATCH($B288,'간병신청대장'!$A:$A,0)),"")</f>
        <v>방혜영</v>
      </c>
      <c r="D288" s="10" t="s">
        <v>1875</v>
      </c>
      <c r="E288" s="10" t="s">
        <v>266</v>
      </c>
      <c r="F288" s="10" t="s">
        <v>1878</v>
      </c>
      <c r="G288" s="29">
        <v>4.0</v>
      </c>
      <c r="H288" s="18">
        <v>140000.0</v>
      </c>
      <c r="I288" s="18">
        <v>560000.0</v>
      </c>
      <c r="J288" s="20" t="s">
        <v>205</v>
      </c>
      <c r="K288" s="10"/>
    </row>
    <row r="289" ht="15.75" customHeight="1">
      <c r="A289" s="10" t="s">
        <v>3526</v>
      </c>
      <c r="B289" s="10" t="s">
        <v>1881</v>
      </c>
      <c r="C289" s="13" t="str">
        <f t="array" ref="C289">IFERROR(INDEX('간병신청대장'!$B:$B,MATCH($B289,'간병신청대장'!$A:$A,0)),"")</f>
        <v>리나 LINA</v>
      </c>
      <c r="D289" s="10" t="s">
        <v>1882</v>
      </c>
      <c r="E289" s="10" t="s">
        <v>266</v>
      </c>
      <c r="F289" s="10" t="s">
        <v>3489</v>
      </c>
      <c r="G289" s="29">
        <v>7.0</v>
      </c>
      <c r="H289" s="18">
        <v>140000.0</v>
      </c>
      <c r="I289" s="18">
        <v>980000.0</v>
      </c>
      <c r="J289" s="20" t="s">
        <v>205</v>
      </c>
      <c r="K289" s="10"/>
    </row>
    <row r="290" ht="15.75" customHeight="1">
      <c r="A290" s="10" t="s">
        <v>3531</v>
      </c>
      <c r="B290" s="10" t="s">
        <v>1881</v>
      </c>
      <c r="C290" s="13" t="str">
        <f t="array" ref="C290">IFERROR(INDEX('간병신청대장'!$B:$B,MATCH($B290,'간병신청대장'!$A:$A,0)),"")</f>
        <v>리나 LINA</v>
      </c>
      <c r="D290" s="10" t="s">
        <v>1882</v>
      </c>
      <c r="E290" s="10" t="s">
        <v>281</v>
      </c>
      <c r="F290" s="10" t="s">
        <v>3397</v>
      </c>
      <c r="G290" s="29">
        <v>3.0</v>
      </c>
      <c r="H290" s="18">
        <v>140000.0</v>
      </c>
      <c r="I290" s="18">
        <v>420000.0</v>
      </c>
      <c r="J290" s="20" t="s">
        <v>205</v>
      </c>
      <c r="K290" s="10"/>
    </row>
    <row r="291" ht="15.75" customHeight="1">
      <c r="A291" s="10" t="s">
        <v>3534</v>
      </c>
      <c r="B291" s="10" t="s">
        <v>1888</v>
      </c>
      <c r="C291" s="13" t="str">
        <f t="array" ref="C291">IFERROR(INDEX('간병신청대장'!$B:$B,MATCH($B291,'간병신청대장'!$A:$A,0)),"")</f>
        <v>유수분</v>
      </c>
      <c r="D291" s="10" t="s">
        <v>3535</v>
      </c>
      <c r="E291" s="10" t="s">
        <v>266</v>
      </c>
      <c r="F291" s="10" t="s">
        <v>3489</v>
      </c>
      <c r="G291" s="29">
        <v>3.0</v>
      </c>
      <c r="H291" s="18">
        <v>130000.0</v>
      </c>
      <c r="I291" s="18">
        <v>390000.0</v>
      </c>
      <c r="J291" s="20" t="s">
        <v>205</v>
      </c>
      <c r="K291" s="10"/>
    </row>
    <row r="292" ht="15.75" customHeight="1">
      <c r="A292" s="10" t="s">
        <v>3536</v>
      </c>
      <c r="B292" s="10" t="s">
        <v>1888</v>
      </c>
      <c r="C292" s="13" t="str">
        <f t="array" ref="C292">IFERROR(INDEX('간병신청대장'!$B:$B,MATCH($B292,'간병신청대장'!$A:$A,0)),"")</f>
        <v>유수분</v>
      </c>
      <c r="D292" s="10" t="s">
        <v>3535</v>
      </c>
      <c r="E292" s="10" t="s">
        <v>281</v>
      </c>
      <c r="F292" s="10" t="s">
        <v>1417</v>
      </c>
      <c r="G292" s="29">
        <v>10.0</v>
      </c>
      <c r="H292" s="18">
        <v>130000.0</v>
      </c>
      <c r="I292" s="18">
        <v>1300000.0</v>
      </c>
      <c r="J292" s="20" t="s">
        <v>205</v>
      </c>
      <c r="K292" s="10"/>
    </row>
    <row r="293" ht="15.75" customHeight="1">
      <c r="A293" s="10" t="s">
        <v>3538</v>
      </c>
      <c r="B293" s="10" t="s">
        <v>1888</v>
      </c>
      <c r="C293" s="13" t="str">
        <f t="array" ref="C293">IFERROR(INDEX('간병신청대장'!$B:$B,MATCH($B293,'간병신청대장'!$A:$A,0)),"")</f>
        <v>유수분</v>
      </c>
      <c r="D293" s="10" t="s">
        <v>3535</v>
      </c>
      <c r="E293" s="10" t="s">
        <v>567</v>
      </c>
      <c r="F293" s="10" t="s">
        <v>1427</v>
      </c>
      <c r="G293" s="29">
        <v>10.0</v>
      </c>
      <c r="H293" s="18">
        <v>130000.0</v>
      </c>
      <c r="I293" s="18">
        <v>1300000.0</v>
      </c>
      <c r="J293" s="20" t="s">
        <v>205</v>
      </c>
      <c r="K293" s="10"/>
    </row>
    <row r="294" ht="15.75" customHeight="1">
      <c r="A294" s="10" t="s">
        <v>3545</v>
      </c>
      <c r="B294" s="10" t="s">
        <v>1888</v>
      </c>
      <c r="C294" s="13" t="str">
        <f t="array" ref="C294">IFERROR(INDEX('간병신청대장'!$B:$B,MATCH($B294,'간병신청대장'!$A:$A,0)),"")</f>
        <v>유수분</v>
      </c>
      <c r="D294" s="10" t="s">
        <v>3535</v>
      </c>
      <c r="E294" s="10" t="s">
        <v>592</v>
      </c>
      <c r="F294" s="10" t="s">
        <v>1435</v>
      </c>
      <c r="G294" s="29">
        <v>10.0</v>
      </c>
      <c r="H294" s="18">
        <v>130000.0</v>
      </c>
      <c r="I294" s="18">
        <v>1300000.0</v>
      </c>
      <c r="J294" s="20" t="s">
        <v>205</v>
      </c>
      <c r="K294" s="10"/>
    </row>
    <row r="295" ht="15.75" customHeight="1">
      <c r="A295" s="10" t="s">
        <v>3548</v>
      </c>
      <c r="B295" s="10" t="s">
        <v>1888</v>
      </c>
      <c r="C295" s="13" t="str">
        <f t="array" ref="C295">IFERROR(INDEX('간병신청대장'!$B:$B,MATCH($B295,'간병신청대장'!$A:$A,0)),"")</f>
        <v>유수분</v>
      </c>
      <c r="D295" s="10" t="s">
        <v>3535</v>
      </c>
      <c r="E295" s="10" t="s">
        <v>112</v>
      </c>
      <c r="F295" s="10" t="s">
        <v>1457</v>
      </c>
      <c r="G295" s="29">
        <v>10.0</v>
      </c>
      <c r="H295" s="18">
        <v>130000.0</v>
      </c>
      <c r="I295" s="18">
        <v>1300000.0</v>
      </c>
      <c r="J295" s="20" t="s">
        <v>205</v>
      </c>
      <c r="K295" s="10"/>
    </row>
    <row r="296" ht="15.75" customHeight="1">
      <c r="A296" s="10" t="s">
        <v>3552</v>
      </c>
      <c r="B296" s="10" t="s">
        <v>1888</v>
      </c>
      <c r="C296" s="13" t="str">
        <f t="array" ref="C296">IFERROR(INDEX('간병신청대장'!$B:$B,MATCH($B296,'간병신청대장'!$A:$A,0)),"")</f>
        <v>유수분</v>
      </c>
      <c r="D296" s="10" t="s">
        <v>3535</v>
      </c>
      <c r="E296" s="10" t="s">
        <v>194</v>
      </c>
      <c r="F296" s="10" t="s">
        <v>3560</v>
      </c>
      <c r="G296" s="29">
        <v>11.0</v>
      </c>
      <c r="H296" s="18">
        <v>130000.0</v>
      </c>
      <c r="I296" s="18">
        <v>1430000.0</v>
      </c>
      <c r="J296" s="20" t="s">
        <v>205</v>
      </c>
      <c r="K296" s="10"/>
    </row>
    <row r="297" ht="15.75" customHeight="1">
      <c r="A297" s="10" t="s">
        <v>3561</v>
      </c>
      <c r="B297" s="10" t="s">
        <v>1888</v>
      </c>
      <c r="C297" s="13" t="str">
        <f t="array" ref="C297">IFERROR(INDEX('간병신청대장'!$B:$B,MATCH($B297,'간병신청대장'!$A:$A,0)),"")</f>
        <v>유수분</v>
      </c>
      <c r="D297" s="10" t="s">
        <v>3535</v>
      </c>
      <c r="E297" s="10" t="s">
        <v>622</v>
      </c>
      <c r="F297" s="10" t="s">
        <v>3562</v>
      </c>
      <c r="G297" s="29">
        <v>10.0</v>
      </c>
      <c r="H297" s="18">
        <v>130000.0</v>
      </c>
      <c r="I297" s="18">
        <v>1300000.0</v>
      </c>
      <c r="J297" s="20" t="s">
        <v>205</v>
      </c>
      <c r="K297" s="10"/>
    </row>
    <row r="298" ht="15.75" customHeight="1">
      <c r="A298" s="10" t="s">
        <v>3563</v>
      </c>
      <c r="B298" s="10" t="s">
        <v>1900</v>
      </c>
      <c r="C298" s="13" t="str">
        <f t="array" ref="C298">IFERROR(INDEX('간병신청대장'!$B:$B,MATCH($B298,'간병신청대장'!$A:$A,0)),"")</f>
        <v>송영록</v>
      </c>
      <c r="D298" s="10" t="s">
        <v>1907</v>
      </c>
      <c r="E298" s="10" t="s">
        <v>281</v>
      </c>
      <c r="F298" s="10" t="s">
        <v>3401</v>
      </c>
      <c r="G298" s="29">
        <v>10.0</v>
      </c>
      <c r="H298" s="18">
        <v>135000.0</v>
      </c>
      <c r="I298" s="18">
        <v>1350000.0</v>
      </c>
      <c r="J298" s="20" t="s">
        <v>205</v>
      </c>
      <c r="K298" s="10"/>
    </row>
    <row r="299" ht="15.75" customHeight="1">
      <c r="A299" s="10" t="s">
        <v>3566</v>
      </c>
      <c r="B299" s="10" t="s">
        <v>1900</v>
      </c>
      <c r="C299" s="13" t="str">
        <f t="array" ref="C299">IFERROR(INDEX('간병신청대장'!$B:$B,MATCH($B299,'간병신청대장'!$A:$A,0)),"")</f>
        <v>송영록</v>
      </c>
      <c r="D299" s="10" t="s">
        <v>1907</v>
      </c>
      <c r="E299" s="10" t="s">
        <v>567</v>
      </c>
      <c r="F299" s="10" t="s">
        <v>1910</v>
      </c>
      <c r="G299" s="29">
        <v>8.0</v>
      </c>
      <c r="H299" s="18">
        <v>135000.0</v>
      </c>
      <c r="I299" s="18">
        <v>1090000.0</v>
      </c>
      <c r="J299" s="20" t="s">
        <v>205</v>
      </c>
      <c r="K299" s="10"/>
    </row>
    <row r="300" ht="15.75" customHeight="1">
      <c r="A300" s="10" t="s">
        <v>3574</v>
      </c>
      <c r="B300" s="10" t="s">
        <v>1913</v>
      </c>
      <c r="C300" s="13" t="str">
        <f t="array" ref="C300">IFERROR(INDEX('간병신청대장'!$B:$B,MATCH($B300,'간병신청대장'!$A:$A,0)),"")</f>
        <v>김덕순</v>
      </c>
      <c r="D300" s="10" t="s">
        <v>1923</v>
      </c>
      <c r="E300" s="10" t="s">
        <v>281</v>
      </c>
      <c r="F300" s="10" t="s">
        <v>3577</v>
      </c>
      <c r="G300" s="29">
        <v>10.0</v>
      </c>
      <c r="H300" s="18">
        <v>144000.0</v>
      </c>
      <c r="I300" s="18">
        <v>1440000.0</v>
      </c>
      <c r="J300" s="20" t="s">
        <v>205</v>
      </c>
      <c r="K300" s="10"/>
    </row>
    <row r="301" ht="15.75" customHeight="1">
      <c r="A301" s="10" t="s">
        <v>3578</v>
      </c>
      <c r="B301" s="10" t="s">
        <v>1913</v>
      </c>
      <c r="C301" s="13" t="str">
        <f t="array" ref="C301">IFERROR(INDEX('간병신청대장'!$B:$B,MATCH($B301,'간병신청대장'!$A:$A,0)),"")</f>
        <v>김덕순</v>
      </c>
      <c r="D301" s="10" t="s">
        <v>1923</v>
      </c>
      <c r="E301" s="10" t="s">
        <v>567</v>
      </c>
      <c r="F301" s="10" t="s">
        <v>1927</v>
      </c>
      <c r="G301" s="29">
        <v>11.0</v>
      </c>
      <c r="H301" s="18">
        <v>144000.0</v>
      </c>
      <c r="I301" s="18">
        <v>1584000.0</v>
      </c>
      <c r="J301" s="20" t="s">
        <v>205</v>
      </c>
      <c r="K301" s="10"/>
    </row>
    <row r="302" ht="15.75" customHeight="1">
      <c r="A302" s="10" t="s">
        <v>3588</v>
      </c>
      <c r="B302" s="10" t="s">
        <v>1930</v>
      </c>
      <c r="C302" s="13" t="str">
        <f t="array" ref="C302">IFERROR(INDEX('간병신청대장'!$B:$B,MATCH($B302,'간병신청대장'!$A:$A,0)),"")</f>
        <v>이담</v>
      </c>
      <c r="D302" s="10" t="s">
        <v>1932</v>
      </c>
      <c r="E302" s="10" t="s">
        <v>567</v>
      </c>
      <c r="F302" s="10" t="s">
        <v>1935</v>
      </c>
      <c r="G302" s="29">
        <v>2.0</v>
      </c>
      <c r="H302" s="18">
        <v>140000.0</v>
      </c>
      <c r="I302" s="18">
        <v>280000.0</v>
      </c>
      <c r="J302" s="20" t="s">
        <v>205</v>
      </c>
      <c r="K302" s="10"/>
    </row>
    <row r="303" ht="15.75" customHeight="1">
      <c r="A303" s="10" t="s">
        <v>3589</v>
      </c>
      <c r="B303" s="10" t="s">
        <v>1939</v>
      </c>
      <c r="C303" s="13" t="str">
        <f t="array" ref="C303">IFERROR(INDEX('간병신청대장'!$B:$B,MATCH($B303,'간병신청대장'!$A:$A,0)),"")</f>
        <v>이담</v>
      </c>
      <c r="D303" s="10" t="s">
        <v>1941</v>
      </c>
      <c r="E303" s="10" t="s">
        <v>592</v>
      </c>
      <c r="F303" s="10" t="s">
        <v>1943</v>
      </c>
      <c r="G303" s="29">
        <v>7.3</v>
      </c>
      <c r="H303" s="18">
        <v>140000.0</v>
      </c>
      <c r="I303" s="18">
        <v>1435000.0</v>
      </c>
      <c r="J303" s="20" t="s">
        <v>205</v>
      </c>
      <c r="K303" s="10"/>
    </row>
    <row r="304" ht="15.75" customHeight="1">
      <c r="A304" s="10" t="s">
        <v>3590</v>
      </c>
      <c r="B304" s="10" t="s">
        <v>1946</v>
      </c>
      <c r="C304" s="13" t="str">
        <f t="array" ref="C304">IFERROR(INDEX('간병신청대장'!$B:$B,MATCH($B304,'간병신청대장'!$A:$A,0)),"")</f>
        <v>김영호</v>
      </c>
      <c r="D304" s="10" t="s">
        <v>1958</v>
      </c>
      <c r="E304" s="10" t="s">
        <v>281</v>
      </c>
      <c r="F304" s="10" t="s">
        <v>1960</v>
      </c>
      <c r="G304" s="29">
        <v>8.0</v>
      </c>
      <c r="H304" s="18">
        <v>150000.0</v>
      </c>
      <c r="I304" s="18">
        <v>1200000.0</v>
      </c>
      <c r="J304" s="20" t="s">
        <v>205</v>
      </c>
      <c r="K304" s="10"/>
    </row>
    <row r="305" ht="15.75" customHeight="1">
      <c r="A305" s="10" t="s">
        <v>3599</v>
      </c>
      <c r="B305" s="10" t="s">
        <v>1963</v>
      </c>
      <c r="C305" s="13" t="str">
        <f t="array" ref="C305">IFERROR(INDEX('간병신청대장'!$B:$B,MATCH($B305,'간병신청대장'!$A:$A,0)),"")</f>
        <v>김원섭</v>
      </c>
      <c r="D305" s="10" t="s">
        <v>1966</v>
      </c>
      <c r="E305" s="10" t="s">
        <v>281</v>
      </c>
      <c r="F305" s="10" t="s">
        <v>3550</v>
      </c>
      <c r="G305" s="29">
        <v>8.0</v>
      </c>
      <c r="H305" s="18">
        <v>150000.0</v>
      </c>
      <c r="I305" s="18">
        <v>1200000.0</v>
      </c>
      <c r="J305" s="20" t="s">
        <v>205</v>
      </c>
      <c r="K305" s="38"/>
    </row>
    <row r="306" ht="15.75" customHeight="1">
      <c r="A306" s="10" t="s">
        <v>3600</v>
      </c>
      <c r="B306" s="10" t="s">
        <v>1963</v>
      </c>
      <c r="C306" s="13" t="str">
        <f t="array" ref="C306">IFERROR(INDEX('간병신청대장'!$B:$B,MATCH($B306,'간병신청대장'!$A:$A,0)),"")</f>
        <v>김원섭</v>
      </c>
      <c r="D306" s="10" t="s">
        <v>1966</v>
      </c>
      <c r="E306" s="10" t="s">
        <v>567</v>
      </c>
      <c r="F306" s="10" t="s">
        <v>1910</v>
      </c>
      <c r="G306" s="29">
        <v>9.0</v>
      </c>
      <c r="H306" s="18">
        <v>150000.0</v>
      </c>
      <c r="I306" s="18">
        <v>1350000.0</v>
      </c>
      <c r="J306" s="20" t="s">
        <v>205</v>
      </c>
      <c r="K306" s="10"/>
    </row>
    <row r="307" ht="15.75" customHeight="1">
      <c r="A307" s="10" t="s">
        <v>3603</v>
      </c>
      <c r="B307" s="10" t="s">
        <v>1972</v>
      </c>
      <c r="C307" s="13" t="str">
        <f t="array" ref="C307">IFERROR(INDEX('간병신청대장'!$B:$B,MATCH($B307,'간병신청대장'!$A:$A,0)),"")</f>
        <v>조현숙</v>
      </c>
      <c r="D307" s="10" t="s">
        <v>1983</v>
      </c>
      <c r="E307" s="10" t="s">
        <v>281</v>
      </c>
      <c r="F307" s="10" t="s">
        <v>458</v>
      </c>
      <c r="G307" s="29">
        <v>4.0</v>
      </c>
      <c r="H307" s="18">
        <v>135000.0</v>
      </c>
      <c r="I307" s="18">
        <v>540000.0</v>
      </c>
      <c r="J307" s="20" t="s">
        <v>205</v>
      </c>
      <c r="K307" s="10"/>
    </row>
    <row r="308" ht="15.75" customHeight="1">
      <c r="A308" s="10" t="s">
        <v>3610</v>
      </c>
      <c r="B308" s="10" t="s">
        <v>1988</v>
      </c>
      <c r="C308" s="13" t="str">
        <f t="array" ref="C308">IFERROR(INDEX('간병신청대장'!$B:$B,MATCH($B308,'간병신청대장'!$A:$A,0)),"")</f>
        <v>조현숙</v>
      </c>
      <c r="D308" s="10" t="s">
        <v>1990</v>
      </c>
      <c r="E308" s="10" t="s">
        <v>281</v>
      </c>
      <c r="F308" s="10" t="s">
        <v>1994</v>
      </c>
      <c r="G308" s="29">
        <v>1.0</v>
      </c>
      <c r="H308" s="18">
        <v>135000.0</v>
      </c>
      <c r="I308" s="18">
        <v>135000.0</v>
      </c>
      <c r="J308" s="20" t="s">
        <v>205</v>
      </c>
      <c r="K308" s="10"/>
    </row>
    <row r="309" ht="15.75" customHeight="1">
      <c r="A309" s="10" t="s">
        <v>3613</v>
      </c>
      <c r="B309" s="10" t="s">
        <v>1996</v>
      </c>
      <c r="C309" s="13" t="str">
        <f t="array" ref="C309">IFERROR(INDEX('간병신청대장'!$B:$B,MATCH($B309,'간병신청대장'!$A:$A,0)),"")</f>
        <v>박정숙</v>
      </c>
      <c r="D309" s="10" t="s">
        <v>1998</v>
      </c>
      <c r="E309" s="10" t="s">
        <v>281</v>
      </c>
      <c r="F309" s="10" t="s">
        <v>2003</v>
      </c>
      <c r="G309" s="29">
        <v>8.0</v>
      </c>
      <c r="H309" s="18">
        <v>130000.0</v>
      </c>
      <c r="I309" s="18">
        <v>1040000.0</v>
      </c>
      <c r="J309" s="20" t="s">
        <v>205</v>
      </c>
      <c r="K309" s="10"/>
    </row>
    <row r="310" ht="15.75" customHeight="1">
      <c r="A310" s="10" t="s">
        <v>3619</v>
      </c>
      <c r="B310" s="10" t="s">
        <v>1996</v>
      </c>
      <c r="C310" s="13" t="str">
        <f t="array" ref="C310">IFERROR(INDEX('간병신청대장'!$B:$B,MATCH($B310,'간병신청대장'!$A:$A,0)),"")</f>
        <v>박정숙</v>
      </c>
      <c r="D310" s="10" t="s">
        <v>1998</v>
      </c>
      <c r="E310" s="10" t="s">
        <v>567</v>
      </c>
      <c r="F310" s="10" t="s">
        <v>2003</v>
      </c>
      <c r="G310" s="29">
        <v>6.0</v>
      </c>
      <c r="H310" s="18">
        <v>130000.0</v>
      </c>
      <c r="I310" s="18">
        <v>780000.0</v>
      </c>
      <c r="J310" s="20" t="s">
        <v>205</v>
      </c>
      <c r="K310" s="10"/>
    </row>
    <row r="311" ht="15.75" customHeight="1">
      <c r="A311" s="10" t="s">
        <v>3621</v>
      </c>
      <c r="B311" s="10" t="s">
        <v>2006</v>
      </c>
      <c r="C311" s="13" t="str">
        <f t="array" ref="C311">IFERROR(INDEX('간병신청대장'!$B:$B,MATCH($B311,'간병신청대장'!$A:$A,0)),"")</f>
        <v>김성수</v>
      </c>
      <c r="D311" s="10" t="s">
        <v>2012</v>
      </c>
      <c r="E311" s="10" t="s">
        <v>567</v>
      </c>
      <c r="F311" s="10" t="s">
        <v>1910</v>
      </c>
      <c r="G311" s="29">
        <v>12.0</v>
      </c>
      <c r="H311" s="18">
        <v>160000.0</v>
      </c>
      <c r="I311" s="18">
        <v>1920000.0</v>
      </c>
      <c r="J311" s="20" t="s">
        <v>205</v>
      </c>
      <c r="K311" s="10"/>
    </row>
    <row r="312" ht="15.75" customHeight="1">
      <c r="A312" s="10" t="s">
        <v>3622</v>
      </c>
      <c r="B312" s="10" t="s">
        <v>2018</v>
      </c>
      <c r="C312" s="13" t="str">
        <f t="array" ref="C312">IFERROR(INDEX('간병신청대장'!$B:$B,MATCH($B312,'간병신청대장'!$A:$A,0)),"")</f>
        <v>김성수</v>
      </c>
      <c r="D312" s="10" t="s">
        <v>2021</v>
      </c>
      <c r="E312" s="10" t="s">
        <v>592</v>
      </c>
      <c r="F312" s="10" t="s">
        <v>3625</v>
      </c>
      <c r="G312" s="29">
        <v>10.0</v>
      </c>
      <c r="H312" s="18">
        <v>150000.0</v>
      </c>
      <c r="I312" s="18">
        <v>1500000.0</v>
      </c>
      <c r="J312" s="20" t="s">
        <v>205</v>
      </c>
      <c r="K312" s="10"/>
    </row>
    <row r="313" ht="15.75" customHeight="1">
      <c r="A313" s="10" t="s">
        <v>3626</v>
      </c>
      <c r="B313" s="10" t="s">
        <v>2018</v>
      </c>
      <c r="C313" s="13" t="str">
        <f t="array" ref="C313">IFERROR(INDEX('간병신청대장'!$B:$B,MATCH($B313,'간병신청대장'!$A:$A,0)),"")</f>
        <v>김성수</v>
      </c>
      <c r="D313" s="10" t="s">
        <v>2021</v>
      </c>
      <c r="E313" s="10" t="s">
        <v>112</v>
      </c>
      <c r="F313" s="10" t="s">
        <v>3635</v>
      </c>
      <c r="G313" s="29">
        <v>10.0</v>
      </c>
      <c r="H313" s="18">
        <v>150000.0</v>
      </c>
      <c r="I313" s="18">
        <v>1500000.0</v>
      </c>
      <c r="J313" s="20" t="s">
        <v>205</v>
      </c>
      <c r="K313" s="10"/>
    </row>
    <row r="314" ht="15.75" customHeight="1">
      <c r="A314" s="10" t="s">
        <v>3637</v>
      </c>
      <c r="B314" s="10" t="s">
        <v>2018</v>
      </c>
      <c r="C314" s="13" t="str">
        <f t="array" ref="C314">IFERROR(INDEX('간병신청대장'!$B:$B,MATCH($B314,'간병신청대장'!$A:$A,0)),"")</f>
        <v>김성수</v>
      </c>
      <c r="D314" s="10" t="s">
        <v>2021</v>
      </c>
      <c r="E314" s="10" t="s">
        <v>194</v>
      </c>
      <c r="F314" s="10" t="s">
        <v>2412</v>
      </c>
      <c r="G314" s="29">
        <v>12.0</v>
      </c>
      <c r="H314" s="18">
        <v>150000.0</v>
      </c>
      <c r="I314" s="18">
        <v>1800000.0</v>
      </c>
      <c r="J314" s="20" t="s">
        <v>205</v>
      </c>
      <c r="K314" s="10"/>
    </row>
    <row r="315" ht="15.75" customHeight="1">
      <c r="A315" s="10" t="s">
        <v>3638</v>
      </c>
      <c r="B315" s="10" t="s">
        <v>2018</v>
      </c>
      <c r="C315" s="13" t="str">
        <f t="array" ref="C315">IFERROR(INDEX('간병신청대장'!$B:$B,MATCH($B315,'간병신청대장'!$A:$A,0)),"")</f>
        <v>김성수</v>
      </c>
      <c r="D315" s="10" t="s">
        <v>2021</v>
      </c>
      <c r="E315" s="10" t="s">
        <v>622</v>
      </c>
      <c r="F315" s="10" t="s">
        <v>2026</v>
      </c>
      <c r="G315" s="29">
        <v>6.0</v>
      </c>
      <c r="H315" s="18">
        <v>150000.0</v>
      </c>
      <c r="I315" s="18">
        <v>900000.0</v>
      </c>
      <c r="J315" s="20" t="s">
        <v>205</v>
      </c>
      <c r="K315" s="10"/>
    </row>
    <row r="316" ht="15.75" customHeight="1">
      <c r="A316" s="10" t="s">
        <v>3648</v>
      </c>
      <c r="B316" s="10" t="s">
        <v>2029</v>
      </c>
      <c r="C316" s="13" t="str">
        <f t="array" ref="C316">IFERROR(INDEX('간병신청대장'!$B:$B,MATCH($B316,'간병신청대장'!$A:$A,0)),"")</f>
        <v>위필환</v>
      </c>
      <c r="D316" s="10" t="s">
        <v>2033</v>
      </c>
      <c r="E316" s="10" t="s">
        <v>281</v>
      </c>
      <c r="F316" s="10" t="s">
        <v>1674</v>
      </c>
      <c r="G316" s="29">
        <v>4.0</v>
      </c>
      <c r="H316" s="18">
        <v>130000.0</v>
      </c>
      <c r="I316" s="18">
        <v>520000.0</v>
      </c>
      <c r="J316" s="20" t="s">
        <v>205</v>
      </c>
      <c r="K316" s="10"/>
    </row>
    <row r="317" ht="15.75" customHeight="1">
      <c r="A317" s="10" t="s">
        <v>3650</v>
      </c>
      <c r="B317" s="10" t="s">
        <v>2039</v>
      </c>
      <c r="C317" s="13" t="str">
        <f t="array" ref="C317">IFERROR(INDEX('간병신청대장'!$B:$B,MATCH($B317,'간병신청대장'!$A:$A,0)),"")</f>
        <v>하성임</v>
      </c>
      <c r="D317" s="10" t="s">
        <v>2044</v>
      </c>
      <c r="E317" s="10" t="s">
        <v>592</v>
      </c>
      <c r="F317" s="10" t="s">
        <v>557</v>
      </c>
      <c r="G317" s="29">
        <v>3.0</v>
      </c>
      <c r="H317" s="18">
        <v>60000.0</v>
      </c>
      <c r="I317" s="18">
        <v>180000.0</v>
      </c>
      <c r="J317" s="20" t="s">
        <v>205</v>
      </c>
      <c r="K317" s="10"/>
    </row>
    <row r="318" ht="15.75" customHeight="1">
      <c r="A318" s="10" t="s">
        <v>3659</v>
      </c>
      <c r="B318" s="10" t="s">
        <v>2048</v>
      </c>
      <c r="C318" s="13" t="str">
        <f t="array" ref="C318">IFERROR(INDEX('간병신청대장'!$B:$B,MATCH($B318,'간병신청대장'!$A:$A,0)),"")</f>
        <v>하성임</v>
      </c>
      <c r="D318" s="10" t="s">
        <v>2044</v>
      </c>
      <c r="E318" s="10" t="s">
        <v>194</v>
      </c>
      <c r="F318" s="10" t="s">
        <v>2054</v>
      </c>
      <c r="G318" s="29">
        <v>3.0</v>
      </c>
      <c r="H318" s="18">
        <v>60000.0</v>
      </c>
      <c r="I318" s="18">
        <v>180000.0</v>
      </c>
      <c r="J318" s="20" t="s">
        <v>205</v>
      </c>
      <c r="K318" s="10"/>
    </row>
    <row r="319" ht="15.75" customHeight="1">
      <c r="A319" s="10" t="s">
        <v>3660</v>
      </c>
      <c r="B319" s="10" t="s">
        <v>2056</v>
      </c>
      <c r="C319" s="13" t="str">
        <f t="array" ref="C319">IFERROR(INDEX('간병신청대장'!$B:$B,MATCH($B319,'간병신청대장'!$A:$A,0)),"")</f>
        <v>하성임</v>
      </c>
      <c r="D319" s="10" t="s">
        <v>2059</v>
      </c>
      <c r="E319" s="10" t="s">
        <v>194</v>
      </c>
      <c r="F319" s="10" t="s">
        <v>629</v>
      </c>
      <c r="G319" s="78">
        <v>6.0</v>
      </c>
      <c r="H319" s="18">
        <v>75000.0</v>
      </c>
      <c r="I319" s="18">
        <v>450000.0</v>
      </c>
      <c r="J319" s="20" t="s">
        <v>205</v>
      </c>
      <c r="K319" s="10"/>
    </row>
    <row r="320" ht="15.75" customHeight="1">
      <c r="A320" s="10" t="s">
        <v>3664</v>
      </c>
      <c r="B320" s="10" t="s">
        <v>2067</v>
      </c>
      <c r="C320" s="13" t="str">
        <f t="array" ref="C320">IFERROR(INDEX('간병신청대장'!$B:$B,MATCH($B320,'간병신청대장'!$A:$A,0)),"")</f>
        <v>김용식</v>
      </c>
      <c r="D320" s="10" t="s">
        <v>2069</v>
      </c>
      <c r="E320" s="10" t="s">
        <v>281</v>
      </c>
      <c r="F320" s="10" t="s">
        <v>2072</v>
      </c>
      <c r="G320" s="29">
        <v>1.0</v>
      </c>
      <c r="H320" s="18">
        <v>140000.0</v>
      </c>
      <c r="I320" s="18">
        <v>140000.0</v>
      </c>
      <c r="J320" s="20" t="s">
        <v>205</v>
      </c>
      <c r="K320" s="10"/>
    </row>
    <row r="321" ht="15.75" customHeight="1">
      <c r="A321" s="10" t="s">
        <v>3666</v>
      </c>
      <c r="B321" s="10" t="s">
        <v>2082</v>
      </c>
      <c r="C321" s="13" t="str">
        <f t="array" ref="C321">IFERROR(INDEX('간병신청대장'!$B:$B,MATCH($B321,'간병신청대장'!$A:$A,0)),"")</f>
        <v>홍정숙</v>
      </c>
      <c r="D321" s="10" t="s">
        <v>2085</v>
      </c>
      <c r="E321" s="10" t="s">
        <v>567</v>
      </c>
      <c r="F321" s="10" t="s">
        <v>2088</v>
      </c>
      <c r="G321" s="29">
        <v>8.0</v>
      </c>
      <c r="H321" s="18">
        <v>145000.0</v>
      </c>
      <c r="I321" s="18">
        <v>1160000.0</v>
      </c>
      <c r="J321" s="20" t="s">
        <v>205</v>
      </c>
      <c r="K321" s="10"/>
    </row>
    <row r="322" ht="15.75" customHeight="1">
      <c r="A322" s="10" t="s">
        <v>3675</v>
      </c>
      <c r="B322" s="10" t="s">
        <v>2091</v>
      </c>
      <c r="C322" s="13" t="str">
        <f t="array" ref="C322">IFERROR(INDEX('간병신청대장'!$B:$B,MATCH($B322,'간병신청대장'!$A:$A,0)),"")</f>
        <v>홍정숙</v>
      </c>
      <c r="D322" s="10" t="s">
        <v>2093</v>
      </c>
      <c r="E322" s="10" t="s">
        <v>592</v>
      </c>
      <c r="F322" s="10" t="s">
        <v>3643</v>
      </c>
      <c r="G322" s="29">
        <v>9.0</v>
      </c>
      <c r="H322" s="18">
        <v>145000.0</v>
      </c>
      <c r="I322" s="18">
        <v>1305000.0</v>
      </c>
      <c r="J322" s="20" t="s">
        <v>205</v>
      </c>
      <c r="K322" s="10"/>
    </row>
    <row r="323" ht="15.75" customHeight="1">
      <c r="A323" s="10" t="s">
        <v>3676</v>
      </c>
      <c r="B323" s="10" t="s">
        <v>2091</v>
      </c>
      <c r="C323" s="13" t="str">
        <f t="array" ref="C323">IFERROR(INDEX('간병신청대장'!$B:$B,MATCH($B323,'간병신청대장'!$A:$A,0)),"")</f>
        <v>홍정숙</v>
      </c>
      <c r="D323" s="10" t="s">
        <v>2093</v>
      </c>
      <c r="E323" s="10" t="s">
        <v>112</v>
      </c>
      <c r="F323" s="10" t="s">
        <v>3651</v>
      </c>
      <c r="G323" s="29">
        <v>10.0</v>
      </c>
      <c r="H323" s="18">
        <v>145000.0</v>
      </c>
      <c r="I323" s="18">
        <v>1450000.0</v>
      </c>
      <c r="J323" s="20" t="s">
        <v>205</v>
      </c>
      <c r="K323" s="10"/>
    </row>
    <row r="324" ht="15.75" customHeight="1">
      <c r="A324" s="10" t="s">
        <v>3689</v>
      </c>
      <c r="B324" s="10" t="s">
        <v>2091</v>
      </c>
      <c r="C324" s="13" t="str">
        <f t="array" ref="C324">IFERROR(INDEX('간병신청대장'!$B:$B,MATCH($B324,'간병신청대장'!$A:$A,0)),"")</f>
        <v>홍정숙</v>
      </c>
      <c r="D324" s="10" t="s">
        <v>2093</v>
      </c>
      <c r="E324" s="10" t="s">
        <v>194</v>
      </c>
      <c r="F324" s="10" t="s">
        <v>3661</v>
      </c>
      <c r="G324" s="29">
        <v>11.0</v>
      </c>
      <c r="H324" s="18">
        <v>145000.0</v>
      </c>
      <c r="I324" s="18">
        <v>1595000.0</v>
      </c>
      <c r="J324" s="20" t="s">
        <v>205</v>
      </c>
      <c r="K324" s="10"/>
    </row>
    <row r="325" ht="15.75" customHeight="1">
      <c r="A325" s="10" t="s">
        <v>3690</v>
      </c>
      <c r="B325" s="10" t="s">
        <v>2091</v>
      </c>
      <c r="C325" s="13" t="str">
        <f t="array" ref="C325">IFERROR(INDEX('간병신청대장'!$B:$B,MATCH($B325,'간병신청대장'!$A:$A,0)),"")</f>
        <v>홍정숙</v>
      </c>
      <c r="D325" s="10" t="s">
        <v>2093</v>
      </c>
      <c r="E325" s="10" t="s">
        <v>622</v>
      </c>
      <c r="F325" s="10" t="s">
        <v>3665</v>
      </c>
      <c r="G325" s="29">
        <v>10.0</v>
      </c>
      <c r="H325" s="18">
        <v>145000.0</v>
      </c>
      <c r="I325" s="18">
        <v>1450000.0</v>
      </c>
      <c r="J325" s="20" t="s">
        <v>205</v>
      </c>
      <c r="K325" s="10"/>
    </row>
    <row r="326" ht="15.75" customHeight="1">
      <c r="A326" s="10" t="s">
        <v>3694</v>
      </c>
      <c r="B326" s="10" t="s">
        <v>2098</v>
      </c>
      <c r="C326" s="13" t="str">
        <f t="array" ref="C326">IFERROR(INDEX('간병신청대장'!$B:$B,MATCH($B326,'간병신청대장'!$A:$A,0)),"")</f>
        <v>이정완</v>
      </c>
      <c r="D326" s="10" t="s">
        <v>2100</v>
      </c>
      <c r="E326" s="10" t="s">
        <v>567</v>
      </c>
      <c r="F326" s="10" t="s">
        <v>2103</v>
      </c>
      <c r="G326" s="29">
        <v>3.0</v>
      </c>
      <c r="H326" s="18">
        <v>150000.0</v>
      </c>
      <c r="I326" s="18">
        <v>450000.0</v>
      </c>
      <c r="J326" s="20" t="s">
        <v>205</v>
      </c>
      <c r="K326" s="10"/>
    </row>
    <row r="327" ht="15.75" customHeight="1">
      <c r="A327" s="10" t="s">
        <v>3699</v>
      </c>
      <c r="B327" s="10" t="s">
        <v>2106</v>
      </c>
      <c r="C327" s="13" t="str">
        <f t="array" ref="C327">IFERROR(INDEX('간병신청대장'!$B:$B,MATCH($B327,'간병신청대장'!$A:$A,0)),"")</f>
        <v>이정완</v>
      </c>
      <c r="D327" s="10" t="s">
        <v>2108</v>
      </c>
      <c r="E327" s="10" t="s">
        <v>592</v>
      </c>
      <c r="F327" s="10" t="s">
        <v>2112</v>
      </c>
      <c r="G327" s="29">
        <v>4.0</v>
      </c>
      <c r="H327" s="18">
        <v>150000.0</v>
      </c>
      <c r="I327" s="18">
        <v>600000.0</v>
      </c>
      <c r="J327" s="20" t="s">
        <v>205</v>
      </c>
      <c r="K327" s="10"/>
    </row>
    <row r="328" ht="15.75" customHeight="1">
      <c r="A328" s="10" t="s">
        <v>3707</v>
      </c>
      <c r="B328" s="10" t="s">
        <v>2117</v>
      </c>
      <c r="C328" s="13" t="str">
        <f t="array" ref="C328">IFERROR(INDEX('간병신청대장'!$B:$B,MATCH($B328,'간병신청대장'!$A:$A,0)),"")</f>
        <v>이정완</v>
      </c>
      <c r="D328" s="10" t="s">
        <v>2120</v>
      </c>
      <c r="E328" s="10" t="s">
        <v>592</v>
      </c>
      <c r="F328" s="10" t="s">
        <v>2123</v>
      </c>
      <c r="G328" s="29">
        <v>1.0</v>
      </c>
      <c r="H328" s="18">
        <v>140000.0</v>
      </c>
      <c r="I328" s="18">
        <v>140000.0</v>
      </c>
      <c r="J328" s="20" t="s">
        <v>205</v>
      </c>
      <c r="K328" s="10"/>
    </row>
    <row r="329" ht="15.75" customHeight="1">
      <c r="A329" s="10" t="s">
        <v>3710</v>
      </c>
      <c r="B329" s="10" t="s">
        <v>2152</v>
      </c>
      <c r="C329" s="13" t="str">
        <f t="array" ref="C329">IFERROR(INDEX('간병신청대장'!$B:$B,MATCH($B329,'간병신청대장'!$A:$A,0)),"")</f>
        <v>노다은</v>
      </c>
      <c r="D329" s="10" t="s">
        <v>2154</v>
      </c>
      <c r="E329" s="10" t="s">
        <v>567</v>
      </c>
      <c r="F329" s="10" t="s">
        <v>3719</v>
      </c>
      <c r="G329" s="29">
        <v>6.0</v>
      </c>
      <c r="H329" s="18">
        <v>130000.0</v>
      </c>
      <c r="I329" s="18">
        <v>780000.0</v>
      </c>
      <c r="J329" s="20" t="s">
        <v>205</v>
      </c>
      <c r="K329" s="10"/>
    </row>
    <row r="330" ht="15.75" customHeight="1">
      <c r="A330" s="10" t="s">
        <v>3720</v>
      </c>
      <c r="B330" s="10" t="s">
        <v>2152</v>
      </c>
      <c r="C330" s="13" t="str">
        <f t="array" ref="C330">IFERROR(INDEX('간병신청대장'!$B:$B,MATCH($B330,'간병신청대장'!$A:$A,0)),"")</f>
        <v>노다은</v>
      </c>
      <c r="D330" s="10" t="s">
        <v>2154</v>
      </c>
      <c r="E330" s="10" t="s">
        <v>592</v>
      </c>
      <c r="F330" s="10" t="s">
        <v>1367</v>
      </c>
      <c r="G330" s="29">
        <v>7.0</v>
      </c>
      <c r="H330" s="18">
        <v>130000.0</v>
      </c>
      <c r="I330" s="18">
        <v>882917.0</v>
      </c>
      <c r="J330" s="20" t="s">
        <v>205</v>
      </c>
      <c r="K330" s="10"/>
    </row>
    <row r="331" ht="15.75" customHeight="1">
      <c r="A331" s="10" t="s">
        <v>3723</v>
      </c>
      <c r="B331" s="10" t="s">
        <v>2162</v>
      </c>
      <c r="C331" s="13" t="str">
        <f t="array" ref="C331">IFERROR(INDEX('간병신청대장'!$B:$B,MATCH($B331,'간병신청대장'!$A:$A,0)),"")</f>
        <v>정영수</v>
      </c>
      <c r="D331" s="10" t="s">
        <v>2173</v>
      </c>
      <c r="E331" s="10" t="s">
        <v>194</v>
      </c>
      <c r="F331" s="10" t="s">
        <v>2178</v>
      </c>
      <c r="G331" s="29">
        <v>2.0</v>
      </c>
      <c r="H331" s="18">
        <v>150000.0</v>
      </c>
      <c r="I331" s="18">
        <v>300000.0</v>
      </c>
      <c r="J331" s="20" t="s">
        <v>205</v>
      </c>
      <c r="K331" s="10"/>
    </row>
    <row r="332" ht="15.75" customHeight="1">
      <c r="A332" s="10" t="s">
        <v>3725</v>
      </c>
      <c r="B332" s="10" t="s">
        <v>2181</v>
      </c>
      <c r="C332" s="13" t="str">
        <f t="array" ref="C332">IFERROR(INDEX('간병신청대장'!$B:$B,MATCH($B332,'간병신청대장'!$A:$A,0)),"")</f>
        <v>정영수</v>
      </c>
      <c r="D332" s="10" t="s">
        <v>2185</v>
      </c>
      <c r="E332" s="10" t="s">
        <v>592</v>
      </c>
      <c r="F332" s="10" t="s">
        <v>2187</v>
      </c>
      <c r="G332" s="29">
        <v>3.0</v>
      </c>
      <c r="H332" s="18">
        <v>140000.0</v>
      </c>
      <c r="I332" s="18">
        <v>420000.0</v>
      </c>
      <c r="J332" s="20" t="s">
        <v>205</v>
      </c>
      <c r="K332" s="10"/>
    </row>
    <row r="333" ht="15.75" customHeight="1">
      <c r="A333" s="10" t="s">
        <v>3727</v>
      </c>
      <c r="B333" s="10" t="s">
        <v>2190</v>
      </c>
      <c r="C333" s="13" t="str">
        <f t="array" ref="C333">IFERROR(INDEX('간병신청대장'!$B:$B,MATCH($B333,'간병신청대장'!$A:$A,0)),"")</f>
        <v>정영수</v>
      </c>
      <c r="D333" s="10" t="s">
        <v>2185</v>
      </c>
      <c r="E333" s="10" t="s">
        <v>592</v>
      </c>
      <c r="F333" s="10" t="s">
        <v>3731</v>
      </c>
      <c r="G333" s="29">
        <v>7.0</v>
      </c>
      <c r="H333" s="18">
        <v>140000.0</v>
      </c>
      <c r="I333" s="18">
        <v>980000.0</v>
      </c>
      <c r="J333" s="20" t="s">
        <v>205</v>
      </c>
      <c r="K333" s="10"/>
    </row>
    <row r="334" ht="15.75" customHeight="1">
      <c r="A334" s="10" t="s">
        <v>3733</v>
      </c>
      <c r="B334" s="10" t="s">
        <v>2190</v>
      </c>
      <c r="C334" s="13" t="str">
        <f t="array" ref="C334">IFERROR(INDEX('간병신청대장'!$B:$B,MATCH($B334,'간병신청대장'!$A:$A,0)),"")</f>
        <v>정영수</v>
      </c>
      <c r="D334" s="10" t="s">
        <v>2185</v>
      </c>
      <c r="E334" s="10" t="s">
        <v>194</v>
      </c>
      <c r="F334" s="10" t="s">
        <v>3739</v>
      </c>
      <c r="G334" s="29">
        <v>4.0</v>
      </c>
      <c r="H334" s="18">
        <v>140000.0</v>
      </c>
      <c r="I334" s="18">
        <v>560000.0</v>
      </c>
      <c r="J334" s="20" t="s">
        <v>205</v>
      </c>
      <c r="K334" s="10"/>
    </row>
    <row r="335" ht="15.75" customHeight="1">
      <c r="A335" s="10" t="s">
        <v>3740</v>
      </c>
      <c r="B335" s="10" t="s">
        <v>2197</v>
      </c>
      <c r="C335" s="13" t="str">
        <f t="array" ref="C335">IFERROR(INDEX('간병신청대장'!$B:$B,MATCH($B335,'간병신청대장'!$A:$A,0)),"")</f>
        <v>차미임</v>
      </c>
      <c r="D335" s="10" t="s">
        <v>2206</v>
      </c>
      <c r="E335" s="10" t="s">
        <v>592</v>
      </c>
      <c r="F335" s="10" t="s">
        <v>3742</v>
      </c>
      <c r="G335" s="29">
        <v>9.0</v>
      </c>
      <c r="H335" s="18">
        <v>140000.0</v>
      </c>
      <c r="I335" s="18">
        <v>1260000.0</v>
      </c>
      <c r="J335" s="20" t="s">
        <v>205</v>
      </c>
      <c r="K335" s="10"/>
    </row>
    <row r="336" ht="15.75" customHeight="1">
      <c r="A336" s="10" t="s">
        <v>3743</v>
      </c>
      <c r="B336" s="10" t="s">
        <v>2197</v>
      </c>
      <c r="C336" s="13" t="str">
        <f t="array" ref="C336">IFERROR(INDEX('간병신청대장'!$B:$B,MATCH($B336,'간병신청대장'!$A:$A,0)),"")</f>
        <v>차미임</v>
      </c>
      <c r="D336" s="10" t="s">
        <v>2206</v>
      </c>
      <c r="E336" s="10" t="s">
        <v>112</v>
      </c>
      <c r="F336" s="10" t="s">
        <v>3745</v>
      </c>
      <c r="G336" s="29">
        <v>10.0</v>
      </c>
      <c r="H336" s="18">
        <v>140000.0</v>
      </c>
      <c r="I336" s="18">
        <v>1400000.0</v>
      </c>
      <c r="J336" s="20" t="s">
        <v>205</v>
      </c>
      <c r="K336" s="10"/>
    </row>
    <row r="337" ht="15.75" customHeight="1">
      <c r="A337" s="10" t="s">
        <v>3746</v>
      </c>
      <c r="B337" s="10" t="s">
        <v>2197</v>
      </c>
      <c r="C337" s="13" t="str">
        <f t="array" ref="C337">IFERROR(INDEX('간병신청대장'!$B:$B,MATCH($B337,'간병신청대장'!$A:$A,0)),"")</f>
        <v>차미임</v>
      </c>
      <c r="D337" s="10" t="s">
        <v>2206</v>
      </c>
      <c r="E337" s="10" t="s">
        <v>194</v>
      </c>
      <c r="F337" s="10" t="s">
        <v>2210</v>
      </c>
      <c r="G337" s="29">
        <v>10.0</v>
      </c>
      <c r="H337" s="18">
        <v>140000.0</v>
      </c>
      <c r="I337" s="18">
        <v>1400000.0</v>
      </c>
      <c r="J337" s="20" t="s">
        <v>205</v>
      </c>
      <c r="K337" s="10"/>
    </row>
    <row r="338" ht="15.75" customHeight="1">
      <c r="A338" s="10" t="s">
        <v>3750</v>
      </c>
      <c r="B338" s="10" t="s">
        <v>2214</v>
      </c>
      <c r="C338" s="13" t="str">
        <f t="array" ref="C338">IFERROR(INDEX('간병신청대장'!$B:$B,MATCH($B338,'간병신청대장'!$A:$A,0)),"")</f>
        <v>유승백</v>
      </c>
      <c r="D338" s="10" t="s">
        <v>2217</v>
      </c>
      <c r="E338" s="10" t="s">
        <v>592</v>
      </c>
      <c r="F338" s="10" t="s">
        <v>3312</v>
      </c>
      <c r="G338" s="29">
        <v>9.0</v>
      </c>
      <c r="H338" s="18">
        <v>135000.0</v>
      </c>
      <c r="I338" s="18">
        <v>1215000.0</v>
      </c>
      <c r="J338" s="20" t="s">
        <v>205</v>
      </c>
      <c r="K338" s="10"/>
    </row>
    <row r="339" ht="15.75" customHeight="1">
      <c r="A339" s="10" t="s">
        <v>3752</v>
      </c>
      <c r="B339" s="10" t="s">
        <v>2214</v>
      </c>
      <c r="C339" s="13" t="str">
        <f t="array" ref="C339">IFERROR(INDEX('간병신청대장'!$B:$B,MATCH($B339,'간병신청대장'!$A:$A,0)),"")</f>
        <v>유승백</v>
      </c>
      <c r="D339" s="10" t="s">
        <v>2217</v>
      </c>
      <c r="E339" s="10" t="s">
        <v>112</v>
      </c>
      <c r="F339" s="10" t="s">
        <v>3315</v>
      </c>
      <c r="G339" s="29">
        <v>10.0</v>
      </c>
      <c r="H339" s="18">
        <v>135000.0</v>
      </c>
      <c r="I339" s="18">
        <v>1350000.0</v>
      </c>
      <c r="J339" s="20" t="s">
        <v>205</v>
      </c>
      <c r="K339" s="10"/>
    </row>
    <row r="340" ht="15.75" customHeight="1">
      <c r="A340" s="10" t="s">
        <v>3763</v>
      </c>
      <c r="B340" s="10" t="s">
        <v>2214</v>
      </c>
      <c r="C340" s="13" t="str">
        <f t="array" ref="C340">IFERROR(INDEX('간병신청대장'!$B:$B,MATCH($B340,'간병신청대장'!$A:$A,0)),"")</f>
        <v>유승백</v>
      </c>
      <c r="D340" s="10" t="s">
        <v>2217</v>
      </c>
      <c r="E340" s="10" t="s">
        <v>194</v>
      </c>
      <c r="F340" s="10" t="s">
        <v>3314</v>
      </c>
      <c r="G340" s="29">
        <v>11.0</v>
      </c>
      <c r="H340" s="18">
        <v>135000.0</v>
      </c>
      <c r="I340" s="18">
        <v>1485000.0</v>
      </c>
      <c r="J340" s="20" t="s">
        <v>205</v>
      </c>
      <c r="K340" s="10"/>
    </row>
    <row r="341" ht="15.75" customHeight="1">
      <c r="A341" s="10" t="s">
        <v>3766</v>
      </c>
      <c r="B341" s="10" t="s">
        <v>2214</v>
      </c>
      <c r="C341" s="13" t="str">
        <f t="array" ref="C341">IFERROR(INDEX('간병신청대장'!$B:$B,MATCH($B341,'간병신청대장'!$A:$A,0)),"")</f>
        <v>유승백</v>
      </c>
      <c r="D341" s="10" t="s">
        <v>2217</v>
      </c>
      <c r="E341" s="10" t="s">
        <v>622</v>
      </c>
      <c r="F341" s="10" t="s">
        <v>3322</v>
      </c>
      <c r="G341" s="29">
        <v>10.0</v>
      </c>
      <c r="H341" s="18">
        <v>135000.0</v>
      </c>
      <c r="I341" s="18">
        <v>1350000.0</v>
      </c>
      <c r="J341" s="20" t="s">
        <v>205</v>
      </c>
      <c r="K341" s="10"/>
    </row>
    <row r="342" ht="15.75" customHeight="1">
      <c r="A342" s="10" t="s">
        <v>3767</v>
      </c>
      <c r="B342" s="10" t="s">
        <v>2222</v>
      </c>
      <c r="C342" s="13" t="str">
        <f t="array" ref="C342">IFERROR(INDEX('간병신청대장'!$B:$B,MATCH($B342,'간병신청대장'!$A:$A,0)),"")</f>
        <v>김시훈</v>
      </c>
      <c r="D342" s="10" t="s">
        <v>2226</v>
      </c>
      <c r="E342" s="10" t="s">
        <v>112</v>
      </c>
      <c r="F342" s="10" t="s">
        <v>2229</v>
      </c>
      <c r="G342" s="29">
        <v>4.0</v>
      </c>
      <c r="H342" s="18">
        <v>140000.0</v>
      </c>
      <c r="I342" s="18">
        <v>560000.0</v>
      </c>
      <c r="J342" s="20" t="s">
        <v>205</v>
      </c>
      <c r="K342" s="10"/>
    </row>
    <row r="343" ht="15.75" customHeight="1">
      <c r="A343" s="10" t="s">
        <v>3769</v>
      </c>
      <c r="B343" s="10" t="s">
        <v>2232</v>
      </c>
      <c r="C343" s="13" t="str">
        <f t="array" ref="C343">IFERROR(INDEX('간병신청대장'!$B:$B,MATCH($B343,'간병신청대장'!$A:$A,0)),"")</f>
        <v>김철재</v>
      </c>
      <c r="D343" s="10" t="s">
        <v>2236</v>
      </c>
      <c r="E343" s="10" t="s">
        <v>112</v>
      </c>
      <c r="F343" s="10" t="s">
        <v>3770</v>
      </c>
      <c r="G343" s="29">
        <v>7.0</v>
      </c>
      <c r="H343" s="18">
        <v>130000.0</v>
      </c>
      <c r="I343" s="18">
        <v>910000.0</v>
      </c>
      <c r="J343" s="20" t="s">
        <v>205</v>
      </c>
      <c r="K343" s="10"/>
    </row>
    <row r="344" ht="15.75" customHeight="1">
      <c r="A344" s="10" t="s">
        <v>3772</v>
      </c>
      <c r="B344" s="10" t="s">
        <v>2232</v>
      </c>
      <c r="C344" s="13" t="str">
        <f t="array" ref="C344">IFERROR(INDEX('간병신청대장'!$B:$B,MATCH($B344,'간병신청대장'!$A:$A,0)),"")</f>
        <v>김철재</v>
      </c>
      <c r="D344" s="10" t="s">
        <v>2236</v>
      </c>
      <c r="E344" s="10" t="s">
        <v>194</v>
      </c>
      <c r="F344" s="10" t="s">
        <v>3773</v>
      </c>
      <c r="G344" s="29">
        <v>11.0</v>
      </c>
      <c r="H344" s="18">
        <v>130000.0</v>
      </c>
      <c r="I344" s="18">
        <v>1430000.0</v>
      </c>
      <c r="J344" s="20" t="s">
        <v>205</v>
      </c>
      <c r="K344" s="10"/>
    </row>
    <row r="345" ht="15.75" customHeight="1">
      <c r="A345" s="10" t="s">
        <v>3774</v>
      </c>
      <c r="B345" s="10" t="s">
        <v>2232</v>
      </c>
      <c r="C345" s="13" t="str">
        <f t="array" ref="C345">IFERROR(INDEX('간병신청대장'!$B:$B,MATCH($B345,'간병신청대장'!$A:$A,0)),"")</f>
        <v>김철재</v>
      </c>
      <c r="D345" s="10" t="s">
        <v>2236</v>
      </c>
      <c r="E345" s="10" t="s">
        <v>622</v>
      </c>
      <c r="F345" s="10" t="s">
        <v>3775</v>
      </c>
      <c r="G345" s="29">
        <v>10.0</v>
      </c>
      <c r="H345" s="18">
        <v>130000.0</v>
      </c>
      <c r="I345" s="18">
        <v>1300000.0</v>
      </c>
      <c r="J345" s="20" t="s">
        <v>205</v>
      </c>
      <c r="K345" s="10"/>
    </row>
    <row r="346" ht="15.75" customHeight="1">
      <c r="A346" s="10" t="s">
        <v>3776</v>
      </c>
      <c r="B346" s="10" t="s">
        <v>2244</v>
      </c>
      <c r="C346" s="13" t="str">
        <f t="array" ref="C346">IFERROR(INDEX('간병신청대장'!$B:$B,MATCH($B346,'간병신청대장'!$A:$A,0)),"")</f>
        <v>구상순</v>
      </c>
      <c r="D346" s="10" t="s">
        <v>2247</v>
      </c>
      <c r="E346" s="10" t="s">
        <v>112</v>
      </c>
      <c r="F346" s="10" t="s">
        <v>2250</v>
      </c>
      <c r="G346" s="29">
        <v>4.0</v>
      </c>
      <c r="H346" s="18">
        <v>150000.0</v>
      </c>
      <c r="I346" s="18">
        <v>600000.0</v>
      </c>
      <c r="J346" s="20" t="s">
        <v>205</v>
      </c>
      <c r="K346" s="10"/>
    </row>
    <row r="347" ht="15.75" customHeight="1">
      <c r="A347" s="10" t="s">
        <v>3779</v>
      </c>
      <c r="B347" s="10" t="s">
        <v>2254</v>
      </c>
      <c r="C347" s="13" t="str">
        <f t="array" ref="C347">IFERROR(INDEX('간병신청대장'!$B:$B,MATCH($B347,'간병신청대장'!$A:$A,0)),"")</f>
        <v>박옥순</v>
      </c>
      <c r="D347" s="10" t="s">
        <v>2263</v>
      </c>
      <c r="E347" s="10" t="s">
        <v>112</v>
      </c>
      <c r="F347" s="20" t="s">
        <v>2267</v>
      </c>
      <c r="G347" s="78">
        <v>7.0</v>
      </c>
      <c r="H347" s="18">
        <v>130000.0</v>
      </c>
      <c r="I347" s="18">
        <f>G347*H347</f>
        <v>910000</v>
      </c>
      <c r="J347" s="20" t="s">
        <v>205</v>
      </c>
      <c r="K347" s="20" t="s">
        <v>3780</v>
      </c>
    </row>
    <row r="348" ht="15.75" customHeight="1">
      <c r="A348" s="10" t="s">
        <v>3781</v>
      </c>
      <c r="B348" s="10" t="s">
        <v>2271</v>
      </c>
      <c r="C348" s="13" t="str">
        <f t="array" ref="C348">IFERROR(INDEX('간병신청대장'!$B:$B,MATCH($B348,'간병신청대장'!$A:$A,0)),"")</f>
        <v>이춘남</v>
      </c>
      <c r="D348" s="10" t="s">
        <v>2275</v>
      </c>
      <c r="E348" s="10" t="s">
        <v>112</v>
      </c>
      <c r="F348" s="10" t="s">
        <v>2278</v>
      </c>
      <c r="G348" s="29">
        <v>2.0</v>
      </c>
      <c r="H348" s="18">
        <v>140000.0</v>
      </c>
      <c r="I348" s="18">
        <v>280000.0</v>
      </c>
      <c r="J348" s="20" t="s">
        <v>205</v>
      </c>
      <c r="K348" s="10"/>
    </row>
    <row r="349" ht="15.75" customHeight="1">
      <c r="A349" s="10" t="s">
        <v>3783</v>
      </c>
      <c r="B349" s="10" t="s">
        <v>2291</v>
      </c>
      <c r="C349" s="13" t="str">
        <f t="array" ref="C349">IFERROR(INDEX('간병신청대장'!$B:$B,MATCH($B349,'간병신청대장'!$A:$A,0)),"")</f>
        <v>윤광자</v>
      </c>
      <c r="D349" s="10" t="s">
        <v>2302</v>
      </c>
      <c r="E349" s="10" t="s">
        <v>194</v>
      </c>
      <c r="F349" s="10" t="s">
        <v>3784</v>
      </c>
      <c r="G349" s="29">
        <v>10.0</v>
      </c>
      <c r="H349" s="18">
        <v>140000.0</v>
      </c>
      <c r="I349" s="18">
        <v>1400000.0</v>
      </c>
      <c r="J349" s="20" t="s">
        <v>205</v>
      </c>
      <c r="K349" s="10"/>
    </row>
    <row r="350" ht="15.75" customHeight="1">
      <c r="A350" s="10" t="s">
        <v>3786</v>
      </c>
      <c r="B350" s="10" t="s">
        <v>2291</v>
      </c>
      <c r="C350" s="13" t="str">
        <f t="array" ref="C350">IFERROR(INDEX('간병신청대장'!$B:$B,MATCH($B350,'간병신청대장'!$A:$A,0)),"")</f>
        <v>윤광자</v>
      </c>
      <c r="D350" s="10" t="s">
        <v>2302</v>
      </c>
      <c r="E350" s="10" t="s">
        <v>622</v>
      </c>
      <c r="F350" s="10" t="s">
        <v>3788</v>
      </c>
      <c r="G350" s="29">
        <v>10.0</v>
      </c>
      <c r="H350" s="18">
        <v>140000.0</v>
      </c>
      <c r="I350" s="18">
        <v>1400000.0</v>
      </c>
      <c r="J350" s="20" t="s">
        <v>205</v>
      </c>
      <c r="K350" s="10"/>
    </row>
    <row r="351" ht="15.75" customHeight="1">
      <c r="A351" s="10" t="s">
        <v>3789</v>
      </c>
      <c r="B351" s="10" t="s">
        <v>2291</v>
      </c>
      <c r="C351" s="13" t="str">
        <f t="array" ref="C351">IFERROR(INDEX('간병신청대장'!$B:$B,MATCH($B351,'간병신청대장'!$A:$A,0)),"")</f>
        <v>윤광자</v>
      </c>
      <c r="D351" s="10" t="s">
        <v>2302</v>
      </c>
      <c r="E351" s="10" t="s">
        <v>3791</v>
      </c>
      <c r="F351" s="10" t="s">
        <v>2306</v>
      </c>
      <c r="G351" s="29">
        <v>3.0</v>
      </c>
      <c r="H351" s="18">
        <v>140000.0</v>
      </c>
      <c r="I351" s="18">
        <v>420000.0</v>
      </c>
      <c r="J351" s="20" t="s">
        <v>205</v>
      </c>
      <c r="K351" s="10"/>
    </row>
    <row r="352" ht="15.75" customHeight="1">
      <c r="A352" s="10" t="s">
        <v>3792</v>
      </c>
      <c r="B352" s="10" t="s">
        <v>2309</v>
      </c>
      <c r="C352" s="13" t="str">
        <f t="array" ref="C352">IFERROR(INDEX('간병신청대장'!$B:$B,MATCH($B352,'간병신청대장'!$A:$A,0)),"")</f>
        <v>이춘애</v>
      </c>
      <c r="D352" s="10" t="s">
        <v>2311</v>
      </c>
      <c r="E352" s="10" t="s">
        <v>622</v>
      </c>
      <c r="F352" s="10" t="s">
        <v>2314</v>
      </c>
      <c r="G352" s="29">
        <v>14.0</v>
      </c>
      <c r="H352" s="18">
        <v>150000.0</v>
      </c>
      <c r="I352" s="18">
        <v>2100000.0</v>
      </c>
      <c r="J352" s="20" t="s">
        <v>205</v>
      </c>
      <c r="K352" s="10"/>
    </row>
    <row r="353" ht="15.75" customHeight="1">
      <c r="A353" s="10" t="s">
        <v>3801</v>
      </c>
      <c r="B353" s="10" t="s">
        <v>2317</v>
      </c>
      <c r="C353" s="13" t="str">
        <f t="array" ref="C353">IFERROR(INDEX('간병신청대장'!$B:$B,MATCH($B353,'간병신청대장'!$A:$A,0)),"")</f>
        <v>윤경자</v>
      </c>
      <c r="D353" s="10" t="s">
        <v>749</v>
      </c>
      <c r="E353" s="10" t="s">
        <v>194</v>
      </c>
      <c r="F353" s="10" t="s">
        <v>629</v>
      </c>
      <c r="G353" s="29">
        <v>9.0</v>
      </c>
      <c r="H353" s="18">
        <v>72000.0</v>
      </c>
      <c r="I353" s="18">
        <v>648000.0</v>
      </c>
      <c r="J353" s="20" t="s">
        <v>205</v>
      </c>
      <c r="K353" s="10"/>
    </row>
    <row r="354" ht="15.75" customHeight="1">
      <c r="A354" s="10" t="s">
        <v>3809</v>
      </c>
      <c r="B354" s="10" t="s">
        <v>2333</v>
      </c>
      <c r="C354" s="13" t="str">
        <f t="array" ref="C354">IFERROR(INDEX('간병신청대장'!$B:$B,MATCH($B354,'간병신청대장'!$A:$A,0)),"")</f>
        <v>박정란</v>
      </c>
      <c r="D354" s="10" t="s">
        <v>2339</v>
      </c>
      <c r="E354" s="10" t="s">
        <v>112</v>
      </c>
      <c r="F354" s="10" t="s">
        <v>2344</v>
      </c>
      <c r="G354" s="29">
        <v>1.0</v>
      </c>
      <c r="H354" s="18">
        <v>140000.0</v>
      </c>
      <c r="I354" s="18">
        <v>140000.0</v>
      </c>
      <c r="J354" s="20" t="s">
        <v>205</v>
      </c>
      <c r="K354" s="10"/>
    </row>
    <row r="355" ht="15.75" customHeight="1">
      <c r="A355" s="10" t="s">
        <v>3813</v>
      </c>
      <c r="B355" s="10" t="s">
        <v>2347</v>
      </c>
      <c r="C355" s="13" t="str">
        <f t="array" ref="C355">IFERROR(INDEX('간병신청대장'!$B:$B,MATCH($B355,'간병신청대장'!$A:$A,0)),"")</f>
        <v>박정란</v>
      </c>
      <c r="D355" s="10" t="s">
        <v>2351</v>
      </c>
      <c r="E355" s="10" t="s">
        <v>194</v>
      </c>
      <c r="F355" s="10" t="s">
        <v>3814</v>
      </c>
      <c r="G355" s="29">
        <v>10.0</v>
      </c>
      <c r="H355" s="18">
        <v>140000.0</v>
      </c>
      <c r="I355" s="18">
        <v>1400000.0</v>
      </c>
      <c r="J355" s="20" t="s">
        <v>205</v>
      </c>
      <c r="K355" s="10"/>
    </row>
    <row r="356" ht="15.75" customHeight="1">
      <c r="A356" s="27" t="s">
        <v>3816</v>
      </c>
      <c r="B356" s="27" t="s">
        <v>2347</v>
      </c>
      <c r="C356" s="80" t="str">
        <f t="array" ref="C356">IFERROR(INDEX('간병신청대장'!$B:$B,MATCH($B356,'간병신청대장'!$A:$A,0)),"")</f>
        <v>박정란</v>
      </c>
      <c r="D356" s="27" t="s">
        <v>2351</v>
      </c>
      <c r="E356" s="27" t="s">
        <v>622</v>
      </c>
      <c r="F356" s="27" t="s">
        <v>3819</v>
      </c>
      <c r="G356" s="81">
        <v>10.0</v>
      </c>
      <c r="H356" s="63">
        <v>140000.0</v>
      </c>
      <c r="I356" s="63">
        <v>1400000.0</v>
      </c>
      <c r="J356" s="23" t="s">
        <v>205</v>
      </c>
      <c r="K356" s="23"/>
    </row>
    <row r="357" ht="15.75" customHeight="1">
      <c r="A357" s="10" t="s">
        <v>3822</v>
      </c>
      <c r="B357" s="10" t="s">
        <v>2357</v>
      </c>
      <c r="C357" s="13" t="str">
        <f t="array" ref="C357">IFERROR(INDEX('간병신청대장'!$B:$B,MATCH($B357,'간병신청대장'!$A:$A,0)),"")</f>
        <v>나도선</v>
      </c>
      <c r="D357" s="10" t="s">
        <v>2185</v>
      </c>
      <c r="E357" s="10" t="s">
        <v>194</v>
      </c>
      <c r="F357" s="10" t="s">
        <v>3828</v>
      </c>
      <c r="G357" s="29">
        <v>4.0</v>
      </c>
      <c r="H357" s="18">
        <v>140000.0</v>
      </c>
      <c r="I357" s="18">
        <v>560000.0</v>
      </c>
      <c r="J357" s="20" t="s">
        <v>205</v>
      </c>
      <c r="K357" s="10"/>
    </row>
    <row r="358" ht="15.75" customHeight="1">
      <c r="A358" s="10" t="s">
        <v>3832</v>
      </c>
      <c r="B358" s="10" t="s">
        <v>2368</v>
      </c>
      <c r="C358" s="13" t="str">
        <f t="array" ref="C358">IFERROR(INDEX('간병신청대장'!$B:$B,MATCH($B358,'간병신청대장'!$A:$A,0)),"")</f>
        <v>나도선</v>
      </c>
      <c r="D358" s="10" t="s">
        <v>2371</v>
      </c>
      <c r="E358" s="10" t="s">
        <v>194</v>
      </c>
      <c r="F358" s="10" t="s">
        <v>2529</v>
      </c>
      <c r="G358" s="29">
        <v>10.0</v>
      </c>
      <c r="H358" s="18">
        <v>140000.0</v>
      </c>
      <c r="I358" s="18">
        <v>1400000.0</v>
      </c>
      <c r="J358" s="20" t="s">
        <v>205</v>
      </c>
      <c r="K358" s="10"/>
    </row>
    <row r="359" ht="15.75" customHeight="1">
      <c r="A359" s="10" t="s">
        <v>3834</v>
      </c>
      <c r="B359" s="10" t="s">
        <v>2368</v>
      </c>
      <c r="C359" s="13" t="str">
        <f t="array" ref="C359">IFERROR(INDEX('간병신청대장'!$B:$B,MATCH($B359,'간병신청대장'!$A:$A,0)),"")</f>
        <v>나도선</v>
      </c>
      <c r="D359" s="10" t="s">
        <v>2371</v>
      </c>
      <c r="E359" s="10" t="s">
        <v>622</v>
      </c>
      <c r="F359" s="10" t="s">
        <v>2078</v>
      </c>
      <c r="G359" s="29">
        <v>10.0</v>
      </c>
      <c r="H359" s="18">
        <v>140000.0</v>
      </c>
      <c r="I359" s="18">
        <v>1400000.0</v>
      </c>
      <c r="J359" s="20" t="s">
        <v>205</v>
      </c>
      <c r="K359" s="10"/>
    </row>
    <row r="360" ht="15.75" customHeight="1">
      <c r="A360" s="10" t="s">
        <v>3836</v>
      </c>
      <c r="B360" s="10" t="s">
        <v>2391</v>
      </c>
      <c r="C360" s="13" t="str">
        <f t="array" ref="C360">IFERROR(INDEX('간병신청대장'!$B:$B,MATCH($B360,'간병신청대장'!$A:$A,0)),"")</f>
        <v>김일순</v>
      </c>
      <c r="D360" s="10" t="s">
        <v>2393</v>
      </c>
      <c r="E360" s="10" t="s">
        <v>194</v>
      </c>
      <c r="F360" s="10" t="s">
        <v>2397</v>
      </c>
      <c r="G360" s="29">
        <v>2.0</v>
      </c>
      <c r="H360" s="18">
        <v>140000.0</v>
      </c>
      <c r="I360" s="18">
        <v>280000.0</v>
      </c>
      <c r="J360" s="20" t="s">
        <v>205</v>
      </c>
      <c r="K360" s="10"/>
    </row>
    <row r="361" ht="15.75" customHeight="1">
      <c r="A361" s="10" t="s">
        <v>3844</v>
      </c>
      <c r="B361" s="10" t="s">
        <v>2399</v>
      </c>
      <c r="C361" s="13" t="str">
        <f t="array" ref="C361">IFERROR(INDEX('간병신청대장'!$B:$B,MATCH($B361,'간병신청대장'!$A:$A,0)),"")</f>
        <v>홍표승</v>
      </c>
      <c r="D361" s="10" t="s">
        <v>2408</v>
      </c>
      <c r="E361" s="10" t="s">
        <v>194</v>
      </c>
      <c r="F361" s="10" t="s">
        <v>3854</v>
      </c>
      <c r="G361" s="29">
        <v>8.0</v>
      </c>
      <c r="H361" s="18">
        <v>130000.0</v>
      </c>
      <c r="I361" s="18">
        <v>1040000.0</v>
      </c>
      <c r="J361" s="20" t="s">
        <v>205</v>
      </c>
      <c r="K361" s="10"/>
    </row>
    <row r="362" ht="15.75" customHeight="1">
      <c r="A362" s="10" t="s">
        <v>3855</v>
      </c>
      <c r="B362" s="10" t="s">
        <v>2416</v>
      </c>
      <c r="C362" s="13" t="str">
        <f t="array" ref="C362">IFERROR(INDEX('간병신청대장'!$B:$B,MATCH($B362,'간병신청대장'!$A:$A,0)),"")</f>
        <v>김순종</v>
      </c>
      <c r="D362" s="10" t="s">
        <v>2419</v>
      </c>
      <c r="E362" s="10" t="s">
        <v>194</v>
      </c>
      <c r="F362" s="10" t="s">
        <v>100</v>
      </c>
      <c r="G362" s="29">
        <v>19.0</v>
      </c>
      <c r="H362" s="18">
        <v>110000.0</v>
      </c>
      <c r="I362" s="18">
        <v>2090000.0</v>
      </c>
      <c r="J362" s="20" t="s">
        <v>205</v>
      </c>
      <c r="K362" s="10"/>
    </row>
    <row r="363" ht="15.75" customHeight="1">
      <c r="A363" s="10" t="s">
        <v>3865</v>
      </c>
      <c r="B363" s="10" t="s">
        <v>2426</v>
      </c>
      <c r="C363" s="13" t="str">
        <f t="array" ref="C363">IFERROR(INDEX('간병신청대장'!$B:$B,MATCH($B363,'간병신청대장'!$A:$A,0)),"")</f>
        <v>안운자</v>
      </c>
      <c r="D363" s="10" t="s">
        <v>2431</v>
      </c>
      <c r="E363" s="10" t="s">
        <v>622</v>
      </c>
      <c r="F363" s="10" t="s">
        <v>1026</v>
      </c>
      <c r="G363" s="29">
        <v>4.0</v>
      </c>
      <c r="H363" s="18">
        <v>130000.0</v>
      </c>
      <c r="I363" s="18">
        <v>520000.0</v>
      </c>
      <c r="J363" s="20" t="s">
        <v>205</v>
      </c>
      <c r="K363" s="10"/>
    </row>
    <row r="364" ht="15.75" customHeight="1">
      <c r="A364" s="10" t="s">
        <v>3867</v>
      </c>
      <c r="B364" s="10" t="s">
        <v>2437</v>
      </c>
      <c r="C364" s="13" t="str">
        <f t="array" ref="C364">IFERROR(INDEX('간병신청대장'!$B:$B,MATCH($B364,'간병신청대장'!$A:$A,0)),"")</f>
        <v>김리아</v>
      </c>
      <c r="D364" s="10" t="s">
        <v>2449</v>
      </c>
      <c r="E364" s="10" t="s">
        <v>194</v>
      </c>
      <c r="F364" s="10" t="s">
        <v>2453</v>
      </c>
      <c r="G364" s="29">
        <v>1.0</v>
      </c>
      <c r="H364" s="18">
        <v>130000.0</v>
      </c>
      <c r="I364" s="18">
        <v>130000.0</v>
      </c>
      <c r="J364" s="20" t="s">
        <v>205</v>
      </c>
      <c r="K364" s="10"/>
    </row>
    <row r="365" ht="15.75" customHeight="1">
      <c r="A365" s="10" t="s">
        <v>3878</v>
      </c>
      <c r="B365" s="10" t="s">
        <v>2458</v>
      </c>
      <c r="C365" s="13" t="str">
        <f t="array" ref="C365">IFERROR(INDEX('간병신청대장'!$B:$B,MATCH($B365,'간병신청대장'!$A:$A,0)),"")</f>
        <v>김리아</v>
      </c>
      <c r="D365" s="10" t="s">
        <v>943</v>
      </c>
      <c r="E365" s="10" t="s">
        <v>194</v>
      </c>
      <c r="F365" s="10" t="s">
        <v>1849</v>
      </c>
      <c r="G365" s="29">
        <v>4.0</v>
      </c>
      <c r="H365" s="18">
        <v>130000.0</v>
      </c>
      <c r="I365" s="18">
        <v>520000.0</v>
      </c>
      <c r="J365" s="20" t="s">
        <v>205</v>
      </c>
      <c r="K365" s="10"/>
    </row>
    <row r="366" ht="15.75" customHeight="1">
      <c r="A366" s="10" t="s">
        <v>3886</v>
      </c>
      <c r="B366" s="10" t="s">
        <v>2464</v>
      </c>
      <c r="C366" s="13" t="str">
        <f t="array" ref="C366">IFERROR(INDEX('간병신청대장'!$B:$B,MATCH($B366,'간병신청대장'!$A:$A,0)),"")</f>
        <v>김막례</v>
      </c>
      <c r="D366" s="10" t="s">
        <v>2475</v>
      </c>
      <c r="E366" s="10" t="s">
        <v>194</v>
      </c>
      <c r="F366" s="10" t="s">
        <v>3894</v>
      </c>
      <c r="G366" s="29">
        <v>8.0</v>
      </c>
      <c r="H366" s="18">
        <v>145000.0</v>
      </c>
      <c r="I366" s="18">
        <v>1160000.0</v>
      </c>
      <c r="J366" s="20" t="s">
        <v>205</v>
      </c>
      <c r="K366" s="10"/>
    </row>
    <row r="367" ht="15.75" customHeight="1">
      <c r="A367" s="10" t="s">
        <v>3895</v>
      </c>
      <c r="B367" s="10" t="s">
        <v>2464</v>
      </c>
      <c r="C367" s="13" t="str">
        <f t="array" ref="C367">IFERROR(INDEX('간병신청대장'!$B:$B,MATCH($B367,'간병신청대장'!$A:$A,0)),"")</f>
        <v>김막례</v>
      </c>
      <c r="D367" s="10" t="s">
        <v>2475</v>
      </c>
      <c r="E367" s="10" t="s">
        <v>622</v>
      </c>
      <c r="F367" s="10" t="s">
        <v>2433</v>
      </c>
      <c r="G367" s="29">
        <v>6.0</v>
      </c>
      <c r="H367" s="18">
        <v>145000.0</v>
      </c>
      <c r="I367" s="18">
        <v>870000.0</v>
      </c>
      <c r="J367" s="20" t="s">
        <v>205</v>
      </c>
      <c r="K367" s="10"/>
    </row>
    <row r="368" ht="15.75" customHeight="1">
      <c r="A368" s="10" t="s">
        <v>3904</v>
      </c>
      <c r="B368" s="10" t="s">
        <v>2479</v>
      </c>
      <c r="C368" s="13" t="str">
        <f t="array" ref="C368">IFERROR(INDEX('간병신청대장'!$B:$B,MATCH($B368,'간병신청대장'!$A:$A,0)),"")</f>
        <v>신현주</v>
      </c>
      <c r="D368" s="10" t="s">
        <v>2485</v>
      </c>
      <c r="E368" s="10" t="s">
        <v>622</v>
      </c>
      <c r="F368" s="10" t="s">
        <v>2487</v>
      </c>
      <c r="G368" s="29">
        <v>7.0</v>
      </c>
      <c r="H368" s="18">
        <v>150000.0</v>
      </c>
      <c r="I368" s="18">
        <v>1050000.0</v>
      </c>
      <c r="J368" s="20" t="s">
        <v>205</v>
      </c>
      <c r="K368" s="10"/>
    </row>
    <row r="369" ht="15.75" customHeight="1">
      <c r="A369" s="10" t="s">
        <v>3919</v>
      </c>
      <c r="B369" s="10" t="s">
        <v>2490</v>
      </c>
      <c r="C369" s="13" t="str">
        <f t="array" ref="C369">IFERROR(INDEX('간병신청대장'!$B:$B,MATCH($B369,'간병신청대장'!$A:$A,0)),"")</f>
        <v>송영경</v>
      </c>
      <c r="D369" s="10" t="s">
        <v>2502</v>
      </c>
      <c r="E369" s="10" t="s">
        <v>622</v>
      </c>
      <c r="F369" s="10" t="s">
        <v>2594</v>
      </c>
      <c r="G369" s="29">
        <v>11.0</v>
      </c>
      <c r="H369" s="18">
        <v>135000.0</v>
      </c>
      <c r="I369" s="18">
        <v>1485000.0</v>
      </c>
      <c r="J369" s="20" t="s">
        <v>205</v>
      </c>
      <c r="K369" s="10"/>
    </row>
    <row r="370" ht="15.75" customHeight="1">
      <c r="A370" s="10" t="s">
        <v>3922</v>
      </c>
      <c r="B370" s="10" t="s">
        <v>2508</v>
      </c>
      <c r="C370" s="13" t="str">
        <f t="array" ref="C370">IFERROR(INDEX('간병신청대장'!$B:$B,MATCH($B370,'간병신청대장'!$A:$A,0)),"")</f>
        <v>최재승</v>
      </c>
      <c r="D370" s="10" t="s">
        <v>2512</v>
      </c>
      <c r="E370" s="10" t="s">
        <v>622</v>
      </c>
      <c r="F370" s="10" t="s">
        <v>2514</v>
      </c>
      <c r="G370" s="29">
        <v>12.0</v>
      </c>
      <c r="H370" s="18">
        <v>130000.0</v>
      </c>
      <c r="I370" s="18">
        <v>1560000.0</v>
      </c>
      <c r="J370" s="20" t="s">
        <v>205</v>
      </c>
      <c r="K370" s="10"/>
    </row>
    <row r="371" ht="15.75" customHeight="1">
      <c r="A371" s="10" t="s">
        <v>3933</v>
      </c>
      <c r="B371" s="10" t="s">
        <v>2517</v>
      </c>
      <c r="C371" s="13" t="str">
        <f t="array" ref="C371">IFERROR(INDEX('간병신청대장'!$B:$B,MATCH($B371,'간병신청대장'!$A:$A,0)),"")</f>
        <v>고경진</v>
      </c>
      <c r="D371" s="10" t="s">
        <v>2526</v>
      </c>
      <c r="E371" s="10" t="s">
        <v>622</v>
      </c>
      <c r="F371" s="10" t="s">
        <v>2530</v>
      </c>
      <c r="G371" s="29">
        <v>5.0</v>
      </c>
      <c r="H371" s="18">
        <v>140000.0</v>
      </c>
      <c r="I371" s="18">
        <v>700000.0</v>
      </c>
      <c r="J371" s="20" t="s">
        <v>205</v>
      </c>
      <c r="K371" s="10"/>
    </row>
    <row r="372" ht="15.75" customHeight="1">
      <c r="A372" s="10" t="s">
        <v>3943</v>
      </c>
      <c r="B372" s="10" t="s">
        <v>2532</v>
      </c>
      <c r="C372" s="31" t="s">
        <v>3944</v>
      </c>
      <c r="D372" s="10" t="s">
        <v>2536</v>
      </c>
      <c r="E372" s="10" t="s">
        <v>622</v>
      </c>
      <c r="F372" s="10" t="s">
        <v>3945</v>
      </c>
      <c r="G372" s="29">
        <v>6.0</v>
      </c>
      <c r="H372" s="18">
        <v>100000.0</v>
      </c>
      <c r="I372" s="18">
        <v>600000.0</v>
      </c>
      <c r="J372" s="20" t="s">
        <v>205</v>
      </c>
      <c r="K372" s="20" t="s">
        <v>3946</v>
      </c>
    </row>
    <row r="373" ht="15.75" customHeight="1">
      <c r="A373" s="10" t="s">
        <v>3947</v>
      </c>
      <c r="B373" s="10" t="s">
        <v>2544</v>
      </c>
      <c r="C373" s="13" t="str">
        <f t="array" ref="C373">IFERROR(INDEX('간병신청대장'!$B:$B,MATCH($B373,'간병신청대장'!$A:$A,0)),"")</f>
        <v>곽상헌</v>
      </c>
      <c r="D373" s="10" t="s">
        <v>2554</v>
      </c>
      <c r="E373" s="10" t="s">
        <v>622</v>
      </c>
      <c r="F373" s="10" t="s">
        <v>3322</v>
      </c>
      <c r="G373" s="29">
        <v>4.0</v>
      </c>
      <c r="H373" s="18">
        <v>130000.0</v>
      </c>
      <c r="I373" s="18">
        <v>520000.0</v>
      </c>
      <c r="J373" s="20" t="s">
        <v>205</v>
      </c>
      <c r="K373" s="10"/>
    </row>
    <row r="374" ht="15.75" customHeight="1">
      <c r="A374" s="10" t="s">
        <v>3955</v>
      </c>
      <c r="B374" s="10" t="s">
        <v>2571</v>
      </c>
      <c r="C374" s="13" t="str">
        <f t="array" ref="C374">IFERROR(INDEX('간병신청대장'!$B:$B,MATCH($B374,'간병신청대장'!$A:$A,0)),"")</f>
        <v>설아림</v>
      </c>
      <c r="D374" s="10" t="s">
        <v>2582</v>
      </c>
      <c r="E374" s="10" t="s">
        <v>622</v>
      </c>
      <c r="F374" s="10" t="s">
        <v>2488</v>
      </c>
      <c r="G374" s="29">
        <v>4.0</v>
      </c>
      <c r="H374" s="18">
        <v>135000.0</v>
      </c>
      <c r="I374" s="18">
        <v>540000.0</v>
      </c>
      <c r="J374" s="20" t="s">
        <v>205</v>
      </c>
      <c r="K374" s="10"/>
    </row>
    <row r="375" ht="15.75" customHeight="1">
      <c r="A375" s="10" t="s">
        <v>3964</v>
      </c>
      <c r="B375" s="10" t="s">
        <v>2588</v>
      </c>
      <c r="C375" s="13" t="str">
        <f t="array" ref="C375">IFERROR(INDEX('간병신청대장'!$B:$B,MATCH($B375,'간병신청대장'!$A:$A,0)),"")</f>
        <v>장옥영</v>
      </c>
      <c r="D375" s="10" t="s">
        <v>2592</v>
      </c>
      <c r="E375" s="10" t="s">
        <v>3791</v>
      </c>
      <c r="F375" s="10" t="s">
        <v>2595</v>
      </c>
      <c r="G375" s="29">
        <v>5.0</v>
      </c>
      <c r="H375" s="18">
        <v>130000.0</v>
      </c>
      <c r="I375" s="18">
        <v>650000.0</v>
      </c>
      <c r="J375" s="20" t="s">
        <v>205</v>
      </c>
      <c r="K375" s="10"/>
    </row>
    <row r="376" ht="15.75" customHeight="1">
      <c r="A376" s="10" t="s">
        <v>3968</v>
      </c>
      <c r="B376" s="20" t="s">
        <v>2618</v>
      </c>
      <c r="C376" s="13" t="str">
        <f t="array" ref="C376">IFERROR(INDEX('간병신청대장'!$B:$B,MATCH($B376,'간병신청대장'!$A:$A,0)),"")</f>
        <v>이기흥</v>
      </c>
      <c r="D376" s="10" t="s">
        <v>2623</v>
      </c>
      <c r="E376" s="10" t="s">
        <v>3791</v>
      </c>
      <c r="F376" s="20" t="s">
        <v>2628</v>
      </c>
      <c r="G376" s="78">
        <v>9.0</v>
      </c>
      <c r="H376" s="18">
        <v>140000.0</v>
      </c>
      <c r="I376" s="8">
        <f t="shared" ref="I376:I501" si="1">G376*H376</f>
        <v>1260000</v>
      </c>
      <c r="J376" s="64" t="s">
        <v>205</v>
      </c>
      <c r="K376" s="83"/>
    </row>
    <row r="377" ht="15.75" customHeight="1">
      <c r="A377" s="10" t="s">
        <v>3980</v>
      </c>
      <c r="B377" s="10" t="s">
        <v>2571</v>
      </c>
      <c r="C377" s="13" t="str">
        <f t="array" ref="C377">IFERROR(INDEX('간병신청대장'!$B:$B,MATCH($B377,'간병신청대장'!$A:$A,0)),"")</f>
        <v>설아림</v>
      </c>
      <c r="D377" s="64" t="s">
        <v>2582</v>
      </c>
      <c r="E377" s="10" t="s">
        <v>3791</v>
      </c>
      <c r="F377" s="20" t="s">
        <v>3932</v>
      </c>
      <c r="G377" s="84">
        <v>4.0</v>
      </c>
      <c r="H377" s="18">
        <v>135000.0</v>
      </c>
      <c r="I377" s="8">
        <f t="shared" si="1"/>
        <v>540000</v>
      </c>
      <c r="J377" s="20" t="s">
        <v>205</v>
      </c>
      <c r="K377" s="85"/>
    </row>
    <row r="378" ht="15.75" customHeight="1">
      <c r="A378" s="10" t="s">
        <v>3984</v>
      </c>
      <c r="B378" s="10" t="s">
        <v>2571</v>
      </c>
      <c r="C378" s="13" t="str">
        <f t="array" ref="C378">IFERROR(INDEX('간병신청대장'!$B:$B,MATCH($B378,'간병신청대장'!$A:$A,0)),"")</f>
        <v>설아림</v>
      </c>
      <c r="D378" s="64" t="s">
        <v>2582</v>
      </c>
      <c r="E378" s="10" t="s">
        <v>3791</v>
      </c>
      <c r="F378" s="20" t="s">
        <v>3987</v>
      </c>
      <c r="G378" s="84">
        <v>4.0</v>
      </c>
      <c r="H378" s="18">
        <v>135000.0</v>
      </c>
      <c r="I378" s="8">
        <f t="shared" si="1"/>
        <v>540000</v>
      </c>
      <c r="J378" s="64" t="s">
        <v>205</v>
      </c>
      <c r="K378" s="85"/>
    </row>
    <row r="379" ht="15.75" customHeight="1">
      <c r="A379" s="10" t="s">
        <v>3992</v>
      </c>
      <c r="B379" s="10" t="s">
        <v>2673</v>
      </c>
      <c r="C379" s="64" t="s">
        <v>3995</v>
      </c>
      <c r="D379" s="64" t="s">
        <v>2686</v>
      </c>
      <c r="E379" s="10" t="s">
        <v>3791</v>
      </c>
      <c r="F379" s="20" t="s">
        <v>3987</v>
      </c>
      <c r="G379" s="84">
        <v>4.0</v>
      </c>
      <c r="H379" s="8">
        <v>160000.0</v>
      </c>
      <c r="I379" s="8">
        <f t="shared" si="1"/>
        <v>640000</v>
      </c>
      <c r="J379" s="64" t="s">
        <v>205</v>
      </c>
      <c r="K379" s="85"/>
    </row>
    <row r="380" ht="15.75" customHeight="1">
      <c r="A380" s="10" t="s">
        <v>4000</v>
      </c>
      <c r="B380" s="10" t="s">
        <v>1036</v>
      </c>
      <c r="C380" s="64" t="s">
        <v>4002</v>
      </c>
      <c r="D380" s="64" t="s">
        <v>1028</v>
      </c>
      <c r="E380" s="10" t="s">
        <v>3791</v>
      </c>
      <c r="F380" s="20" t="s">
        <v>4003</v>
      </c>
      <c r="G380" s="84">
        <v>8.0</v>
      </c>
      <c r="H380" s="8">
        <v>150000.0</v>
      </c>
      <c r="I380" s="8">
        <f t="shared" si="1"/>
        <v>1200000</v>
      </c>
      <c r="J380" s="64" t="s">
        <v>205</v>
      </c>
      <c r="K380" s="83"/>
    </row>
    <row r="381" ht="15.75" customHeight="1">
      <c r="A381" s="10" t="s">
        <v>4004</v>
      </c>
      <c r="B381" s="10" t="s">
        <v>203</v>
      </c>
      <c r="C381" s="13" t="str">
        <f t="array" ref="C381">IFERROR(INDEX('간병신청대장'!$B:$B,MATCH($B381,'간병신청대장'!$A:$A,0)),"")</f>
        <v>심윤주 </v>
      </c>
      <c r="D381" s="10" t="s">
        <v>225</v>
      </c>
      <c r="E381" s="10" t="s">
        <v>3791</v>
      </c>
      <c r="F381" s="20" t="s">
        <v>4005</v>
      </c>
      <c r="G381" s="84">
        <v>10.0</v>
      </c>
      <c r="H381" s="19">
        <v>130000.0</v>
      </c>
      <c r="I381" s="8">
        <f t="shared" si="1"/>
        <v>1300000</v>
      </c>
      <c r="J381" s="64" t="s">
        <v>205</v>
      </c>
      <c r="K381" s="85"/>
    </row>
    <row r="382" ht="15.75" customHeight="1">
      <c r="A382" s="10" t="s">
        <v>4015</v>
      </c>
      <c r="B382" s="10" t="s">
        <v>1090</v>
      </c>
      <c r="C382" s="13" t="str">
        <f t="array" ref="C382">IFERROR(INDEX('간병신청대장'!$B:$B,MATCH($B382,'간병신청대장'!$A:$A,0)),"")</f>
        <v>지영희</v>
      </c>
      <c r="D382" s="10" t="s">
        <v>1095</v>
      </c>
      <c r="E382" s="10" t="s">
        <v>3791</v>
      </c>
      <c r="F382" s="20" t="s">
        <v>4003</v>
      </c>
      <c r="G382" s="84">
        <v>10.0</v>
      </c>
      <c r="H382" s="66">
        <v>135000.0</v>
      </c>
      <c r="I382" s="8">
        <f t="shared" si="1"/>
        <v>1350000</v>
      </c>
      <c r="J382" s="64" t="s">
        <v>205</v>
      </c>
      <c r="K382" s="85"/>
    </row>
    <row r="383" ht="15.75" customHeight="1">
      <c r="A383" s="10" t="s">
        <v>4017</v>
      </c>
      <c r="B383" s="10" t="s">
        <v>2490</v>
      </c>
      <c r="C383" s="13" t="str">
        <f t="array" ref="C383">IFERROR(INDEX('간병신청대장'!$B:$B,MATCH($B383,'간병신청대장'!$A:$A,0)),"")</f>
        <v>송영경</v>
      </c>
      <c r="D383" s="10" t="s">
        <v>2502</v>
      </c>
      <c r="E383" s="10" t="s">
        <v>3791</v>
      </c>
      <c r="F383" s="20" t="s">
        <v>4003</v>
      </c>
      <c r="G383" s="84">
        <v>10.0</v>
      </c>
      <c r="H383" s="66">
        <v>135000.0</v>
      </c>
      <c r="I383" s="8">
        <f t="shared" si="1"/>
        <v>1350000</v>
      </c>
      <c r="J383" s="64" t="s">
        <v>205</v>
      </c>
      <c r="K383" s="85"/>
    </row>
    <row r="384" ht="15.75" customHeight="1">
      <c r="A384" s="10" t="s">
        <v>4024</v>
      </c>
      <c r="B384" s="10" t="s">
        <v>1244</v>
      </c>
      <c r="C384" s="13" t="str">
        <f t="array" ref="C384">IFERROR(INDEX('간병신청대장'!$B:$B,MATCH($B384,'간병신청대장'!$A:$A,0)),"")</f>
        <v>문영해</v>
      </c>
      <c r="D384" s="10" t="s">
        <v>1252</v>
      </c>
      <c r="E384" s="10" t="s">
        <v>3791</v>
      </c>
      <c r="F384" s="20" t="s">
        <v>4003</v>
      </c>
      <c r="G384" s="84">
        <v>10.0</v>
      </c>
      <c r="H384" s="64">
        <v>139500.0</v>
      </c>
      <c r="I384" s="8">
        <f t="shared" si="1"/>
        <v>1395000</v>
      </c>
      <c r="J384" s="64" t="s">
        <v>205</v>
      </c>
      <c r="K384" s="85"/>
    </row>
    <row r="385" ht="15.75" customHeight="1">
      <c r="A385" s="10" t="s">
        <v>4026</v>
      </c>
      <c r="B385" s="10" t="s">
        <v>1434</v>
      </c>
      <c r="C385" s="13" t="str">
        <f t="array" ref="C385">IFERROR(INDEX('간병신청대장'!$B:$B,MATCH($B385,'간병신청대장'!$A:$A,0)),"")</f>
        <v>김국선</v>
      </c>
      <c r="D385" s="10" t="s">
        <v>1439</v>
      </c>
      <c r="E385" s="10" t="s">
        <v>3791</v>
      </c>
      <c r="F385" s="20" t="s">
        <v>4003</v>
      </c>
      <c r="G385" s="84">
        <v>10.0</v>
      </c>
      <c r="H385" s="66">
        <v>140000.0</v>
      </c>
      <c r="I385" s="8">
        <f t="shared" si="1"/>
        <v>1400000</v>
      </c>
      <c r="J385" s="64" t="s">
        <v>205</v>
      </c>
      <c r="K385" s="85"/>
    </row>
    <row r="386" ht="15.75" customHeight="1">
      <c r="A386" s="10" t="s">
        <v>4034</v>
      </c>
      <c r="B386" s="10" t="s">
        <v>1370</v>
      </c>
      <c r="C386" s="64" t="s">
        <v>2737</v>
      </c>
      <c r="D386" s="64" t="s">
        <v>4035</v>
      </c>
      <c r="E386" s="10" t="s">
        <v>3791</v>
      </c>
      <c r="F386" s="20" t="s">
        <v>4003</v>
      </c>
      <c r="G386" s="84">
        <v>10.0</v>
      </c>
      <c r="H386" s="66">
        <v>135000.0</v>
      </c>
      <c r="I386" s="8">
        <f t="shared" si="1"/>
        <v>1350000</v>
      </c>
      <c r="J386" s="64" t="s">
        <v>205</v>
      </c>
      <c r="K386" s="85"/>
    </row>
    <row r="387" ht="15.75" customHeight="1">
      <c r="A387" s="10" t="s">
        <v>4036</v>
      </c>
      <c r="B387" s="10" t="s">
        <v>1551</v>
      </c>
      <c r="C387" s="13" t="str">
        <f t="array" ref="C387">IFERROR(INDEX('간병신청대장'!$B:$B,MATCH($B387,'간병신청대장'!$A:$A,0)),"")</f>
        <v>이재철</v>
      </c>
      <c r="D387" s="10" t="s">
        <v>1555</v>
      </c>
      <c r="E387" s="10" t="s">
        <v>3791</v>
      </c>
      <c r="F387" s="20" t="s">
        <v>4003</v>
      </c>
      <c r="G387" s="84">
        <v>10.0</v>
      </c>
      <c r="H387" s="66">
        <v>140000.0</v>
      </c>
      <c r="I387" s="8">
        <f t="shared" si="1"/>
        <v>1400000</v>
      </c>
      <c r="J387" s="64" t="s">
        <v>205</v>
      </c>
      <c r="K387" s="85"/>
    </row>
    <row r="388" ht="15.75" customHeight="1">
      <c r="A388" s="10" t="s">
        <v>4039</v>
      </c>
      <c r="B388" s="10" t="s">
        <v>1774</v>
      </c>
      <c r="C388" s="13" t="str">
        <f t="array" ref="C388">IFERROR(INDEX('간병신청대장'!$B:$B,MATCH($B388,'간병신청대장'!$A:$A,0)),"")</f>
        <v>이향주</v>
      </c>
      <c r="D388" s="10" t="s">
        <v>1780</v>
      </c>
      <c r="E388" s="10" t="s">
        <v>3791</v>
      </c>
      <c r="F388" s="20" t="s">
        <v>4003</v>
      </c>
      <c r="G388" s="84">
        <v>8.0</v>
      </c>
      <c r="H388" s="66">
        <v>130000.0</v>
      </c>
      <c r="I388" s="8">
        <f t="shared" si="1"/>
        <v>1040000</v>
      </c>
      <c r="J388" s="64" t="s">
        <v>205</v>
      </c>
      <c r="K388" s="83"/>
    </row>
    <row r="389" ht="15.75" customHeight="1">
      <c r="A389" s="10" t="s">
        <v>4047</v>
      </c>
      <c r="B389" s="10" t="s">
        <v>1888</v>
      </c>
      <c r="C389" s="13" t="str">
        <f t="array" ref="C389">IFERROR(INDEX('간병신청대장'!$B:$B,MATCH($B389,'간병신청대장'!$A:$A,0)),"")</f>
        <v>유수분</v>
      </c>
      <c r="D389" s="10" t="s">
        <v>3535</v>
      </c>
      <c r="E389" s="10" t="s">
        <v>3791</v>
      </c>
      <c r="F389" s="20" t="s">
        <v>4003</v>
      </c>
      <c r="G389" s="84">
        <v>10.0</v>
      </c>
      <c r="H389" s="66">
        <v>130000.0</v>
      </c>
      <c r="I389" s="8">
        <f t="shared" si="1"/>
        <v>1300000</v>
      </c>
      <c r="J389" s="64" t="s">
        <v>205</v>
      </c>
      <c r="K389" s="85"/>
    </row>
    <row r="390" ht="15.75" customHeight="1">
      <c r="A390" s="10" t="s">
        <v>4050</v>
      </c>
      <c r="B390" s="10" t="s">
        <v>2075</v>
      </c>
      <c r="C390" s="13" t="str">
        <f t="array" ref="C390">IFERROR(INDEX('간병신청대장'!$B:$B,MATCH($B390,'간병신청대장'!$A:$A,0)),"")</f>
        <v>김용식</v>
      </c>
      <c r="D390" s="10" t="s">
        <v>2077</v>
      </c>
      <c r="E390" s="10" t="s">
        <v>3791</v>
      </c>
      <c r="F390" s="20" t="s">
        <v>4003</v>
      </c>
      <c r="G390" s="84">
        <v>10.0</v>
      </c>
      <c r="H390" s="66">
        <v>140000.0</v>
      </c>
      <c r="I390" s="8">
        <f t="shared" si="1"/>
        <v>1400000</v>
      </c>
      <c r="J390" s="64" t="s">
        <v>205</v>
      </c>
      <c r="K390" s="85"/>
    </row>
    <row r="391" ht="15.75" customHeight="1">
      <c r="A391" s="10" t="s">
        <v>4059</v>
      </c>
      <c r="B391" s="10" t="s">
        <v>2214</v>
      </c>
      <c r="C391" s="64" t="str">
        <f t="array" ref="C391">IFERROR(INDEX('간병인배정'!$C:$C,MATCH($B391,'간병인배정'!$B:$B,0)),"")</f>
        <v>유승백</v>
      </c>
      <c r="D391" s="64" t="str">
        <f t="array" ref="D391">IFERROR(INDEX('간병인배정'!$D:$D,MATCH($B391,'간병인배정'!$B:$B,0)),"")</f>
        <v>김경숙</v>
      </c>
      <c r="E391" s="10" t="s">
        <v>3791</v>
      </c>
      <c r="F391" s="20" t="s">
        <v>4003</v>
      </c>
      <c r="G391" s="84">
        <v>10.0</v>
      </c>
      <c r="H391" s="66">
        <v>135000.0</v>
      </c>
      <c r="I391" s="8">
        <f t="shared" si="1"/>
        <v>1350000</v>
      </c>
      <c r="J391" s="64" t="s">
        <v>205</v>
      </c>
      <c r="K391" s="85"/>
    </row>
    <row r="392" ht="15.75" customHeight="1">
      <c r="A392" s="10" t="s">
        <v>4063</v>
      </c>
      <c r="B392" s="10" t="s">
        <v>2232</v>
      </c>
      <c r="C392" s="64" t="str">
        <f t="array" ref="C392">IFERROR(INDEX('간병인배정'!$C:$C,MATCH($B392,'간병인배정'!$B:$B,0)),"")</f>
        <v>김철재</v>
      </c>
      <c r="D392" s="64" t="str">
        <f t="array" ref="D392">IFERROR(INDEX('간병인배정'!$D:$D,MATCH($B392,'간병인배정'!$B:$B,0)),"")</f>
        <v>이성옥</v>
      </c>
      <c r="E392" s="10" t="s">
        <v>3791</v>
      </c>
      <c r="F392" s="20" t="s">
        <v>4005</v>
      </c>
      <c r="G392" s="84">
        <v>10.0</v>
      </c>
      <c r="H392" s="66">
        <v>130000.0</v>
      </c>
      <c r="I392" s="8">
        <f t="shared" si="1"/>
        <v>1300000</v>
      </c>
      <c r="J392" s="64" t="s">
        <v>205</v>
      </c>
      <c r="K392" s="85"/>
    </row>
    <row r="393" ht="15.75" customHeight="1">
      <c r="A393" s="10" t="s">
        <v>4066</v>
      </c>
      <c r="B393" s="20" t="s">
        <v>2609</v>
      </c>
      <c r="C393" s="64" t="str">
        <f t="array" ref="C393">IFERROR(INDEX('간병인배정'!$C:$C,MATCH($B393,'간병인배정'!$B:$B,0)),"")</f>
        <v>정대석</v>
      </c>
      <c r="D393" s="64" t="str">
        <f t="array" ref="D393">IFERROR(INDEX('간병인배정'!$D:$D,MATCH($B393,'간병인배정'!$B:$B,0)),"")</f>
        <v>방여숙</v>
      </c>
      <c r="E393" s="10" t="s">
        <v>3791</v>
      </c>
      <c r="F393" s="20" t="str">
        <f t="array" ref="F393">IFERROR(INDEX('간병인배정'!$M:$M,MATCH($B393,'간병인배정'!$B:$B,0)),"")</f>
        <v>2026.08.19.10:40</v>
      </c>
      <c r="G393" s="84">
        <v>12.0</v>
      </c>
      <c r="H393" s="66">
        <v>135000.0</v>
      </c>
      <c r="I393" s="8">
        <f t="shared" si="1"/>
        <v>1620000</v>
      </c>
      <c r="J393" s="64" t="s">
        <v>205</v>
      </c>
      <c r="K393" s="85"/>
    </row>
    <row r="394" ht="15.75" customHeight="1">
      <c r="A394" s="10" t="s">
        <v>4072</v>
      </c>
      <c r="B394" s="10" t="s">
        <v>2091</v>
      </c>
      <c r="C394" s="64" t="str">
        <f t="array" ref="C394">IFERROR(INDEX('간병인배정'!$C:$C,MATCH($B394,'간병인배정'!$B:$B,0)),"")</f>
        <v>홍정숙</v>
      </c>
      <c r="D394" s="64" t="str">
        <f t="array" ref="D394">IFERROR(INDEX('간병인배정'!$D:$D,MATCH($B394,'간병인배정'!$B:$B,0)),"")</f>
        <v>홍묘숙</v>
      </c>
      <c r="E394" s="10" t="s">
        <v>3791</v>
      </c>
      <c r="F394" s="20" t="s">
        <v>4003</v>
      </c>
      <c r="G394" s="84">
        <v>10.0</v>
      </c>
      <c r="H394" s="66">
        <v>145000.0</v>
      </c>
      <c r="I394" s="8">
        <f t="shared" si="1"/>
        <v>1450000</v>
      </c>
      <c r="J394" s="64" t="s">
        <v>205</v>
      </c>
      <c r="K394" s="85"/>
    </row>
    <row r="395" ht="15.75" customHeight="1">
      <c r="A395" s="10" t="s">
        <v>4073</v>
      </c>
      <c r="B395" s="10" t="s">
        <v>2631</v>
      </c>
      <c r="C395" s="64" t="str">
        <f t="array" ref="C395">IFERROR(INDEX('간병인배정'!$C:$C,MATCH($B395,'간병인배정'!$B:$B,0)),"")</f>
        <v>강종미</v>
      </c>
      <c r="D395" s="64" t="str">
        <f t="array" ref="D395">IFERROR(INDEX('간병인배정'!$D:$D,MATCH($B395,'간병인배정'!$B:$B,0)),"")</f>
        <v>김대영</v>
      </c>
      <c r="E395" s="10" t="s">
        <v>3791</v>
      </c>
      <c r="F395" s="20" t="s">
        <v>4003</v>
      </c>
      <c r="G395" s="84">
        <v>9.0</v>
      </c>
      <c r="H395" s="66">
        <v>130000.0</v>
      </c>
      <c r="I395" s="8">
        <f t="shared" si="1"/>
        <v>1170000</v>
      </c>
      <c r="J395" s="64" t="s">
        <v>205</v>
      </c>
      <c r="K395" s="85"/>
    </row>
    <row r="396" ht="15.75" customHeight="1">
      <c r="A396" s="10" t="s">
        <v>4082</v>
      </c>
      <c r="B396" s="20" t="s">
        <v>63</v>
      </c>
      <c r="C396" s="64" t="str">
        <f t="array" ref="C396">IFERROR(INDEX('간병인배정'!$C:$C,MATCH($B396,'간병인배정'!$B:$B,0)),"")</f>
        <v>김옥경</v>
      </c>
      <c r="D396" s="64" t="str">
        <f t="array" ref="D396">IFERROR(INDEX('간병인배정'!$D:$D,MATCH($B396,'간병인배정'!$B:$B,0)),"")</f>
        <v>박선득</v>
      </c>
      <c r="E396" s="20" t="s">
        <v>3979</v>
      </c>
      <c r="F396" s="20" t="str">
        <f t="array" ref="F396">IFERROR(INDEX('간병인배정'!$M:$M,MATCH($B396,'간병인배정'!$B:$B,0)),"")</f>
        <v>2025.11.12 16:00</v>
      </c>
      <c r="G396" s="84">
        <v>2.0</v>
      </c>
      <c r="H396" s="66">
        <v>92000.0</v>
      </c>
      <c r="I396" s="8">
        <f t="shared" si="1"/>
        <v>184000</v>
      </c>
      <c r="J396" s="64" t="s">
        <v>205</v>
      </c>
      <c r="K396" s="85"/>
    </row>
    <row r="397" ht="15.75" customHeight="1">
      <c r="A397" s="10" t="s">
        <v>4093</v>
      </c>
      <c r="B397" s="20" t="s">
        <v>121</v>
      </c>
      <c r="C397" s="64" t="str">
        <f t="array" ref="C397">IFERROR(INDEX('간병인배정'!$C:$C,MATCH($B397,'간병인배정'!$B:$B,0)),"")</f>
        <v>박지원</v>
      </c>
      <c r="D397" s="64" t="str">
        <f t="array" ref="D397">IFERROR(INDEX('간병인배정'!$D:$D,MATCH($B397,'간병인배정'!$B:$B,0)),"")</f>
        <v>신현정</v>
      </c>
      <c r="E397" s="20" t="s">
        <v>3982</v>
      </c>
      <c r="F397" s="20" t="str">
        <f t="array" ref="F397">IFERROR(INDEX('간병인배정'!$M:$M,MATCH($B397,'간병인배정'!$B:$B,0)),"")</f>
        <v>2025.12.30 16:00</v>
      </c>
      <c r="G397" s="84">
        <v>8.0</v>
      </c>
      <c r="H397" s="66">
        <v>80000.0</v>
      </c>
      <c r="I397" s="8">
        <f t="shared" si="1"/>
        <v>640000</v>
      </c>
      <c r="J397" s="64" t="s">
        <v>205</v>
      </c>
      <c r="K397" s="85"/>
    </row>
    <row r="398" ht="15.75" customHeight="1">
      <c r="A398" s="10" t="s">
        <v>4104</v>
      </c>
      <c r="B398" s="20" t="s">
        <v>356</v>
      </c>
      <c r="C398" s="64" t="str">
        <f t="array" ref="C398">IFERROR(INDEX('간병인배정'!$C:$C,MATCH($B398,'간병인배정'!$B:$B,0)),"")</f>
        <v>이윤진</v>
      </c>
      <c r="D398" s="64" t="str">
        <f t="array" ref="D398">IFERROR(INDEX('간병인배정'!$D:$D,MATCH($B398,'간병인배정'!$B:$B,0)),"")</f>
        <v>신현정</v>
      </c>
      <c r="E398" s="20" t="s">
        <v>3991</v>
      </c>
      <c r="F398" s="20" t="str">
        <f t="array" ref="F398">IFERROR(INDEX('간병인배정'!$M:$M,MATCH($B398,'간병인배정'!$B:$B,0)),"")</f>
        <v>2026.01.31 16:00</v>
      </c>
      <c r="G398" s="84">
        <v>3.0</v>
      </c>
      <c r="H398" s="66">
        <v>80000.0</v>
      </c>
      <c r="I398" s="8">
        <f t="shared" si="1"/>
        <v>240000</v>
      </c>
      <c r="J398" s="64" t="s">
        <v>205</v>
      </c>
      <c r="K398" s="85"/>
    </row>
    <row r="399" ht="15.75" customHeight="1">
      <c r="A399" s="10" t="s">
        <v>4119</v>
      </c>
      <c r="B399" s="10" t="s">
        <v>2663</v>
      </c>
      <c r="C399" s="64" t="str">
        <f t="array" ref="C399">IFERROR(INDEX('간병인배정'!$C:$C,MATCH($B399,'간병인배정'!$B:$B,0)),"")</f>
        <v>이원주</v>
      </c>
      <c r="D399" s="64" t="str">
        <f t="array" ref="D399">IFERROR(INDEX('간병인배정'!$D:$D,MATCH($B399,'간병인배정'!$B:$B,0)),"")</f>
        <v>서동화</v>
      </c>
      <c r="E399" s="10" t="s">
        <v>3791</v>
      </c>
      <c r="F399" s="20" t="str">
        <f t="array" ref="F399">IFERROR(INDEX('간병인배정'!$M:$M,MATCH($B399,'간병인배정'!$B:$B,0)),"")</f>
        <v>2026.08.21 17:00</v>
      </c>
      <c r="G399" s="84">
        <v>3.0</v>
      </c>
      <c r="H399" s="66">
        <v>140000.0</v>
      </c>
      <c r="I399" s="8">
        <f t="shared" si="1"/>
        <v>420000</v>
      </c>
      <c r="J399" s="64" t="s">
        <v>205</v>
      </c>
      <c r="K399" s="85"/>
    </row>
    <row r="400" ht="15.75" customHeight="1">
      <c r="A400" s="10" t="s">
        <v>4127</v>
      </c>
      <c r="B400" s="10" t="s">
        <v>2794</v>
      </c>
      <c r="C400" s="64" t="str">
        <f t="array" ref="C400">IFERROR(INDEX('간병인배정'!$C:$C,MATCH($B400,'간병인배정'!$B:$B,0)),"")</f>
        <v>곽은정</v>
      </c>
      <c r="D400" s="64" t="str">
        <f t="array" ref="D400">IFERROR(INDEX('간병인배정'!$D:$D,MATCH($B400,'간병인배정'!$B:$B,0)),"")</f>
        <v>박제아</v>
      </c>
      <c r="E400" s="10" t="s">
        <v>3791</v>
      </c>
      <c r="F400" s="20" t="str">
        <f t="array" ref="F400">IFERROR(INDEX('간병인배정'!$M:$M,MATCH($B400,'간병인배정'!$B:$B,0)),"")</f>
        <v>2026.08.19 18:00</v>
      </c>
      <c r="G400" s="84">
        <v>7.0</v>
      </c>
      <c r="H400" s="66">
        <v>80000.0</v>
      </c>
      <c r="I400" s="8">
        <f t="shared" si="1"/>
        <v>560000</v>
      </c>
      <c r="J400" s="64" t="s">
        <v>205</v>
      </c>
      <c r="K400" s="85"/>
    </row>
    <row r="401" ht="15.75" customHeight="1">
      <c r="A401" s="10" t="s">
        <v>4140</v>
      </c>
      <c r="B401" s="20" t="s">
        <v>2713</v>
      </c>
      <c r="C401" s="13" t="str">
        <f t="array" ref="C401">IFERROR(INDEX('간병신청대장'!$B:$B,MATCH($B401,'간병신청대장'!$A:$A,0)),"")</f>
        <v>김홍철</v>
      </c>
      <c r="D401" s="64" t="s">
        <v>2724</v>
      </c>
      <c r="E401" s="10" t="s">
        <v>3791</v>
      </c>
      <c r="F401" s="20" t="s">
        <v>2728</v>
      </c>
      <c r="G401" s="84">
        <v>2.0</v>
      </c>
      <c r="H401" s="66">
        <v>135000.0</v>
      </c>
      <c r="I401" s="8">
        <f t="shared" si="1"/>
        <v>270000</v>
      </c>
      <c r="J401" s="64" t="s">
        <v>205</v>
      </c>
      <c r="K401" s="85"/>
    </row>
    <row r="402" ht="15.75" customHeight="1">
      <c r="A402" s="10" t="s">
        <v>4143</v>
      </c>
      <c r="B402" s="10" t="s">
        <v>1370</v>
      </c>
      <c r="C402" s="13" t="str">
        <f t="array" ref="C402">IFERROR(INDEX('간병신청대장'!$B:$B,MATCH($B402,'간병신청대장'!$A:$A,0)),"")</f>
        <v>구성란</v>
      </c>
      <c r="D402" s="10" t="s">
        <v>1375</v>
      </c>
      <c r="E402" s="10" t="s">
        <v>3791</v>
      </c>
      <c r="F402" s="20" t="s">
        <v>1377</v>
      </c>
      <c r="G402" s="84">
        <v>4.0</v>
      </c>
      <c r="H402" s="66">
        <v>135000.0</v>
      </c>
      <c r="I402" s="8">
        <f t="shared" si="1"/>
        <v>540000</v>
      </c>
      <c r="J402" s="64" t="s">
        <v>205</v>
      </c>
      <c r="K402" s="85"/>
    </row>
    <row r="403" ht="15.75" customHeight="1">
      <c r="A403" s="10" t="s">
        <v>4150</v>
      </c>
      <c r="B403" s="10" t="s">
        <v>203</v>
      </c>
      <c r="C403" s="13" t="str">
        <f t="array" ref="C403">IFERROR(INDEX('간병신청대장'!$B:$B,MATCH($B403,'간병신청대장'!$A:$A,0)),"")</f>
        <v>심윤주 </v>
      </c>
      <c r="D403" s="10" t="s">
        <v>225</v>
      </c>
      <c r="E403" s="10" t="s">
        <v>3791</v>
      </c>
      <c r="F403" s="20" t="s">
        <v>4153</v>
      </c>
      <c r="G403" s="84">
        <v>3.0</v>
      </c>
      <c r="H403" s="66">
        <v>130000.0</v>
      </c>
      <c r="I403" s="8">
        <f t="shared" si="1"/>
        <v>390000</v>
      </c>
      <c r="J403" s="64" t="s">
        <v>205</v>
      </c>
      <c r="K403" s="85"/>
    </row>
    <row r="404" ht="15.75" customHeight="1">
      <c r="A404" s="10" t="s">
        <v>4154</v>
      </c>
      <c r="B404" s="57" t="s">
        <v>2702</v>
      </c>
      <c r="C404" s="58" t="s">
        <v>2704</v>
      </c>
      <c r="D404" s="59" t="s">
        <v>2705</v>
      </c>
      <c r="E404" s="10" t="s">
        <v>3791</v>
      </c>
      <c r="F404" s="20" t="s">
        <v>4155</v>
      </c>
      <c r="G404" s="84">
        <v>2.0</v>
      </c>
      <c r="H404" s="66">
        <v>140000.0</v>
      </c>
      <c r="I404" s="8">
        <f t="shared" si="1"/>
        <v>280000</v>
      </c>
      <c r="J404" s="64" t="s">
        <v>205</v>
      </c>
      <c r="K404" s="85"/>
    </row>
    <row r="405" ht="15.75" customHeight="1">
      <c r="A405" s="10" t="s">
        <v>4156</v>
      </c>
      <c r="B405" s="10" t="s">
        <v>2426</v>
      </c>
      <c r="C405" s="13" t="str">
        <f t="array" ref="C405">IFERROR(INDEX('간병신청대장'!$B:$B,MATCH($B405,'간병신청대장'!$A:$A,0)),"")</f>
        <v>안운자</v>
      </c>
      <c r="D405" s="10" t="s">
        <v>2431</v>
      </c>
      <c r="E405" s="10" t="s">
        <v>3791</v>
      </c>
      <c r="F405" s="20" t="s">
        <v>4155</v>
      </c>
      <c r="G405" s="84">
        <v>11.0</v>
      </c>
      <c r="H405" s="66">
        <v>130000.0</v>
      </c>
      <c r="I405" s="8">
        <f t="shared" si="1"/>
        <v>1430000</v>
      </c>
      <c r="J405" s="64" t="s">
        <v>205</v>
      </c>
      <c r="K405" s="85"/>
    </row>
    <row r="406" ht="15.75" customHeight="1">
      <c r="A406" s="10" t="s">
        <v>4165</v>
      </c>
      <c r="B406" s="20" t="s">
        <v>2609</v>
      </c>
      <c r="C406" s="64" t="str">
        <f t="array" ref="C406">IFERROR(INDEX('간병인배정'!$C:$C,MATCH($B406,'간병인배정'!$B:$B,0)),"")</f>
        <v>정대석</v>
      </c>
      <c r="D406" s="64" t="str">
        <f t="array" ref="D406">IFERROR(INDEX('간병인배정'!$D:$D,MATCH($B406,'간병인배정'!$B:$B,0)),"")</f>
        <v>방여숙</v>
      </c>
      <c r="E406" s="10" t="s">
        <v>3791</v>
      </c>
      <c r="F406" s="20" t="str">
        <f t="array" ref="F406">IFERROR(INDEX('간병인배정'!$M:$M,MATCH($B406,'간병인배정'!$B:$B,0)),"")</f>
        <v>2026.08.19.10:40</v>
      </c>
      <c r="G406" s="84">
        <v>1.0</v>
      </c>
      <c r="H406" s="66">
        <v>70000.0</v>
      </c>
      <c r="I406" s="8">
        <f t="shared" si="1"/>
        <v>70000</v>
      </c>
      <c r="J406" s="64" t="s">
        <v>205</v>
      </c>
      <c r="K406" s="83"/>
    </row>
    <row r="407" ht="15.75" customHeight="1">
      <c r="A407" s="10" t="s">
        <v>4172</v>
      </c>
      <c r="B407" s="10" t="s">
        <v>2056</v>
      </c>
      <c r="C407" s="13" t="str">
        <f t="array" ref="C407">IFERROR(INDEX('간병신청대장'!$B:$B,MATCH($B407,'간병신청대장'!$A:$A,0)),"")</f>
        <v>하성임</v>
      </c>
      <c r="D407" s="10" t="s">
        <v>2059</v>
      </c>
      <c r="E407" s="10" t="s">
        <v>3791</v>
      </c>
      <c r="F407" s="20" t="s">
        <v>2064</v>
      </c>
      <c r="G407" s="84">
        <v>8.0</v>
      </c>
      <c r="H407" s="66">
        <v>75000.0</v>
      </c>
      <c r="I407" s="8">
        <f t="shared" si="1"/>
        <v>600000</v>
      </c>
      <c r="J407" s="64" t="s">
        <v>205</v>
      </c>
      <c r="K407" s="83"/>
    </row>
    <row r="408" ht="15.75" customHeight="1">
      <c r="A408" s="10" t="s">
        <v>4181</v>
      </c>
      <c r="B408" s="10" t="s">
        <v>564</v>
      </c>
      <c r="C408" s="13" t="str">
        <f t="array" ref="C408">IFERROR(INDEX('간병신청대장'!$B:$B,MATCH($B408,'간병신청대장'!$A:$A,0)),"")</f>
        <v>전남영</v>
      </c>
      <c r="D408" s="64" t="s">
        <v>2834</v>
      </c>
      <c r="E408" s="10" t="s">
        <v>3791</v>
      </c>
      <c r="F408" s="20" t="s">
        <v>4003</v>
      </c>
      <c r="G408" s="84">
        <v>8.0</v>
      </c>
      <c r="H408" s="66">
        <v>140000.0</v>
      </c>
      <c r="I408" s="8">
        <f t="shared" si="1"/>
        <v>1120000</v>
      </c>
      <c r="J408" s="64" t="s">
        <v>205</v>
      </c>
      <c r="K408" s="83"/>
    </row>
    <row r="409" ht="15.75" customHeight="1">
      <c r="A409" s="10" t="s">
        <v>4183</v>
      </c>
      <c r="B409" s="20" t="s">
        <v>2713</v>
      </c>
      <c r="C409" s="64" t="s">
        <v>2817</v>
      </c>
      <c r="D409" s="64" t="s">
        <v>2818</v>
      </c>
      <c r="E409" s="10" t="s">
        <v>3791</v>
      </c>
      <c r="F409" s="20" t="s">
        <v>2820</v>
      </c>
      <c r="G409" s="84">
        <v>3.0</v>
      </c>
      <c r="H409" s="66">
        <v>135000.0</v>
      </c>
      <c r="I409" s="8">
        <f t="shared" si="1"/>
        <v>405000</v>
      </c>
      <c r="J409" s="64" t="s">
        <v>205</v>
      </c>
      <c r="K409" s="83"/>
    </row>
    <row r="410" ht="15.75" customHeight="1">
      <c r="A410" s="10" t="s">
        <v>4186</v>
      </c>
      <c r="B410" s="10" t="s">
        <v>2562</v>
      </c>
      <c r="C410" s="13" t="str">
        <f t="array" ref="C410">IFERROR(INDEX('간병신청대장'!$B:$B,MATCH($B410,'간병신청대장'!$A:$A,0)),"")</f>
        <v>곽상헌</v>
      </c>
      <c r="D410" s="10" t="s">
        <v>2565</v>
      </c>
      <c r="E410" s="10" t="s">
        <v>3791</v>
      </c>
      <c r="F410" s="20" t="s">
        <v>2568</v>
      </c>
      <c r="G410" s="84">
        <v>14.0</v>
      </c>
      <c r="H410" s="19">
        <v>130000.0</v>
      </c>
      <c r="I410" s="8">
        <f t="shared" si="1"/>
        <v>1820000</v>
      </c>
      <c r="J410" s="64" t="s">
        <v>205</v>
      </c>
      <c r="K410" s="85"/>
    </row>
    <row r="411" ht="15.75" customHeight="1">
      <c r="A411" s="10" t="s">
        <v>4194</v>
      </c>
      <c r="B411" s="10" t="s">
        <v>2075</v>
      </c>
      <c r="C411" s="13" t="str">
        <f t="array" ref="C411">IFERROR(INDEX('간병신청대장'!$B:$B,MATCH($B411,'간병신청대장'!$A:$A,0)),"")</f>
        <v>김용식</v>
      </c>
      <c r="D411" s="10" t="s">
        <v>2077</v>
      </c>
      <c r="E411" s="10" t="s">
        <v>3791</v>
      </c>
      <c r="F411" s="20" t="s">
        <v>2079</v>
      </c>
      <c r="G411" s="84">
        <v>6.0</v>
      </c>
      <c r="H411" s="19">
        <v>140000.0</v>
      </c>
      <c r="I411" s="89">
        <f t="shared" si="1"/>
        <v>840000</v>
      </c>
      <c r="J411" s="64" t="s">
        <v>205</v>
      </c>
      <c r="K411" s="85"/>
    </row>
    <row r="412" ht="15.75" customHeight="1">
      <c r="A412" s="10" t="s">
        <v>4203</v>
      </c>
      <c r="B412" s="10" t="s">
        <v>2378</v>
      </c>
      <c r="C412" s="13" t="str">
        <f t="array" ref="C412">IFERROR(INDEX('간병신청대장'!$B:$B,MATCH($B412,'간병신청대장'!$A:$A,0)),"")</f>
        <v>임형순</v>
      </c>
      <c r="D412" s="20" t="s">
        <v>91</v>
      </c>
      <c r="E412" s="20" t="s">
        <v>4206</v>
      </c>
      <c r="F412" s="20" t="str">
        <f t="array" ref="F412">IFERROR(INDEX('간병인배정'!$M:$M,MATCH($B412,'간병인배정'!$B:$B,0)),"")</f>
        <v>2026.07.31 11:00</v>
      </c>
      <c r="G412" s="84">
        <v>5.0</v>
      </c>
      <c r="H412" s="19">
        <v>80000.0</v>
      </c>
      <c r="I412" s="89">
        <f t="shared" si="1"/>
        <v>400000</v>
      </c>
      <c r="J412" s="64" t="s">
        <v>205</v>
      </c>
      <c r="K412" s="85"/>
    </row>
    <row r="413" ht="15.75" customHeight="1">
      <c r="A413" s="10" t="s">
        <v>4218</v>
      </c>
      <c r="B413" s="10" t="s">
        <v>2281</v>
      </c>
      <c r="C413" s="13" t="str">
        <f t="array" ref="C413">IFERROR(INDEX('간병신청대장'!$B:$B,MATCH($B413,'간병신청대장'!$A:$A,0)),"")</f>
        <v>최영자</v>
      </c>
      <c r="D413" s="20" t="s">
        <v>2286</v>
      </c>
      <c r="E413" s="20" t="s">
        <v>4206</v>
      </c>
      <c r="F413" s="20" t="str">
        <f t="array" ref="F413">IFERROR(INDEX('간병인배정'!$M:$M,MATCH($B413,'간병인배정'!$B:$B,0)),"")</f>
        <v/>
      </c>
      <c r="G413" s="84">
        <v>6.0</v>
      </c>
      <c r="H413" s="19">
        <v>80000.0</v>
      </c>
      <c r="I413" s="89">
        <f t="shared" si="1"/>
        <v>480000</v>
      </c>
      <c r="J413" s="64" t="s">
        <v>205</v>
      </c>
      <c r="K413" s="85"/>
    </row>
    <row r="414" ht="15.75" customHeight="1">
      <c r="A414" s="10" t="s">
        <v>4226</v>
      </c>
      <c r="B414" s="10" t="s">
        <v>2368</v>
      </c>
      <c r="C414" s="13" t="str">
        <f t="array" ref="C414">IFERROR(INDEX('간병신청대장'!$B:$B,MATCH($B414,'간병신청대장'!$A:$A,0)),"")</f>
        <v>나도선</v>
      </c>
      <c r="D414" s="10" t="s">
        <v>2371</v>
      </c>
      <c r="E414" s="10" t="s">
        <v>3791</v>
      </c>
      <c r="F414" s="20" t="s">
        <v>2374</v>
      </c>
      <c r="G414" s="84">
        <v>12.0</v>
      </c>
      <c r="H414" s="19">
        <v>140000.0</v>
      </c>
      <c r="I414" s="89">
        <f t="shared" si="1"/>
        <v>1680000</v>
      </c>
      <c r="J414" s="64" t="s">
        <v>205</v>
      </c>
      <c r="K414" s="85"/>
    </row>
    <row r="415" ht="15.75" customHeight="1">
      <c r="A415" s="10" t="s">
        <v>4227</v>
      </c>
      <c r="B415" s="10" t="s">
        <v>2673</v>
      </c>
      <c r="C415" s="13" t="str">
        <f t="array" ref="C415">IFERROR(INDEX('간병신청대장'!$B:$B,MATCH($B415,'간병신청대장'!$A:$A,0)),"")</f>
        <v>원용연</v>
      </c>
      <c r="D415" s="20" t="s">
        <v>2736</v>
      </c>
      <c r="E415" s="10" t="s">
        <v>3791</v>
      </c>
      <c r="F415" s="20" t="s">
        <v>4233</v>
      </c>
      <c r="G415" s="84">
        <v>6.0</v>
      </c>
      <c r="H415" s="19">
        <v>160000.0</v>
      </c>
      <c r="I415" s="89">
        <f t="shared" si="1"/>
        <v>960000</v>
      </c>
      <c r="J415" s="64" t="s">
        <v>205</v>
      </c>
      <c r="K415" s="85"/>
    </row>
    <row r="416" ht="15.75" customHeight="1">
      <c r="A416" s="10" t="s">
        <v>4234</v>
      </c>
      <c r="B416" s="10" t="s">
        <v>2347</v>
      </c>
      <c r="C416" s="13" t="str">
        <f t="array" ref="C416">IFERROR(INDEX('간병신청대장'!$B:$B,MATCH($B416,'간병신청대장'!$A:$A,0)),"")</f>
        <v>박정란</v>
      </c>
      <c r="D416" s="10" t="s">
        <v>2351</v>
      </c>
      <c r="E416" s="10" t="s">
        <v>3791</v>
      </c>
      <c r="F416" s="20" t="s">
        <v>4003</v>
      </c>
      <c r="G416" s="84">
        <v>10.0</v>
      </c>
      <c r="H416" s="19">
        <v>140000.0</v>
      </c>
      <c r="I416" s="89">
        <f t="shared" si="1"/>
        <v>1400000</v>
      </c>
      <c r="J416" s="64" t="s">
        <v>205</v>
      </c>
      <c r="K416" s="85"/>
    </row>
    <row r="417" ht="15.75" customHeight="1">
      <c r="A417" s="20" t="s">
        <v>4237</v>
      </c>
      <c r="B417" s="20" t="s">
        <v>882</v>
      </c>
      <c r="C417" s="13" t="str">
        <f t="array" ref="C417">IFERROR(INDEX('간병신청대장'!$B:$B,MATCH($B417,'간병신청대장'!$A:$A,0)),"")</f>
        <v>이윤정</v>
      </c>
      <c r="D417" s="20" t="s">
        <v>887</v>
      </c>
      <c r="E417" s="20" t="s">
        <v>190</v>
      </c>
      <c r="F417" s="20" t="s">
        <v>4192</v>
      </c>
      <c r="G417" s="84">
        <v>5.0</v>
      </c>
      <c r="H417" s="19">
        <v>80000.0</v>
      </c>
      <c r="I417" s="89">
        <f t="shared" si="1"/>
        <v>400000</v>
      </c>
      <c r="J417" s="64" t="s">
        <v>205</v>
      </c>
      <c r="K417" s="85"/>
    </row>
    <row r="418" ht="15.75" customHeight="1">
      <c r="A418" s="20" t="s">
        <v>4246</v>
      </c>
      <c r="B418" s="10" t="s">
        <v>4247</v>
      </c>
      <c r="C418" s="64" t="s">
        <v>2867</v>
      </c>
      <c r="D418" s="64" t="s">
        <v>2868</v>
      </c>
      <c r="E418" s="10" t="s">
        <v>3791</v>
      </c>
      <c r="F418" s="20" t="s">
        <v>2877</v>
      </c>
      <c r="G418" s="84">
        <v>2.0</v>
      </c>
      <c r="H418" s="19">
        <v>140000.0</v>
      </c>
      <c r="I418" s="89">
        <f t="shared" si="1"/>
        <v>280000</v>
      </c>
      <c r="J418" s="64" t="s">
        <v>205</v>
      </c>
      <c r="K418" s="85"/>
    </row>
    <row r="419" ht="15.75" customHeight="1">
      <c r="A419" s="20" t="s">
        <v>4248</v>
      </c>
      <c r="B419" s="10" t="s">
        <v>2850</v>
      </c>
      <c r="C419" s="64" t="s">
        <v>2851</v>
      </c>
      <c r="D419" s="64" t="s">
        <v>2852</v>
      </c>
      <c r="E419" s="10" t="s">
        <v>3791</v>
      </c>
      <c r="F419" s="20" t="s">
        <v>2855</v>
      </c>
      <c r="G419" s="84">
        <v>1.0</v>
      </c>
      <c r="H419" s="19">
        <v>135000.0</v>
      </c>
      <c r="I419" s="89">
        <f t="shared" si="1"/>
        <v>135000</v>
      </c>
      <c r="J419" s="64" t="s">
        <v>205</v>
      </c>
      <c r="K419" s="85"/>
    </row>
    <row r="420" ht="15.75" customHeight="1">
      <c r="A420" s="20" t="s">
        <v>4249</v>
      </c>
      <c r="B420" s="10" t="s">
        <v>2802</v>
      </c>
      <c r="C420" s="13" t="str">
        <f t="array" ref="C420">IFERROR(INDEX('간병신청대장'!$B:$B,MATCH($B420,'간병신청대장'!$A:$A,0)),"")</f>
        <v>이정민</v>
      </c>
      <c r="D420" s="64" t="s">
        <v>2810</v>
      </c>
      <c r="E420" s="10" t="s">
        <v>3791</v>
      </c>
      <c r="F420" s="20" t="s">
        <v>2813</v>
      </c>
      <c r="G420" s="84">
        <v>2.0</v>
      </c>
      <c r="H420" s="19">
        <v>135000.0</v>
      </c>
      <c r="I420" s="89">
        <f t="shared" si="1"/>
        <v>270000</v>
      </c>
      <c r="J420" s="64" t="s">
        <v>205</v>
      </c>
      <c r="K420" s="85"/>
    </row>
    <row r="421" ht="15.75" customHeight="1">
      <c r="A421" s="20" t="s">
        <v>4253</v>
      </c>
      <c r="B421" s="10" t="s">
        <v>1244</v>
      </c>
      <c r="C421" s="13" t="str">
        <f t="array" ref="C421">IFERROR(INDEX('간병신청대장'!$B:$B,MATCH($B421,'간병신청대장'!$A:$A,0)),"")</f>
        <v>문영해</v>
      </c>
      <c r="D421" s="10" t="s">
        <v>1252</v>
      </c>
      <c r="E421" s="10" t="s">
        <v>3791</v>
      </c>
      <c r="F421" s="20" t="s">
        <v>1257</v>
      </c>
      <c r="G421" s="84">
        <v>5.0</v>
      </c>
      <c r="H421" s="19">
        <v>139500.0</v>
      </c>
      <c r="I421" s="89">
        <f t="shared" si="1"/>
        <v>697500</v>
      </c>
      <c r="J421" s="64" t="s">
        <v>205</v>
      </c>
      <c r="K421" s="85"/>
    </row>
    <row r="422" ht="15.75" customHeight="1">
      <c r="A422" s="20" t="s">
        <v>4261</v>
      </c>
      <c r="B422" s="10" t="s">
        <v>2858</v>
      </c>
      <c r="C422" s="64" t="s">
        <v>2859</v>
      </c>
      <c r="D422" s="64" t="s">
        <v>2860</v>
      </c>
      <c r="E422" s="20" t="s">
        <v>4262</v>
      </c>
      <c r="F422" s="20" t="s">
        <v>2864</v>
      </c>
      <c r="G422" s="84">
        <v>3.0</v>
      </c>
      <c r="H422" s="19">
        <v>135000.0</v>
      </c>
      <c r="I422" s="89">
        <f t="shared" si="1"/>
        <v>405000</v>
      </c>
      <c r="J422" s="64" t="s">
        <v>205</v>
      </c>
      <c r="K422" s="85"/>
    </row>
    <row r="423" ht="15.75" customHeight="1">
      <c r="A423" s="20" t="s">
        <v>4263</v>
      </c>
      <c r="B423" s="10" t="s">
        <v>2490</v>
      </c>
      <c r="C423" s="13" t="str">
        <f t="array" ref="C423">IFERROR(INDEX('간병신청대장'!$B:$B,MATCH($B423,'간병신청대장'!$A:$A,0)),"")</f>
        <v>송영경</v>
      </c>
      <c r="D423" s="10" t="s">
        <v>2502</v>
      </c>
      <c r="E423" s="20" t="s">
        <v>4262</v>
      </c>
      <c r="F423" s="20" t="s">
        <v>2506</v>
      </c>
      <c r="G423" s="84">
        <v>10.0</v>
      </c>
      <c r="H423" s="19">
        <v>135000.0</v>
      </c>
      <c r="I423" s="89">
        <f t="shared" si="1"/>
        <v>1350000</v>
      </c>
      <c r="J423" s="64" t="s">
        <v>205</v>
      </c>
      <c r="K423" s="85"/>
    </row>
    <row r="424" ht="15.75" customHeight="1">
      <c r="A424" s="20" t="s">
        <v>4268</v>
      </c>
      <c r="B424" s="10" t="s">
        <v>2347</v>
      </c>
      <c r="C424" s="13" t="str">
        <f t="array" ref="C424">IFERROR(INDEX('간병신청대장'!$B:$B,MATCH($B424,'간병신청대장'!$A:$A,0)),"")</f>
        <v>박정란</v>
      </c>
      <c r="D424" s="10" t="s">
        <v>2351</v>
      </c>
      <c r="E424" s="20" t="s">
        <v>4262</v>
      </c>
      <c r="F424" s="20" t="s">
        <v>4271</v>
      </c>
      <c r="G424" s="84">
        <v>10.0</v>
      </c>
      <c r="H424" s="19">
        <v>140000.0</v>
      </c>
      <c r="I424" s="89">
        <f t="shared" si="1"/>
        <v>1400000</v>
      </c>
      <c r="J424" s="64" t="s">
        <v>205</v>
      </c>
      <c r="K424" s="83" t="s">
        <v>4272</v>
      </c>
    </row>
    <row r="425" ht="15.75" customHeight="1">
      <c r="A425" s="20" t="s">
        <v>4273</v>
      </c>
      <c r="B425" s="10" t="s">
        <v>1036</v>
      </c>
      <c r="C425" s="13" t="str">
        <f t="array" ref="C425">IFERROR(INDEX('간병신청대장'!$B:$B,MATCH($B425,'간병신청대장'!$A:$A,0)),"")</f>
        <v>최경희</v>
      </c>
      <c r="D425" s="10" t="s">
        <v>1028</v>
      </c>
      <c r="E425" s="20" t="s">
        <v>4262</v>
      </c>
      <c r="F425" s="20" t="s">
        <v>4278</v>
      </c>
      <c r="G425" s="84">
        <v>7.0</v>
      </c>
      <c r="H425" s="19">
        <v>150000.0</v>
      </c>
      <c r="I425" s="89">
        <f t="shared" si="1"/>
        <v>1050000</v>
      </c>
      <c r="J425" s="64" t="s">
        <v>205</v>
      </c>
      <c r="K425" s="83"/>
    </row>
    <row r="426" ht="15.75" customHeight="1">
      <c r="A426" s="20" t="s">
        <v>4280</v>
      </c>
      <c r="B426" s="10" t="s">
        <v>1434</v>
      </c>
      <c r="C426" s="13" t="str">
        <f t="array" ref="C426">IFERROR(INDEX('간병신청대장'!$B:$B,MATCH($B426,'간병신청대장'!$A:$A,0)),"")</f>
        <v>김국선</v>
      </c>
      <c r="D426" s="10" t="s">
        <v>1439</v>
      </c>
      <c r="E426" s="20" t="s">
        <v>4262</v>
      </c>
      <c r="F426" s="20" t="s">
        <v>4278</v>
      </c>
      <c r="G426" s="84">
        <v>11.0</v>
      </c>
      <c r="H426" s="19">
        <v>140000.0</v>
      </c>
      <c r="I426" s="89">
        <f t="shared" si="1"/>
        <v>1540000</v>
      </c>
      <c r="J426" s="64" t="s">
        <v>205</v>
      </c>
      <c r="K426" s="85"/>
    </row>
    <row r="427" ht="15.75" customHeight="1">
      <c r="A427" s="20" t="s">
        <v>4283</v>
      </c>
      <c r="B427" s="10" t="s">
        <v>2091</v>
      </c>
      <c r="C427" s="13" t="str">
        <f t="array" ref="C427">IFERROR(INDEX('간병신청대장'!$B:$B,MATCH($B427,'간병신청대장'!$A:$A,0)),"")</f>
        <v>홍정숙</v>
      </c>
      <c r="D427" s="10" t="s">
        <v>2093</v>
      </c>
      <c r="E427" s="20" t="s">
        <v>4262</v>
      </c>
      <c r="F427" s="20" t="s">
        <v>4278</v>
      </c>
      <c r="G427" s="84">
        <v>11.0</v>
      </c>
      <c r="H427" s="19">
        <v>145000.0</v>
      </c>
      <c r="I427" s="89">
        <f t="shared" si="1"/>
        <v>1595000</v>
      </c>
      <c r="J427" s="64" t="s">
        <v>205</v>
      </c>
      <c r="K427" s="85"/>
    </row>
    <row r="428" ht="15.75" customHeight="1">
      <c r="A428" s="20" t="s">
        <v>4286</v>
      </c>
      <c r="B428" s="10" t="s">
        <v>1551</v>
      </c>
      <c r="C428" s="13" t="str">
        <f t="array" ref="C428">IFERROR(INDEX('간병신청대장'!$B:$B,MATCH($B428,'간병신청대장'!$A:$A,0)),"")</f>
        <v>이재철</v>
      </c>
      <c r="D428" s="10" t="s">
        <v>1555</v>
      </c>
      <c r="E428" s="20" t="s">
        <v>4262</v>
      </c>
      <c r="F428" s="20" t="s">
        <v>4278</v>
      </c>
      <c r="G428" s="84">
        <v>11.0</v>
      </c>
      <c r="H428" s="19">
        <v>140000.0</v>
      </c>
      <c r="I428" s="89">
        <f t="shared" si="1"/>
        <v>1540000</v>
      </c>
      <c r="J428" s="64" t="s">
        <v>205</v>
      </c>
      <c r="K428" s="85"/>
    </row>
    <row r="429" ht="15.75" customHeight="1">
      <c r="A429" s="20" t="s">
        <v>4295</v>
      </c>
      <c r="B429" s="10" t="s">
        <v>2232</v>
      </c>
      <c r="C429" s="13" t="str">
        <f t="array" ref="C429">IFERROR(INDEX('간병신청대장'!$B:$B,MATCH($B429,'간병신청대장'!$A:$A,0)),"")</f>
        <v>김철재</v>
      </c>
      <c r="D429" s="10" t="s">
        <v>2236</v>
      </c>
      <c r="E429" s="20" t="s">
        <v>4262</v>
      </c>
      <c r="F429" s="20" t="s">
        <v>2241</v>
      </c>
      <c r="G429" s="84">
        <v>13.0</v>
      </c>
      <c r="H429" s="19">
        <v>130000.0</v>
      </c>
      <c r="I429" s="89">
        <f t="shared" si="1"/>
        <v>1690000</v>
      </c>
      <c r="J429" s="64" t="s">
        <v>205</v>
      </c>
      <c r="K429" s="83"/>
    </row>
    <row r="430" ht="15.75" customHeight="1">
      <c r="A430" s="20" t="s">
        <v>4296</v>
      </c>
      <c r="B430" s="10" t="s">
        <v>2840</v>
      </c>
      <c r="C430" s="64" t="s">
        <v>2842</v>
      </c>
      <c r="D430" s="64" t="s">
        <v>2843</v>
      </c>
      <c r="E430" s="20" t="s">
        <v>4262</v>
      </c>
      <c r="F430" s="20" t="s">
        <v>4278</v>
      </c>
      <c r="G430" s="84">
        <v>6.0</v>
      </c>
      <c r="H430" s="19">
        <v>135000.0</v>
      </c>
      <c r="I430" s="89">
        <f t="shared" si="1"/>
        <v>810000</v>
      </c>
      <c r="J430" s="64" t="s">
        <v>205</v>
      </c>
      <c r="K430" s="85"/>
    </row>
    <row r="431" ht="15.75" customHeight="1">
      <c r="A431" s="20" t="s">
        <v>4297</v>
      </c>
      <c r="B431" s="10" t="s">
        <v>4247</v>
      </c>
      <c r="C431" s="64" t="s">
        <v>2867</v>
      </c>
      <c r="D431" s="64" t="s">
        <v>2901</v>
      </c>
      <c r="E431" s="20" t="s">
        <v>4262</v>
      </c>
      <c r="F431" s="20" t="s">
        <v>4278</v>
      </c>
      <c r="G431" s="84">
        <v>3.0</v>
      </c>
      <c r="H431" s="19">
        <v>140000.0</v>
      </c>
      <c r="I431" s="89">
        <f t="shared" si="1"/>
        <v>420000</v>
      </c>
      <c r="J431" s="64" t="s">
        <v>205</v>
      </c>
      <c r="K431" s="85"/>
    </row>
    <row r="432" ht="15.75" customHeight="1">
      <c r="A432" s="20" t="s">
        <v>4299</v>
      </c>
      <c r="B432" s="10" t="s">
        <v>564</v>
      </c>
      <c r="C432" s="13" t="str">
        <f t="array" ref="C432">IFERROR(INDEX('간병신청대장'!$B:$B,MATCH($B432,'간병신청대장'!$A:$A,0)),"")</f>
        <v>전남영</v>
      </c>
      <c r="D432" s="64" t="s">
        <v>2834</v>
      </c>
      <c r="E432" s="20" t="s">
        <v>4262</v>
      </c>
      <c r="F432" s="20" t="s">
        <v>4278</v>
      </c>
      <c r="G432" s="84">
        <v>11.0</v>
      </c>
      <c r="H432" s="19">
        <v>140000.0</v>
      </c>
      <c r="I432" s="89">
        <f t="shared" si="1"/>
        <v>1540000</v>
      </c>
      <c r="J432" s="64" t="s">
        <v>205</v>
      </c>
      <c r="K432" s="85"/>
    </row>
    <row r="433" ht="26.25" customHeight="1">
      <c r="A433" s="20" t="s">
        <v>4309</v>
      </c>
      <c r="B433" s="20" t="s">
        <v>2888</v>
      </c>
      <c r="C433" s="13" t="str">
        <f t="array" ref="C433">IFERROR(INDEX('간병신청대장'!$B:$B,MATCH($B433,'간병신청대장'!$A:$A,0)),"")</f>
        <v>김순자</v>
      </c>
      <c r="D433" s="92" t="s">
        <v>2891</v>
      </c>
      <c r="E433" s="20" t="s">
        <v>4262</v>
      </c>
      <c r="F433" s="20" t="s">
        <v>4312</v>
      </c>
      <c r="G433" s="93">
        <v>5.0</v>
      </c>
      <c r="H433" s="33">
        <v>130000.0</v>
      </c>
      <c r="I433" s="89">
        <f t="shared" si="1"/>
        <v>650000</v>
      </c>
      <c r="J433" s="92" t="s">
        <v>205</v>
      </c>
      <c r="K433" s="83" t="s">
        <v>4313</v>
      </c>
    </row>
    <row r="434" ht="15.75" customHeight="1">
      <c r="A434" s="20" t="s">
        <v>4314</v>
      </c>
      <c r="B434" s="10" t="s">
        <v>1774</v>
      </c>
      <c r="C434" s="13" t="str">
        <f t="array" ref="C434">IFERROR(INDEX('간병신청대장'!$B:$B,MATCH($B434,'간병신청대장'!$A:$A,0)),"")</f>
        <v>이향주</v>
      </c>
      <c r="D434" s="10" t="s">
        <v>1780</v>
      </c>
      <c r="E434" s="20" t="s">
        <v>4262</v>
      </c>
      <c r="F434" s="20" t="s">
        <v>1786</v>
      </c>
      <c r="G434" s="84">
        <v>8.0</v>
      </c>
      <c r="H434" s="19">
        <v>130000.0</v>
      </c>
      <c r="I434" s="89">
        <f t="shared" si="1"/>
        <v>1040000</v>
      </c>
      <c r="J434" s="64" t="s">
        <v>205</v>
      </c>
      <c r="K434" s="85"/>
    </row>
    <row r="435" ht="15.75" customHeight="1">
      <c r="A435" s="20" t="s">
        <v>4323</v>
      </c>
      <c r="B435" s="10" t="s">
        <v>2214</v>
      </c>
      <c r="C435" s="13" t="str">
        <f t="array" ref="C435">IFERROR(INDEX('간병신청대장'!$B:$B,MATCH($B435,'간병신청대장'!$A:$A,0)),"")</f>
        <v>유승백</v>
      </c>
      <c r="D435" s="10" t="s">
        <v>2217</v>
      </c>
      <c r="E435" s="20" t="s">
        <v>4262</v>
      </c>
      <c r="F435" s="20" t="s">
        <v>4278</v>
      </c>
      <c r="G435" s="84">
        <v>11.0</v>
      </c>
      <c r="H435" s="19">
        <v>135000.0</v>
      </c>
      <c r="I435" s="89">
        <f t="shared" si="1"/>
        <v>1485000</v>
      </c>
      <c r="J435" s="64" t="s">
        <v>205</v>
      </c>
      <c r="K435" s="85"/>
    </row>
    <row r="436" ht="15.75" customHeight="1">
      <c r="A436" s="20" t="s">
        <v>4326</v>
      </c>
      <c r="B436" s="10" t="s">
        <v>2631</v>
      </c>
      <c r="C436" s="13" t="str">
        <f t="array" ref="C436">IFERROR(INDEX('간병신청대장'!$B:$B,MATCH($B436,'간병신청대장'!$A:$A,0)),"")</f>
        <v>강종미</v>
      </c>
      <c r="D436" s="10" t="s">
        <v>2634</v>
      </c>
      <c r="E436" s="20" t="s">
        <v>4262</v>
      </c>
      <c r="F436" s="20" t="s">
        <v>4278</v>
      </c>
      <c r="G436" s="84">
        <v>11.0</v>
      </c>
      <c r="H436" s="19">
        <v>130000.0</v>
      </c>
      <c r="I436" s="89">
        <f t="shared" si="1"/>
        <v>1430000</v>
      </c>
      <c r="J436" s="64" t="s">
        <v>205</v>
      </c>
      <c r="K436" s="85"/>
    </row>
    <row r="437" ht="15.75" customHeight="1">
      <c r="A437" s="20" t="s">
        <v>4333</v>
      </c>
      <c r="B437" s="10" t="s">
        <v>1888</v>
      </c>
      <c r="C437" s="13" t="str">
        <f t="array" ref="C437">IFERROR(INDEX('간병신청대장'!$B:$B,MATCH($B437,'간병신청대장'!$A:$A,0)),"")</f>
        <v>유수분</v>
      </c>
      <c r="D437" s="20" t="s">
        <v>1891</v>
      </c>
      <c r="E437" s="20" t="s">
        <v>4262</v>
      </c>
      <c r="F437" s="20" t="s">
        <v>4278</v>
      </c>
      <c r="G437" s="84">
        <v>11.0</v>
      </c>
      <c r="H437" s="19">
        <v>130000.0</v>
      </c>
      <c r="I437" s="89">
        <f t="shared" si="1"/>
        <v>1430000</v>
      </c>
      <c r="J437" s="64" t="s">
        <v>205</v>
      </c>
      <c r="K437" s="85"/>
    </row>
    <row r="438" ht="15.75" customHeight="1">
      <c r="A438" s="20" t="s">
        <v>4336</v>
      </c>
      <c r="B438" s="20" t="s">
        <v>2748</v>
      </c>
      <c r="C438" s="13" t="str">
        <f t="array" ref="C438">IFERROR(INDEX('간병신청대장'!$B:$B,MATCH($B438,'간병신청대장'!$A:$A,0)),"")</f>
        <v>최교삼</v>
      </c>
      <c r="D438" s="64" t="s">
        <v>2753</v>
      </c>
      <c r="E438" s="20" t="s">
        <v>4262</v>
      </c>
      <c r="F438" s="20" t="s">
        <v>2760</v>
      </c>
      <c r="G438" s="84">
        <v>15.0</v>
      </c>
      <c r="H438" s="19">
        <v>140000.0</v>
      </c>
      <c r="I438" s="89">
        <f t="shared" si="1"/>
        <v>2100000</v>
      </c>
      <c r="J438" s="64" t="s">
        <v>205</v>
      </c>
      <c r="K438" s="83"/>
    </row>
    <row r="439" ht="15.75" customHeight="1">
      <c r="A439" s="20" t="s">
        <v>4343</v>
      </c>
      <c r="B439" s="57" t="s">
        <v>2702</v>
      </c>
      <c r="C439" s="58" t="s">
        <v>2704</v>
      </c>
      <c r="D439" s="64" t="s">
        <v>2882</v>
      </c>
      <c r="E439" s="20" t="s">
        <v>4262</v>
      </c>
      <c r="F439" s="20" t="s">
        <v>4278</v>
      </c>
      <c r="G439" s="84">
        <v>4.0</v>
      </c>
      <c r="H439" s="19">
        <v>140000.0</v>
      </c>
      <c r="I439" s="89">
        <f t="shared" si="1"/>
        <v>560000</v>
      </c>
      <c r="J439" s="64" t="s">
        <v>205</v>
      </c>
      <c r="K439" s="85"/>
    </row>
    <row r="440" ht="15.75" customHeight="1">
      <c r="A440" s="20" t="s">
        <v>4345</v>
      </c>
      <c r="B440" s="10" t="s">
        <v>2655</v>
      </c>
      <c r="C440" s="13" t="str">
        <f t="array" ref="C440">IFERROR(INDEX('간병신청대장'!$B:$B,MATCH($B440,'간병신청대장'!$A:$A,0)),"")</f>
        <v>남정숙</v>
      </c>
      <c r="D440" s="10" t="s">
        <v>1853</v>
      </c>
      <c r="E440" s="20" t="s">
        <v>4262</v>
      </c>
      <c r="F440" s="20" t="s">
        <v>4353</v>
      </c>
      <c r="G440" s="84">
        <v>11.0</v>
      </c>
      <c r="H440" s="19">
        <v>140000.0</v>
      </c>
      <c r="I440" s="89">
        <f t="shared" si="1"/>
        <v>1540000</v>
      </c>
      <c r="J440" s="64" t="s">
        <v>205</v>
      </c>
      <c r="K440" s="85"/>
    </row>
    <row r="441" ht="15.75" customHeight="1">
      <c r="A441" s="20" t="s">
        <v>4354</v>
      </c>
      <c r="B441" s="10" t="s">
        <v>1090</v>
      </c>
      <c r="C441" s="13" t="str">
        <f t="array" ref="C441">IFERROR(INDEX('간병신청대장'!$B:$B,MATCH($B441,'간병신청대장'!$A:$A,0)),"")</f>
        <v>지영희</v>
      </c>
      <c r="D441" s="10" t="s">
        <v>1095</v>
      </c>
      <c r="E441" s="20" t="s">
        <v>4262</v>
      </c>
      <c r="F441" s="20" t="s">
        <v>4278</v>
      </c>
      <c r="G441" s="84">
        <v>11.0</v>
      </c>
      <c r="H441" s="18">
        <v>135000.0</v>
      </c>
      <c r="I441" s="89">
        <f t="shared" si="1"/>
        <v>1485000</v>
      </c>
      <c r="J441" s="64" t="s">
        <v>205</v>
      </c>
      <c r="K441" s="85"/>
    </row>
    <row r="442" ht="15.75" customHeight="1">
      <c r="A442" s="20" t="s">
        <v>4364</v>
      </c>
      <c r="B442" s="10" t="s">
        <v>2281</v>
      </c>
      <c r="C442" s="13" t="str">
        <f t="array" ref="C442">IFERROR(INDEX('간병신청대장'!$B:$B,MATCH($B442,'간병신청대장'!$A:$A,0)),"")</f>
        <v>최영자</v>
      </c>
      <c r="D442" s="20" t="s">
        <v>2286</v>
      </c>
      <c r="E442" s="20" t="s">
        <v>4262</v>
      </c>
      <c r="F442" s="20" t="s">
        <v>4353</v>
      </c>
      <c r="G442" s="84">
        <v>16.0</v>
      </c>
      <c r="H442" s="33">
        <v>80000.0</v>
      </c>
      <c r="I442" s="89">
        <f t="shared" si="1"/>
        <v>1280000</v>
      </c>
      <c r="J442" s="64" t="s">
        <v>205</v>
      </c>
      <c r="K442" s="85"/>
    </row>
    <row r="443" ht="15.75" customHeight="1">
      <c r="A443" s="20" t="s">
        <v>4375</v>
      </c>
      <c r="B443" s="10" t="s">
        <v>4247</v>
      </c>
      <c r="C443" s="64" t="s">
        <v>2867</v>
      </c>
      <c r="D443" s="64" t="s">
        <v>2901</v>
      </c>
      <c r="E443" s="64" t="s">
        <v>4376</v>
      </c>
      <c r="F443" s="20" t="s">
        <v>4278</v>
      </c>
      <c r="G443" s="84">
        <v>3.0</v>
      </c>
      <c r="H443" s="19">
        <v>140000.0</v>
      </c>
      <c r="I443" s="8">
        <f t="shared" si="1"/>
        <v>420000</v>
      </c>
      <c r="J443" s="64" t="s">
        <v>205</v>
      </c>
      <c r="K443" s="85"/>
    </row>
    <row r="444" ht="15.75" customHeight="1">
      <c r="A444" s="20" t="s">
        <v>4377</v>
      </c>
      <c r="B444" s="59" t="s">
        <v>4378</v>
      </c>
      <c r="C444" s="58" t="s">
        <v>2704</v>
      </c>
      <c r="D444" s="64" t="s">
        <v>2882</v>
      </c>
      <c r="E444" s="64" t="s">
        <v>4376</v>
      </c>
      <c r="F444" s="20" t="s">
        <v>2885</v>
      </c>
      <c r="G444" s="84">
        <v>4.0</v>
      </c>
      <c r="H444" s="66">
        <v>140000.0</v>
      </c>
      <c r="I444" s="8">
        <f t="shared" si="1"/>
        <v>560000</v>
      </c>
      <c r="J444" s="64" t="s">
        <v>205</v>
      </c>
      <c r="K444" s="83"/>
    </row>
    <row r="445" ht="15.75" customHeight="1">
      <c r="A445" s="20" t="s">
        <v>4379</v>
      </c>
      <c r="B445" s="10" t="s">
        <v>4247</v>
      </c>
      <c r="C445" s="98" t="s">
        <v>2867</v>
      </c>
      <c r="D445" s="98" t="s">
        <v>2901</v>
      </c>
      <c r="E445" s="98" t="s">
        <v>4376</v>
      </c>
      <c r="F445" s="98" t="s">
        <v>2905</v>
      </c>
      <c r="G445" s="99">
        <v>3.0</v>
      </c>
      <c r="H445" s="61">
        <v>140000.0</v>
      </c>
      <c r="I445" s="73">
        <f t="shared" si="1"/>
        <v>420000</v>
      </c>
      <c r="J445" s="98" t="s">
        <v>205</v>
      </c>
      <c r="K445" s="100"/>
    </row>
    <row r="446" ht="30.75" customHeight="1">
      <c r="A446" s="20" t="s">
        <v>4381</v>
      </c>
      <c r="B446" s="10" t="s">
        <v>2959</v>
      </c>
      <c r="C446" s="101" t="s">
        <v>2960</v>
      </c>
      <c r="D446" s="101" t="s">
        <v>2623</v>
      </c>
      <c r="E446" s="101" t="s">
        <v>4376</v>
      </c>
      <c r="F446" s="59" t="s">
        <v>4382</v>
      </c>
      <c r="G446" s="102">
        <v>3.0</v>
      </c>
      <c r="H446" s="66">
        <v>130000.0</v>
      </c>
      <c r="I446" s="73">
        <f t="shared" si="1"/>
        <v>390000</v>
      </c>
      <c r="J446" s="101" t="s">
        <v>205</v>
      </c>
      <c r="K446" s="83" t="s">
        <v>4383</v>
      </c>
    </row>
    <row r="447" ht="15.75" customHeight="1">
      <c r="A447" s="20" t="s">
        <v>4384</v>
      </c>
      <c r="B447" s="10" t="s">
        <v>2918</v>
      </c>
      <c r="C447" s="64" t="s">
        <v>2919</v>
      </c>
      <c r="D447" s="64" t="s">
        <v>2920</v>
      </c>
      <c r="E447" s="64" t="s">
        <v>4376</v>
      </c>
      <c r="F447" s="20" t="s">
        <v>2925</v>
      </c>
      <c r="G447" s="84">
        <v>6.0</v>
      </c>
      <c r="H447" s="66">
        <v>140000.0</v>
      </c>
      <c r="I447" s="8">
        <f t="shared" si="1"/>
        <v>840000</v>
      </c>
      <c r="J447" s="64" t="s">
        <v>205</v>
      </c>
      <c r="K447" s="83"/>
    </row>
    <row r="448" ht="15.75" customHeight="1">
      <c r="A448" s="20" t="s">
        <v>4385</v>
      </c>
      <c r="B448" s="10" t="s">
        <v>2655</v>
      </c>
      <c r="C448" s="13" t="str">
        <f t="array" ref="C448">IFERROR(INDEX('간병신청대장'!$B:$B,MATCH($B448,'간병신청대장'!$A:$A,0)),"")</f>
        <v>남정숙</v>
      </c>
      <c r="D448" s="10" t="s">
        <v>1853</v>
      </c>
      <c r="E448" s="64" t="s">
        <v>4376</v>
      </c>
      <c r="F448" s="20" t="s">
        <v>2659</v>
      </c>
      <c r="G448" s="84">
        <v>6.0</v>
      </c>
      <c r="H448" s="19">
        <v>140000.0</v>
      </c>
      <c r="I448" s="8">
        <f t="shared" si="1"/>
        <v>840000</v>
      </c>
      <c r="J448" s="64" t="s">
        <v>205</v>
      </c>
      <c r="K448" s="83"/>
    </row>
    <row r="449" ht="15.75" customHeight="1">
      <c r="A449" s="20" t="s">
        <v>4397</v>
      </c>
      <c r="B449" s="10" t="s">
        <v>4247</v>
      </c>
      <c r="C449" s="98" t="s">
        <v>2867</v>
      </c>
      <c r="D449" s="64" t="s">
        <v>2938</v>
      </c>
      <c r="E449" s="64" t="s">
        <v>4376</v>
      </c>
      <c r="F449" s="20" t="s">
        <v>4398</v>
      </c>
      <c r="G449" s="84">
        <v>3.0</v>
      </c>
      <c r="H449" s="19">
        <v>140000.0</v>
      </c>
      <c r="I449" s="8">
        <f t="shared" si="1"/>
        <v>420000</v>
      </c>
      <c r="J449" s="64" t="s">
        <v>4399</v>
      </c>
      <c r="K449" s="85"/>
    </row>
    <row r="450" ht="15.75" customHeight="1">
      <c r="A450" s="20" t="s">
        <v>4400</v>
      </c>
      <c r="B450" s="10" t="s">
        <v>2840</v>
      </c>
      <c r="C450" s="64" t="s">
        <v>2842</v>
      </c>
      <c r="D450" s="64" t="s">
        <v>2843</v>
      </c>
      <c r="E450" s="64" t="s">
        <v>4376</v>
      </c>
      <c r="F450" s="20" t="s">
        <v>2847</v>
      </c>
      <c r="G450" s="84">
        <v>8.0</v>
      </c>
      <c r="H450" s="19">
        <v>140000.0</v>
      </c>
      <c r="I450" s="8">
        <f t="shared" si="1"/>
        <v>1120000</v>
      </c>
      <c r="J450" s="64" t="s">
        <v>205</v>
      </c>
      <c r="K450" s="83"/>
    </row>
    <row r="451" ht="15.75" customHeight="1">
      <c r="A451" s="20" t="s">
        <v>4401</v>
      </c>
      <c r="B451" s="10" t="s">
        <v>3022</v>
      </c>
      <c r="C451" s="64" t="s">
        <v>3023</v>
      </c>
      <c r="D451" s="64" t="s">
        <v>3024</v>
      </c>
      <c r="E451" s="64" t="s">
        <v>4376</v>
      </c>
      <c r="F451" s="20" t="s">
        <v>3002</v>
      </c>
      <c r="G451" s="84">
        <v>1.0</v>
      </c>
      <c r="H451" s="19">
        <v>140000.0</v>
      </c>
      <c r="I451" s="8">
        <f t="shared" si="1"/>
        <v>140000</v>
      </c>
      <c r="J451" s="64" t="s">
        <v>205</v>
      </c>
      <c r="K451" s="83"/>
    </row>
    <row r="452" ht="27.75" customHeight="1">
      <c r="A452" s="20" t="s">
        <v>4405</v>
      </c>
      <c r="B452" s="10" t="s">
        <v>2976</v>
      </c>
      <c r="C452" s="92" t="s">
        <v>2978</v>
      </c>
      <c r="D452" s="92" t="s">
        <v>2979</v>
      </c>
      <c r="E452" s="92" t="s">
        <v>4376</v>
      </c>
      <c r="F452" s="20" t="s">
        <v>2985</v>
      </c>
      <c r="G452" s="93">
        <v>4.0</v>
      </c>
      <c r="H452" s="103">
        <v>130000.0</v>
      </c>
      <c r="I452" s="8">
        <f t="shared" si="1"/>
        <v>520000</v>
      </c>
      <c r="J452" s="92" t="s">
        <v>205</v>
      </c>
      <c r="K452" s="83" t="s">
        <v>4409</v>
      </c>
    </row>
    <row r="453" ht="15.75" customHeight="1">
      <c r="A453" s="20" t="s">
        <v>4411</v>
      </c>
      <c r="B453" s="10" t="s">
        <v>2995</v>
      </c>
      <c r="C453" s="64" t="s">
        <v>2996</v>
      </c>
      <c r="D453" s="64" t="s">
        <v>2997</v>
      </c>
      <c r="E453" s="64" t="s">
        <v>4376</v>
      </c>
      <c r="F453" s="20" t="s">
        <v>3002</v>
      </c>
      <c r="G453" s="84">
        <v>3.0</v>
      </c>
      <c r="H453" s="66">
        <v>145000.0</v>
      </c>
      <c r="I453" s="8">
        <f t="shared" si="1"/>
        <v>435000</v>
      </c>
      <c r="J453" s="64" t="s">
        <v>205</v>
      </c>
      <c r="K453" s="96" t="s">
        <v>4412</v>
      </c>
    </row>
    <row r="454" ht="15.75" customHeight="1">
      <c r="A454" s="20" t="s">
        <v>4413</v>
      </c>
      <c r="B454" s="10" t="s">
        <v>1434</v>
      </c>
      <c r="C454" s="13" t="str">
        <f t="array" ref="C454">IFERROR(INDEX('간병신청대장'!$B:$B,MATCH($B454,'간병신청대장'!$A:$A,0)),"")</f>
        <v>김국선</v>
      </c>
      <c r="D454" s="10" t="s">
        <v>1439</v>
      </c>
      <c r="E454" s="64" t="s">
        <v>4376</v>
      </c>
      <c r="F454" s="20" t="s">
        <v>4424</v>
      </c>
      <c r="G454" s="84">
        <v>10.0</v>
      </c>
      <c r="H454" s="19">
        <v>140000.0</v>
      </c>
      <c r="I454" s="8">
        <f t="shared" si="1"/>
        <v>1400000</v>
      </c>
      <c r="J454" s="64" t="s">
        <v>205</v>
      </c>
      <c r="K454" s="83" t="s">
        <v>4425</v>
      </c>
    </row>
    <row r="455" ht="15.75" customHeight="1">
      <c r="A455" s="20" t="s">
        <v>4426</v>
      </c>
      <c r="B455" s="10" t="s">
        <v>1036</v>
      </c>
      <c r="C455" s="13" t="str">
        <f t="array" ref="C455">IFERROR(INDEX('간병신청대장'!$B:$B,MATCH($B455,'간병신청대장'!$A:$A,0)),"")</f>
        <v>최경희</v>
      </c>
      <c r="D455" s="10" t="s">
        <v>1028</v>
      </c>
      <c r="E455" s="64" t="s">
        <v>4376</v>
      </c>
      <c r="F455" s="20" t="s">
        <v>4424</v>
      </c>
      <c r="G455" s="84">
        <v>8.0</v>
      </c>
      <c r="H455" s="33">
        <v>150000.0</v>
      </c>
      <c r="I455" s="8">
        <f t="shared" si="1"/>
        <v>1200000</v>
      </c>
      <c r="J455" s="64" t="s">
        <v>205</v>
      </c>
      <c r="K455" s="83" t="s">
        <v>4433</v>
      </c>
    </row>
    <row r="456" ht="15.75" customHeight="1">
      <c r="A456" s="20" t="s">
        <v>4434</v>
      </c>
      <c r="B456" s="10" t="s">
        <v>1551</v>
      </c>
      <c r="C456" s="13" t="str">
        <f t="array" ref="C456">IFERROR(INDEX('간병신청대장'!$B:$B,MATCH($B456,'간병신청대장'!$A:$A,0)),"")</f>
        <v>이재철</v>
      </c>
      <c r="D456" s="10" t="s">
        <v>1555</v>
      </c>
      <c r="E456" s="64" t="s">
        <v>4376</v>
      </c>
      <c r="F456" s="20" t="s">
        <v>4424</v>
      </c>
      <c r="G456" s="84">
        <v>10.0</v>
      </c>
      <c r="H456" s="19">
        <v>140000.0</v>
      </c>
      <c r="I456" s="8">
        <f t="shared" si="1"/>
        <v>1400000</v>
      </c>
      <c r="J456" s="64" t="s">
        <v>205</v>
      </c>
      <c r="K456" s="85"/>
    </row>
    <row r="457" ht="15.75" customHeight="1">
      <c r="A457" s="20" t="s">
        <v>4444</v>
      </c>
      <c r="B457" s="10" t="s">
        <v>1888</v>
      </c>
      <c r="C457" s="13" t="str">
        <f t="array" ref="C457">IFERROR(INDEX('간병신청대장'!$B:$B,MATCH($B457,'간병신청대장'!$A:$A,0)),"")</f>
        <v>유수분</v>
      </c>
      <c r="D457" s="20" t="s">
        <v>1891</v>
      </c>
      <c r="E457" s="64" t="s">
        <v>4376</v>
      </c>
      <c r="F457" s="20" t="s">
        <v>4424</v>
      </c>
      <c r="G457" s="84">
        <v>10.0</v>
      </c>
      <c r="H457" s="19">
        <v>130000.0</v>
      </c>
      <c r="I457" s="8">
        <f t="shared" si="1"/>
        <v>1300000</v>
      </c>
      <c r="J457" s="64" t="s">
        <v>205</v>
      </c>
      <c r="K457" s="85"/>
    </row>
    <row r="458" ht="15.75" customHeight="1">
      <c r="A458" s="20" t="s">
        <v>4449</v>
      </c>
      <c r="B458" s="10" t="s">
        <v>2091</v>
      </c>
      <c r="C458" s="13" t="str">
        <f t="array" ref="C458">IFERROR(INDEX('간병신청대장'!$B:$B,MATCH($B458,'간병신청대장'!$A:$A,0)),"")</f>
        <v>홍정숙</v>
      </c>
      <c r="D458" s="10" t="s">
        <v>2093</v>
      </c>
      <c r="E458" s="64" t="s">
        <v>4376</v>
      </c>
      <c r="F458" s="20" t="s">
        <v>4424</v>
      </c>
      <c r="G458" s="84">
        <v>10.0</v>
      </c>
      <c r="H458" s="19">
        <v>145000.0</v>
      </c>
      <c r="I458" s="8">
        <f t="shared" si="1"/>
        <v>1450000</v>
      </c>
      <c r="J458" s="64" t="s">
        <v>205</v>
      </c>
      <c r="K458" s="85"/>
    </row>
    <row r="459" ht="15.75" customHeight="1">
      <c r="A459" s="20" t="s">
        <v>4455</v>
      </c>
      <c r="B459" s="10" t="s">
        <v>2214</v>
      </c>
      <c r="C459" s="13" t="str">
        <f t="array" ref="C459">IFERROR(INDEX('간병신청대장'!$B:$B,MATCH($B459,'간병신청대장'!$A:$A,0)),"")</f>
        <v>유승백</v>
      </c>
      <c r="D459" s="10" t="s">
        <v>2217</v>
      </c>
      <c r="E459" s="64" t="s">
        <v>4376</v>
      </c>
      <c r="F459" s="20" t="s">
        <v>4424</v>
      </c>
      <c r="G459" s="84">
        <v>10.0</v>
      </c>
      <c r="H459" s="19">
        <v>135000.0</v>
      </c>
      <c r="I459" s="8">
        <f t="shared" si="1"/>
        <v>1350000</v>
      </c>
      <c r="J459" s="64" t="s">
        <v>205</v>
      </c>
      <c r="K459" s="85"/>
    </row>
    <row r="460" ht="15.75" customHeight="1">
      <c r="A460" s="20" t="s">
        <v>4466</v>
      </c>
      <c r="B460" s="10" t="s">
        <v>2347</v>
      </c>
      <c r="C460" s="13" t="str">
        <f t="array" ref="C460">IFERROR(INDEX('간병신청대장'!$B:$B,MATCH($B460,'간병신청대장'!$A:$A,0)),"")</f>
        <v>박정란</v>
      </c>
      <c r="D460" s="10" t="s">
        <v>2351</v>
      </c>
      <c r="E460" s="64" t="s">
        <v>4376</v>
      </c>
      <c r="F460" s="20" t="s">
        <v>4424</v>
      </c>
      <c r="G460" s="84">
        <v>10.0</v>
      </c>
      <c r="H460" s="19">
        <v>140000.0</v>
      </c>
      <c r="I460" s="8">
        <f t="shared" si="1"/>
        <v>1400000</v>
      </c>
      <c r="J460" s="64" t="s">
        <v>205</v>
      </c>
      <c r="K460" s="85"/>
    </row>
    <row r="461" ht="15.75" customHeight="1">
      <c r="A461" s="20" t="s">
        <v>4476</v>
      </c>
      <c r="B461" s="10" t="s">
        <v>564</v>
      </c>
      <c r="C461" s="13" t="str">
        <f t="array" ref="C461">IFERROR(INDEX('간병신청대장'!$B:$B,MATCH($B461,'간병신청대장'!$A:$A,0)),"")</f>
        <v>전남영</v>
      </c>
      <c r="D461" s="64" t="s">
        <v>2834</v>
      </c>
      <c r="E461" s="64" t="s">
        <v>4376</v>
      </c>
      <c r="F461" s="20" t="s">
        <v>4424</v>
      </c>
      <c r="G461" s="84">
        <v>10.0</v>
      </c>
      <c r="H461" s="66">
        <v>140000.0</v>
      </c>
      <c r="I461" s="8">
        <f t="shared" si="1"/>
        <v>1400000</v>
      </c>
      <c r="J461" s="64" t="s">
        <v>205</v>
      </c>
      <c r="K461" s="85"/>
    </row>
    <row r="462" ht="15.75" customHeight="1">
      <c r="A462" s="20" t="s">
        <v>4482</v>
      </c>
      <c r="B462" s="10" t="s">
        <v>2631</v>
      </c>
      <c r="C462" s="13" t="str">
        <f t="array" ref="C462">IFERROR(INDEX('간병신청대장'!$B:$B,MATCH($B462,'간병신청대장'!$A:$A,0)),"")</f>
        <v>강종미</v>
      </c>
      <c r="D462" s="10" t="s">
        <v>2634</v>
      </c>
      <c r="E462" s="64" t="s">
        <v>4376</v>
      </c>
      <c r="F462" s="20" t="s">
        <v>4424</v>
      </c>
      <c r="G462" s="84">
        <v>10.0</v>
      </c>
      <c r="H462" s="19">
        <v>130000.0</v>
      </c>
      <c r="I462" s="8">
        <f t="shared" si="1"/>
        <v>1300000</v>
      </c>
      <c r="J462" s="64" t="s">
        <v>205</v>
      </c>
      <c r="K462" s="85"/>
    </row>
    <row r="463" ht="15.75" customHeight="1">
      <c r="A463" s="20" t="s">
        <v>4485</v>
      </c>
      <c r="B463" s="10" t="s">
        <v>2232</v>
      </c>
      <c r="C463" s="13" t="str">
        <f t="array" ref="C463">IFERROR(INDEX('간병신청대장'!$B:$B,MATCH($B463,'간병신청대장'!$A:$A,0)),"")</f>
        <v>김철재</v>
      </c>
      <c r="D463" s="64" t="s">
        <v>2931</v>
      </c>
      <c r="E463" s="64" t="s">
        <v>4376</v>
      </c>
      <c r="F463" s="20" t="s">
        <v>4424</v>
      </c>
      <c r="G463" s="84">
        <v>8.0</v>
      </c>
      <c r="H463" s="66">
        <v>130000.0</v>
      </c>
      <c r="I463" s="8">
        <f t="shared" si="1"/>
        <v>1040000</v>
      </c>
      <c r="J463" s="64" t="s">
        <v>205</v>
      </c>
      <c r="K463" s="85"/>
    </row>
    <row r="464" ht="15.75" customHeight="1">
      <c r="A464" s="20" t="s">
        <v>4491</v>
      </c>
      <c r="B464" s="10" t="s">
        <v>2644</v>
      </c>
      <c r="C464" s="13" t="str">
        <f t="array" ref="C464">IFERROR(INDEX('간병신청대장'!$B:$B,MATCH($B464,'간병신청대장'!$A:$A,0)),"")</f>
        <v>남경임</v>
      </c>
      <c r="D464" s="64" t="s">
        <v>2938</v>
      </c>
      <c r="E464" s="64" t="s">
        <v>4376</v>
      </c>
      <c r="F464" s="20" t="s">
        <v>4424</v>
      </c>
      <c r="G464" s="84">
        <v>4.0</v>
      </c>
      <c r="H464" s="66">
        <v>140000.0</v>
      </c>
      <c r="I464" s="8">
        <f t="shared" si="1"/>
        <v>560000</v>
      </c>
      <c r="J464" s="64" t="s">
        <v>205</v>
      </c>
      <c r="K464" s="85"/>
    </row>
    <row r="465" ht="15.75" customHeight="1">
      <c r="A465" s="20" t="s">
        <v>4498</v>
      </c>
      <c r="B465" s="10" t="s">
        <v>2988</v>
      </c>
      <c r="C465" s="13" t="str">
        <f t="array" ref="C465">IFERROR(INDEX('간병신청대장'!$B:$B,MATCH($B465,'간병신청대장'!$A:$A,0)),"")</f>
        <v>예선옥</v>
      </c>
      <c r="D465" s="64" t="s">
        <v>2990</v>
      </c>
      <c r="E465" s="64" t="s">
        <v>4376</v>
      </c>
      <c r="F465" s="20" t="s">
        <v>4424</v>
      </c>
      <c r="G465" s="84">
        <v>5.0</v>
      </c>
      <c r="H465" s="66">
        <v>140000.0</v>
      </c>
      <c r="I465" s="8">
        <f t="shared" si="1"/>
        <v>700000</v>
      </c>
      <c r="J465" s="64" t="s">
        <v>205</v>
      </c>
      <c r="K465" s="83" t="s">
        <v>4501</v>
      </c>
    </row>
    <row r="466" ht="15.75" customHeight="1">
      <c r="A466" s="20" t="s">
        <v>4502</v>
      </c>
      <c r="B466" s="10" t="s">
        <v>3005</v>
      </c>
      <c r="C466" s="13" t="str">
        <f t="array" ref="C466">IFERROR(INDEX('간병신청대장'!$B:$B,MATCH($B466,'간병신청대장'!$A:$A,0)),"")</f>
        <v>지선주</v>
      </c>
      <c r="D466" s="64" t="s">
        <v>2623</v>
      </c>
      <c r="E466" s="64" t="s">
        <v>4376</v>
      </c>
      <c r="F466" s="20" t="s">
        <v>4424</v>
      </c>
      <c r="G466" s="84">
        <v>3.0</v>
      </c>
      <c r="H466" s="66">
        <v>130000.0</v>
      </c>
      <c r="I466" s="8">
        <f t="shared" si="1"/>
        <v>390000</v>
      </c>
      <c r="J466" s="64" t="s">
        <v>205</v>
      </c>
      <c r="K466" s="83" t="s">
        <v>4513</v>
      </c>
    </row>
    <row r="467" ht="15.75" customHeight="1">
      <c r="A467" s="20" t="s">
        <v>4514</v>
      </c>
      <c r="B467" s="10" t="s">
        <v>3010</v>
      </c>
      <c r="C467" s="13" t="str">
        <f t="array" ref="C467">IFERROR(INDEX('간병신청대장'!$B:$B,MATCH($B467,'간병신청대장'!$A:$A,0)),"")</f>
        <v>이정숙</v>
      </c>
      <c r="D467" s="64" t="s">
        <v>3012</v>
      </c>
      <c r="E467" s="64" t="s">
        <v>4376</v>
      </c>
      <c r="F467" s="20" t="s">
        <v>4424</v>
      </c>
      <c r="G467" s="84">
        <v>2.0</v>
      </c>
      <c r="H467" s="66">
        <v>130000.0</v>
      </c>
      <c r="I467" s="8">
        <f t="shared" si="1"/>
        <v>260000</v>
      </c>
      <c r="J467" s="64" t="s">
        <v>205</v>
      </c>
      <c r="K467" s="83" t="s">
        <v>4516</v>
      </c>
    </row>
    <row r="468" ht="15.75" customHeight="1">
      <c r="A468" s="20" t="s">
        <v>4518</v>
      </c>
      <c r="B468" s="10" t="s">
        <v>2946</v>
      </c>
      <c r="C468" s="13" t="str">
        <f t="array" ref="C468">IFERROR(INDEX('간병신청대장'!$B:$B,MATCH($B468,'간병신청대장'!$A:$A,0)),"")</f>
        <v>지영춘</v>
      </c>
      <c r="D468" s="56" t="s">
        <v>2948</v>
      </c>
      <c r="E468" s="64" t="s">
        <v>4523</v>
      </c>
      <c r="F468" s="20" t="s">
        <v>4524</v>
      </c>
      <c r="G468" s="84">
        <v>7.0</v>
      </c>
      <c r="H468" s="66">
        <v>140000.0</v>
      </c>
      <c r="I468" s="8">
        <f t="shared" si="1"/>
        <v>980000</v>
      </c>
      <c r="J468" s="64" t="s">
        <v>205</v>
      </c>
      <c r="K468" s="96"/>
    </row>
    <row r="469" ht="15.75" customHeight="1">
      <c r="A469" s="20" t="s">
        <v>4525</v>
      </c>
      <c r="B469" s="10" t="s">
        <v>3063</v>
      </c>
      <c r="C469" s="13" t="str">
        <f t="array" ref="C469">IFERROR(INDEX('간병신청대장'!$B:$B,MATCH($B469,'간병신청대장'!$A:$A,0)),"")</f>
        <v>이지은</v>
      </c>
      <c r="D469" s="64" t="s">
        <v>2666</v>
      </c>
      <c r="E469" s="64" t="s">
        <v>4523</v>
      </c>
      <c r="F469" s="20" t="s">
        <v>3067</v>
      </c>
      <c r="G469" s="84">
        <v>3.0</v>
      </c>
      <c r="H469" s="66">
        <v>140000.0</v>
      </c>
      <c r="I469" s="8">
        <f t="shared" si="1"/>
        <v>420000</v>
      </c>
      <c r="J469" s="64" t="s">
        <v>205</v>
      </c>
      <c r="K469" s="83" t="s">
        <v>464</v>
      </c>
    </row>
    <row r="470" ht="15.75" customHeight="1">
      <c r="A470" s="20" t="s">
        <v>4531</v>
      </c>
      <c r="B470" s="10" t="s">
        <v>4403</v>
      </c>
      <c r="C470" s="13" t="str">
        <f t="array" ref="C470">IFERROR(INDEX('간병신청대장'!$B:$B,MATCH($B470,'간병신청대장'!$A:$A,0)),"")</f>
        <v>차상옥</v>
      </c>
      <c r="D470" s="64" t="s">
        <v>2910</v>
      </c>
      <c r="E470" s="64" t="s">
        <v>4376</v>
      </c>
      <c r="F470" s="20" t="s">
        <v>4545</v>
      </c>
      <c r="G470" s="84">
        <v>4.0</v>
      </c>
      <c r="H470" s="66">
        <v>140000.0</v>
      </c>
      <c r="I470" s="8">
        <f t="shared" si="1"/>
        <v>560000</v>
      </c>
      <c r="J470" s="64" t="s">
        <v>205</v>
      </c>
      <c r="K470" s="83"/>
    </row>
    <row r="471" ht="15.75" customHeight="1">
      <c r="A471" s="20" t="s">
        <v>4546</v>
      </c>
      <c r="B471" s="10" t="s">
        <v>1090</v>
      </c>
      <c r="C471" s="13" t="str">
        <f t="array" ref="C471">IFERROR(INDEX('간병신청대장'!$B:$B,MATCH($B471,'간병신청대장'!$A:$A,0)),"")</f>
        <v>지영희</v>
      </c>
      <c r="D471" s="10" t="s">
        <v>1095</v>
      </c>
      <c r="E471" s="64" t="s">
        <v>4376</v>
      </c>
      <c r="F471" s="20" t="s">
        <v>4424</v>
      </c>
      <c r="G471" s="84">
        <v>10.0</v>
      </c>
      <c r="H471" s="66">
        <v>135000.0</v>
      </c>
      <c r="I471" s="8">
        <f t="shared" si="1"/>
        <v>1350000</v>
      </c>
      <c r="J471" s="64" t="s">
        <v>205</v>
      </c>
      <c r="K471" s="85"/>
    </row>
    <row r="472" ht="15.75" customHeight="1">
      <c r="A472" s="20" t="s">
        <v>4549</v>
      </c>
      <c r="B472" s="10" t="s">
        <v>2281</v>
      </c>
      <c r="C472" s="13" t="str">
        <f t="array" ref="C472">IFERROR(INDEX('간병신청대장'!$B:$B,MATCH($B472,'간병신청대장'!$A:$A,0)),"")</f>
        <v>최영자</v>
      </c>
      <c r="D472" s="20" t="s">
        <v>2286</v>
      </c>
      <c r="E472" s="64" t="s">
        <v>4376</v>
      </c>
      <c r="F472" s="20" t="s">
        <v>4424</v>
      </c>
      <c r="G472" s="84">
        <v>8.0</v>
      </c>
      <c r="H472" s="66">
        <v>80000.0</v>
      </c>
      <c r="I472" s="8">
        <f t="shared" si="1"/>
        <v>640000</v>
      </c>
      <c r="J472" s="64" t="s">
        <v>205</v>
      </c>
      <c r="K472" s="85"/>
    </row>
    <row r="473" ht="15.75" customHeight="1">
      <c r="A473" s="20" t="s">
        <v>4563</v>
      </c>
      <c r="B473" s="10" t="s">
        <v>3029</v>
      </c>
      <c r="C473" s="13" t="str">
        <f t="array" ref="C473">IFERROR(INDEX('간병신청대장'!$B:$B,MATCH($B473,'간병신청대장'!$A:$A,0)),"")</f>
        <v>윤석찬</v>
      </c>
      <c r="D473" s="64" t="s">
        <v>3031</v>
      </c>
      <c r="E473" s="64" t="s">
        <v>4523</v>
      </c>
      <c r="F473" s="20" t="s">
        <v>4564</v>
      </c>
      <c r="G473" s="84">
        <v>5.0</v>
      </c>
      <c r="H473" s="66">
        <v>130000.0</v>
      </c>
      <c r="I473" s="8">
        <f t="shared" si="1"/>
        <v>650000</v>
      </c>
      <c r="J473" s="64" t="s">
        <v>205</v>
      </c>
      <c r="K473" s="83" t="s">
        <v>4513</v>
      </c>
    </row>
    <row r="474" ht="15.75" customHeight="1">
      <c r="A474" s="20" t="s">
        <v>4566</v>
      </c>
      <c r="B474" s="10" t="s">
        <v>2946</v>
      </c>
      <c r="C474" s="13" t="str">
        <f t="array" ref="C474">IFERROR(INDEX('간병신청대장'!$B:$B,MATCH($B474,'간병신청대장'!$A:$A,0)),"")</f>
        <v>지영춘</v>
      </c>
      <c r="D474" s="56" t="s">
        <v>2948</v>
      </c>
      <c r="E474" s="64" t="s">
        <v>4523</v>
      </c>
      <c r="F474" s="20" t="s">
        <v>2953</v>
      </c>
      <c r="G474" s="84">
        <v>5.0</v>
      </c>
      <c r="H474" s="66">
        <v>140000.0</v>
      </c>
      <c r="I474" s="8">
        <f t="shared" si="1"/>
        <v>700000</v>
      </c>
      <c r="J474" s="64" t="s">
        <v>205</v>
      </c>
      <c r="K474" s="85"/>
    </row>
    <row r="475" ht="15.75" customHeight="1">
      <c r="A475" s="20" t="s">
        <v>4575</v>
      </c>
      <c r="B475" s="10" t="s">
        <v>3070</v>
      </c>
      <c r="C475" s="64" t="s">
        <v>3071</v>
      </c>
      <c r="D475" s="64" t="s">
        <v>1263</v>
      </c>
      <c r="E475" s="64" t="s">
        <v>4523</v>
      </c>
      <c r="F475" s="20" t="s">
        <v>3039</v>
      </c>
      <c r="G475" s="84">
        <v>4.0</v>
      </c>
      <c r="H475" s="66">
        <v>140000.0</v>
      </c>
      <c r="I475" s="8">
        <f t="shared" si="1"/>
        <v>560000</v>
      </c>
      <c r="J475" s="64" t="s">
        <v>205</v>
      </c>
      <c r="K475" s="85"/>
    </row>
    <row r="476" ht="15.75" customHeight="1">
      <c r="A476" s="20" t="s">
        <v>4576</v>
      </c>
      <c r="B476" s="10" t="s">
        <v>3010</v>
      </c>
      <c r="C476" s="64" t="s">
        <v>3011</v>
      </c>
      <c r="D476" s="64" t="s">
        <v>3012</v>
      </c>
      <c r="E476" s="64" t="s">
        <v>4523</v>
      </c>
      <c r="F476" s="64" t="s">
        <v>3018</v>
      </c>
      <c r="G476" s="84">
        <v>5.0</v>
      </c>
      <c r="H476" s="66">
        <v>140000.0</v>
      </c>
      <c r="I476" s="8">
        <f t="shared" si="1"/>
        <v>700000</v>
      </c>
      <c r="J476" s="64" t="s">
        <v>205</v>
      </c>
      <c r="K476" s="83" t="s">
        <v>4582</v>
      </c>
    </row>
    <row r="477" ht="15.75" customHeight="1">
      <c r="A477" s="20" t="s">
        <v>4586</v>
      </c>
      <c r="B477" s="10" t="s">
        <v>3056</v>
      </c>
      <c r="C477" s="64" t="s">
        <v>3057</v>
      </c>
      <c r="D477" s="64" t="s">
        <v>2920</v>
      </c>
      <c r="E477" s="64" t="s">
        <v>4523</v>
      </c>
      <c r="F477" s="20" t="s">
        <v>3061</v>
      </c>
      <c r="G477" s="84">
        <v>3.0</v>
      </c>
      <c r="H477" s="66">
        <v>140000.0</v>
      </c>
      <c r="I477" s="8">
        <f t="shared" si="1"/>
        <v>420000</v>
      </c>
      <c r="J477" s="64" t="s">
        <v>205</v>
      </c>
      <c r="K477" s="85"/>
    </row>
    <row r="478" ht="15.75" customHeight="1">
      <c r="A478" s="20" t="s">
        <v>4587</v>
      </c>
      <c r="B478" s="10" t="s">
        <v>3045</v>
      </c>
      <c r="C478" s="64" t="s">
        <v>3046</v>
      </c>
      <c r="D478" s="64" t="s">
        <v>3048</v>
      </c>
      <c r="E478" s="64" t="s">
        <v>4523</v>
      </c>
      <c r="F478" s="64" t="s">
        <v>3018</v>
      </c>
      <c r="G478" s="84">
        <v>5.0</v>
      </c>
      <c r="H478" s="66">
        <v>140000.0</v>
      </c>
      <c r="I478" s="8">
        <f t="shared" si="1"/>
        <v>700000</v>
      </c>
      <c r="J478" s="64" t="s">
        <v>205</v>
      </c>
      <c r="K478" s="83" t="s">
        <v>109</v>
      </c>
    </row>
    <row r="479" ht="15.75" customHeight="1">
      <c r="A479" s="20" t="s">
        <v>4588</v>
      </c>
      <c r="B479" s="10" t="s">
        <v>3070</v>
      </c>
      <c r="C479" s="64" t="s">
        <v>3071</v>
      </c>
      <c r="D479" s="64" t="s">
        <v>3140</v>
      </c>
      <c r="E479" s="64" t="s">
        <v>4523</v>
      </c>
      <c r="F479" s="64" t="s">
        <v>4591</v>
      </c>
      <c r="G479" s="84">
        <v>2.0</v>
      </c>
      <c r="H479" s="66">
        <v>140000.0</v>
      </c>
      <c r="I479" s="8">
        <f t="shared" si="1"/>
        <v>280000</v>
      </c>
      <c r="J479" s="64" t="s">
        <v>205</v>
      </c>
      <c r="K479" s="83" t="s">
        <v>109</v>
      </c>
    </row>
    <row r="480" ht="15.75" customHeight="1">
      <c r="A480" s="20" t="s">
        <v>4592</v>
      </c>
      <c r="B480" s="10" t="s">
        <v>3155</v>
      </c>
      <c r="C480" s="64" t="s">
        <v>3157</v>
      </c>
      <c r="D480" s="64" t="s">
        <v>3158</v>
      </c>
      <c r="E480" s="64" t="s">
        <v>4523</v>
      </c>
      <c r="F480" s="20" t="s">
        <v>3162</v>
      </c>
      <c r="G480" s="84">
        <v>2.0</v>
      </c>
      <c r="H480" s="66">
        <v>140000.0</v>
      </c>
      <c r="I480" s="8">
        <f t="shared" si="1"/>
        <v>280000</v>
      </c>
      <c r="J480" s="64" t="s">
        <v>205</v>
      </c>
      <c r="K480" s="83" t="s">
        <v>109</v>
      </c>
    </row>
    <row r="481" ht="15.75" customHeight="1">
      <c r="A481" s="20" t="s">
        <v>4593</v>
      </c>
      <c r="B481" s="10" t="s">
        <v>1036</v>
      </c>
      <c r="C481" s="13" t="str">
        <f t="array" ref="C481">IFERROR(INDEX('간병신청대장'!$B:$B,MATCH($B481,'간병신청대장'!$A:$A,0)),"")</f>
        <v>최경희</v>
      </c>
      <c r="D481" s="10" t="s">
        <v>1028</v>
      </c>
      <c r="E481" s="64" t="s">
        <v>4523</v>
      </c>
      <c r="F481" s="20" t="s">
        <v>4600</v>
      </c>
      <c r="G481" s="84">
        <v>6.0</v>
      </c>
      <c r="H481" s="19">
        <v>150000.0</v>
      </c>
      <c r="I481" s="8">
        <f t="shared" si="1"/>
        <v>900000</v>
      </c>
      <c r="J481" s="20"/>
      <c r="K481" s="83">
        <v>1.20130192E7</v>
      </c>
    </row>
    <row r="482" ht="15.75" customHeight="1">
      <c r="A482" s="20" t="s">
        <v>4601</v>
      </c>
      <c r="B482" s="10" t="s">
        <v>1090</v>
      </c>
      <c r="C482" s="13" t="str">
        <f t="array" ref="C482">IFERROR(INDEX('간병신청대장'!$B:$B,MATCH($B482,'간병신청대장'!$A:$A,0)),"")</f>
        <v>지영희</v>
      </c>
      <c r="D482" s="10" t="s">
        <v>1095</v>
      </c>
      <c r="E482" s="64" t="s">
        <v>4523</v>
      </c>
      <c r="F482" s="20" t="s">
        <v>4600</v>
      </c>
      <c r="G482" s="84">
        <v>10.0</v>
      </c>
      <c r="H482" s="19">
        <v>135000.0</v>
      </c>
      <c r="I482" s="8">
        <f t="shared" si="1"/>
        <v>1350000</v>
      </c>
      <c r="J482" s="85"/>
      <c r="K482" s="85"/>
    </row>
    <row r="483" ht="15.75" customHeight="1">
      <c r="A483" s="20" t="s">
        <v>4608</v>
      </c>
      <c r="B483" s="10" t="s">
        <v>1551</v>
      </c>
      <c r="C483" s="13" t="str">
        <f t="array" ref="C483">IFERROR(INDEX('간병신청대장'!$B:$B,MATCH($B483,'간병신청대장'!$A:$A,0)),"")</f>
        <v>이재철</v>
      </c>
      <c r="D483" s="10" t="s">
        <v>1555</v>
      </c>
      <c r="E483" s="64" t="s">
        <v>4523</v>
      </c>
      <c r="F483" s="20" t="s">
        <v>4600</v>
      </c>
      <c r="G483" s="84">
        <v>10.0</v>
      </c>
      <c r="H483" s="66">
        <v>140000.0</v>
      </c>
      <c r="I483" s="8">
        <f t="shared" si="1"/>
        <v>1400000</v>
      </c>
      <c r="J483" s="85"/>
      <c r="K483" s="85"/>
    </row>
    <row r="484" ht="15.75" customHeight="1">
      <c r="A484" s="20" t="s">
        <v>4611</v>
      </c>
      <c r="B484" s="10" t="s">
        <v>1434</v>
      </c>
      <c r="C484" s="13" t="str">
        <f t="array" ref="C484">IFERROR(INDEX('간병신청대장'!$B:$B,MATCH($B484,'간병신청대장'!$A:$A,0)),"")</f>
        <v>김국선</v>
      </c>
      <c r="D484" s="10" t="s">
        <v>1439</v>
      </c>
      <c r="E484" s="64" t="s">
        <v>4523</v>
      </c>
      <c r="F484" s="20" t="s">
        <v>4617</v>
      </c>
      <c r="G484" s="84">
        <v>12.0</v>
      </c>
      <c r="H484" s="19">
        <v>140000.0</v>
      </c>
      <c r="I484" s="8">
        <f t="shared" si="1"/>
        <v>1680000</v>
      </c>
      <c r="J484" s="83" t="s">
        <v>4618</v>
      </c>
      <c r="K484" s="83" t="s">
        <v>4619</v>
      </c>
    </row>
    <row r="485" ht="15.75" customHeight="1">
      <c r="A485" s="20" t="s">
        <v>4620</v>
      </c>
      <c r="B485" s="10" t="s">
        <v>1888</v>
      </c>
      <c r="C485" s="13" t="str">
        <f t="array" ref="C485">IFERROR(INDEX('간병신청대장'!$B:$B,MATCH($B485,'간병신청대장'!$A:$A,0)),"")</f>
        <v>유수분</v>
      </c>
      <c r="D485" s="20" t="s">
        <v>1891</v>
      </c>
      <c r="E485" s="64" t="s">
        <v>4523</v>
      </c>
      <c r="F485" s="20" t="s">
        <v>4600</v>
      </c>
      <c r="G485" s="84">
        <v>10.0</v>
      </c>
      <c r="H485" s="19">
        <v>130000.0</v>
      </c>
      <c r="I485" s="8">
        <f t="shared" si="1"/>
        <v>1300000</v>
      </c>
      <c r="J485" s="85"/>
      <c r="K485" s="83"/>
    </row>
    <row r="486" ht="15.75" customHeight="1">
      <c r="A486" s="20" t="s">
        <v>4627</v>
      </c>
      <c r="B486" s="10" t="s">
        <v>2091</v>
      </c>
      <c r="C486" s="13" t="str">
        <f t="array" ref="C486">IFERROR(INDEX('간병신청대장'!$B:$B,MATCH($B486,'간병신청대장'!$A:$A,0)),"")</f>
        <v>홍정숙</v>
      </c>
      <c r="D486" s="10" t="s">
        <v>2093</v>
      </c>
      <c r="E486" s="64" t="s">
        <v>4523</v>
      </c>
      <c r="F486" s="20" t="s">
        <v>4600</v>
      </c>
      <c r="G486" s="84">
        <v>10.0</v>
      </c>
      <c r="H486" s="19">
        <v>145000.0</v>
      </c>
      <c r="I486" s="8">
        <f t="shared" si="1"/>
        <v>1450000</v>
      </c>
      <c r="J486" s="85"/>
      <c r="K486" s="85"/>
    </row>
    <row r="487" ht="15.75" customHeight="1">
      <c r="A487" s="20" t="s">
        <v>4629</v>
      </c>
      <c r="B487" s="10" t="s">
        <v>2214</v>
      </c>
      <c r="C487" s="13" t="str">
        <f t="array" ref="C487">IFERROR(INDEX('간병신청대장'!$B:$B,MATCH($B487,'간병신청대장'!$A:$A,0)),"")</f>
        <v>유승백</v>
      </c>
      <c r="D487" s="10" t="s">
        <v>2217</v>
      </c>
      <c r="E487" s="64" t="s">
        <v>4523</v>
      </c>
      <c r="F487" s="20" t="s">
        <v>4600</v>
      </c>
      <c r="G487" s="84">
        <v>10.0</v>
      </c>
      <c r="H487" s="19">
        <v>135000.0</v>
      </c>
      <c r="I487" s="8">
        <f t="shared" si="1"/>
        <v>1350000</v>
      </c>
      <c r="J487" s="85"/>
      <c r="K487" s="85"/>
    </row>
    <row r="488" ht="15.75" customHeight="1">
      <c r="A488" s="20" t="s">
        <v>4638</v>
      </c>
      <c r="B488" s="10" t="s">
        <v>2347</v>
      </c>
      <c r="C488" s="13" t="str">
        <f t="array" ref="C488">IFERROR(INDEX('간병신청대장'!$B:$B,MATCH($B488,'간병신청대장'!$A:$A,0)),"")</f>
        <v>박정란</v>
      </c>
      <c r="D488" s="10" t="s">
        <v>2351</v>
      </c>
      <c r="E488" s="64" t="s">
        <v>4523</v>
      </c>
      <c r="F488" s="20" t="s">
        <v>4600</v>
      </c>
      <c r="G488" s="84">
        <v>10.0</v>
      </c>
      <c r="H488" s="19">
        <v>140000.0</v>
      </c>
      <c r="I488" s="8">
        <f t="shared" si="1"/>
        <v>1400000</v>
      </c>
      <c r="J488" s="85"/>
      <c r="K488" s="85"/>
    </row>
    <row r="489" ht="15.75" customHeight="1">
      <c r="A489" s="20" t="s">
        <v>4650</v>
      </c>
      <c r="B489" s="10" t="s">
        <v>2631</v>
      </c>
      <c r="C489" s="13" t="str">
        <f t="array" ref="C489">IFERROR(INDEX('간병신청대장'!$B:$B,MATCH($B489,'간병신청대장'!$A:$A,0)),"")</f>
        <v>강종미</v>
      </c>
      <c r="D489" s="10" t="s">
        <v>2634</v>
      </c>
      <c r="E489" s="64" t="s">
        <v>4523</v>
      </c>
      <c r="F489" s="20" t="s">
        <v>2639</v>
      </c>
      <c r="G489" s="84">
        <v>11.0</v>
      </c>
      <c r="H489" s="19">
        <v>130000.0</v>
      </c>
      <c r="I489" s="8">
        <f t="shared" si="1"/>
        <v>1430000</v>
      </c>
      <c r="J489" s="83" t="s">
        <v>4654</v>
      </c>
      <c r="K489" s="83" t="s">
        <v>464</v>
      </c>
    </row>
    <row r="490" ht="15.75" customHeight="1">
      <c r="A490" s="20" t="s">
        <v>4655</v>
      </c>
      <c r="B490" s="10" t="s">
        <v>2232</v>
      </c>
      <c r="C490" s="13" t="str">
        <f t="array" ref="C490">IFERROR(INDEX('간병신청대장'!$B:$B,MATCH($B490,'간병신청대장'!$A:$A,0)),"")</f>
        <v>김철재</v>
      </c>
      <c r="D490" s="64" t="s">
        <v>2931</v>
      </c>
      <c r="E490" s="64" t="s">
        <v>4523</v>
      </c>
      <c r="F490" s="20" t="s">
        <v>4600</v>
      </c>
      <c r="G490" s="84">
        <v>10.0</v>
      </c>
      <c r="H490" s="66">
        <v>130000.0</v>
      </c>
      <c r="I490" s="8">
        <f t="shared" si="1"/>
        <v>1300000</v>
      </c>
      <c r="J490" s="85"/>
      <c r="K490" s="85"/>
    </row>
    <row r="491" ht="15.75" customHeight="1">
      <c r="A491" s="20" t="s">
        <v>4664</v>
      </c>
      <c r="B491" s="10" t="s">
        <v>2988</v>
      </c>
      <c r="C491" s="64" t="s">
        <v>2989</v>
      </c>
      <c r="D491" s="64" t="s">
        <v>2990</v>
      </c>
      <c r="E491" s="64" t="s">
        <v>4523</v>
      </c>
      <c r="F491" s="20" t="s">
        <v>4600</v>
      </c>
      <c r="G491" s="84">
        <v>10.0</v>
      </c>
      <c r="H491" s="19">
        <v>140000.0</v>
      </c>
      <c r="I491" s="8">
        <f t="shared" si="1"/>
        <v>1400000</v>
      </c>
      <c r="J491" s="85"/>
      <c r="K491" s="83" t="s">
        <v>109</v>
      </c>
    </row>
    <row r="492" ht="15.75" customHeight="1">
      <c r="A492" s="20" t="s">
        <v>4665</v>
      </c>
      <c r="B492" s="10" t="s">
        <v>3005</v>
      </c>
      <c r="C492" s="64" t="s">
        <v>3006</v>
      </c>
      <c r="D492" s="64" t="s">
        <v>2623</v>
      </c>
      <c r="E492" s="64" t="s">
        <v>4523</v>
      </c>
      <c r="F492" s="20" t="s">
        <v>4600</v>
      </c>
      <c r="G492" s="84">
        <v>10.0</v>
      </c>
      <c r="H492" s="66">
        <v>130000.0</v>
      </c>
      <c r="I492" s="8">
        <f t="shared" si="1"/>
        <v>1300000</v>
      </c>
      <c r="J492" s="85"/>
      <c r="K492" s="83" t="s">
        <v>4667</v>
      </c>
    </row>
    <row r="493" ht="15.75" customHeight="1">
      <c r="A493" s="20" t="s">
        <v>4668</v>
      </c>
      <c r="B493" s="10" t="s">
        <v>3029</v>
      </c>
      <c r="C493" s="64" t="s">
        <v>3030</v>
      </c>
      <c r="D493" s="64" t="s">
        <v>3092</v>
      </c>
      <c r="E493" s="64" t="s">
        <v>4523</v>
      </c>
      <c r="F493" s="20" t="s">
        <v>4600</v>
      </c>
      <c r="G493" s="84">
        <v>6.0</v>
      </c>
      <c r="H493" s="19">
        <v>140000.0</v>
      </c>
      <c r="I493" s="8">
        <f t="shared" si="1"/>
        <v>840000</v>
      </c>
      <c r="J493" s="85"/>
      <c r="K493" s="83" t="s">
        <v>109</v>
      </c>
    </row>
    <row r="494" ht="15.75" customHeight="1">
      <c r="A494" s="20" t="s">
        <v>4669</v>
      </c>
      <c r="B494" s="10" t="s">
        <v>3103</v>
      </c>
      <c r="C494" s="64" t="s">
        <v>3104</v>
      </c>
      <c r="D494" s="64" t="s">
        <v>3105</v>
      </c>
      <c r="E494" s="64" t="s">
        <v>4523</v>
      </c>
      <c r="F494" s="20" t="s">
        <v>4670</v>
      </c>
      <c r="G494" s="84">
        <v>4.0</v>
      </c>
      <c r="H494" s="66">
        <v>130000.0</v>
      </c>
      <c r="I494" s="8">
        <f t="shared" si="1"/>
        <v>520000</v>
      </c>
      <c r="J494" s="83" t="s">
        <v>4671</v>
      </c>
      <c r="K494" s="83" t="s">
        <v>4667</v>
      </c>
    </row>
    <row r="495" ht="15.75" customHeight="1">
      <c r="A495" s="20" t="s">
        <v>4673</v>
      </c>
      <c r="B495" s="10" t="s">
        <v>1066</v>
      </c>
      <c r="C495" s="64" t="s">
        <v>3131</v>
      </c>
      <c r="D495" s="64" t="s">
        <v>3132</v>
      </c>
      <c r="E495" s="64" t="s">
        <v>4523</v>
      </c>
      <c r="F495" s="20" t="s">
        <v>4600</v>
      </c>
      <c r="G495" s="84">
        <v>6.0</v>
      </c>
      <c r="H495" s="66">
        <v>140000.0</v>
      </c>
      <c r="I495" s="8">
        <f t="shared" si="1"/>
        <v>840000</v>
      </c>
      <c r="J495" s="85"/>
      <c r="K495" s="83"/>
    </row>
    <row r="496" ht="15.75" customHeight="1">
      <c r="A496" s="20" t="s">
        <v>4676</v>
      </c>
      <c r="B496" s="10" t="s">
        <v>3165</v>
      </c>
      <c r="C496" s="64" t="s">
        <v>3166</v>
      </c>
      <c r="D496" s="64" t="s">
        <v>3167</v>
      </c>
      <c r="E496" s="64" t="s">
        <v>4523</v>
      </c>
      <c r="F496" s="20" t="s">
        <v>4600</v>
      </c>
      <c r="G496" s="84">
        <v>4.0</v>
      </c>
      <c r="H496" s="66">
        <v>140000.0</v>
      </c>
      <c r="I496" s="8">
        <f t="shared" si="1"/>
        <v>560000</v>
      </c>
      <c r="J496" s="85"/>
      <c r="K496" s="83" t="s">
        <v>109</v>
      </c>
    </row>
    <row r="497" ht="15.75" customHeight="1">
      <c r="A497" s="20" t="s">
        <v>4678</v>
      </c>
      <c r="B497" s="10" t="s">
        <v>3172</v>
      </c>
      <c r="C497" s="64" t="s">
        <v>3173</v>
      </c>
      <c r="D497" s="64" t="s">
        <v>3174</v>
      </c>
      <c r="E497" s="64" t="s">
        <v>4523</v>
      </c>
      <c r="F497" s="20" t="s">
        <v>4600</v>
      </c>
      <c r="G497" s="84">
        <v>3.0</v>
      </c>
      <c r="H497" s="66">
        <v>140000.0</v>
      </c>
      <c r="I497" s="8">
        <f t="shared" si="1"/>
        <v>420000</v>
      </c>
      <c r="J497" s="85"/>
      <c r="K497" s="83" t="s">
        <v>109</v>
      </c>
    </row>
    <row r="498" ht="15.75" customHeight="1">
      <c r="A498" s="20" t="s">
        <v>4680</v>
      </c>
      <c r="B498" s="68" t="s">
        <v>2644</v>
      </c>
      <c r="C498" s="69" t="s">
        <v>2867</v>
      </c>
      <c r="D498" s="64" t="s">
        <v>2938</v>
      </c>
      <c r="E498" s="64" t="s">
        <v>4523</v>
      </c>
      <c r="F498" s="20" t="s">
        <v>3119</v>
      </c>
      <c r="G498" s="84">
        <v>7.0</v>
      </c>
      <c r="H498" s="66">
        <v>140000.0</v>
      </c>
      <c r="I498" s="8">
        <f t="shared" si="1"/>
        <v>980000</v>
      </c>
      <c r="J498" s="83" t="s">
        <v>4681</v>
      </c>
      <c r="K498" s="83" t="s">
        <v>4682</v>
      </c>
    </row>
    <row r="499" ht="15.75" customHeight="1">
      <c r="A499" s="20" t="s">
        <v>4683</v>
      </c>
      <c r="B499" s="10" t="s">
        <v>1079</v>
      </c>
      <c r="C499" s="64" t="s">
        <v>3148</v>
      </c>
      <c r="D499" s="64" t="s">
        <v>3149</v>
      </c>
      <c r="E499" s="64" t="s">
        <v>4523</v>
      </c>
      <c r="F499" s="20" t="s">
        <v>4684</v>
      </c>
      <c r="G499" s="84">
        <v>3.0</v>
      </c>
      <c r="H499" s="66">
        <v>140000.0</v>
      </c>
      <c r="I499" s="8">
        <f t="shared" si="1"/>
        <v>420000</v>
      </c>
      <c r="J499" s="83" t="s">
        <v>4685</v>
      </c>
      <c r="K499" s="83" t="s">
        <v>109</v>
      </c>
    </row>
    <row r="500" ht="15.75" customHeight="1">
      <c r="A500" s="20" t="s">
        <v>4686</v>
      </c>
      <c r="B500" s="10" t="s">
        <v>3185</v>
      </c>
      <c r="C500" s="64" t="s">
        <v>3186</v>
      </c>
      <c r="D500" s="64" t="s">
        <v>3187</v>
      </c>
      <c r="E500" s="64" t="s">
        <v>4523</v>
      </c>
      <c r="F500" s="20" t="s">
        <v>4600</v>
      </c>
      <c r="G500" s="84">
        <v>3.0</v>
      </c>
      <c r="H500" s="66">
        <v>140000.0</v>
      </c>
      <c r="I500" s="8">
        <f t="shared" si="1"/>
        <v>420000</v>
      </c>
      <c r="J500" s="85"/>
      <c r="K500" s="83" t="s">
        <v>109</v>
      </c>
    </row>
    <row r="501" ht="15.75" customHeight="1">
      <c r="A501" s="20" t="s">
        <v>4691</v>
      </c>
      <c r="B501" s="10" t="s">
        <v>3192</v>
      </c>
      <c r="C501" s="64" t="s">
        <v>3193</v>
      </c>
      <c r="D501" s="64" t="s">
        <v>2920</v>
      </c>
      <c r="E501" s="64" t="s">
        <v>4523</v>
      </c>
      <c r="F501" s="20" t="s">
        <v>4600</v>
      </c>
      <c r="G501" s="84">
        <v>3.0</v>
      </c>
      <c r="H501" s="66">
        <v>140000.0</v>
      </c>
      <c r="I501" s="8">
        <f t="shared" si="1"/>
        <v>420000</v>
      </c>
      <c r="J501" s="85"/>
      <c r="K501" s="83" t="s">
        <v>109</v>
      </c>
    </row>
    <row r="502" ht="15.75" customHeight="1">
      <c r="A502" s="20" t="s">
        <v>4692</v>
      </c>
      <c r="B502" s="10" t="s">
        <v>3204</v>
      </c>
      <c r="C502" s="64" t="s">
        <v>3205</v>
      </c>
      <c r="D502" s="64" t="s">
        <v>3206</v>
      </c>
      <c r="E502" s="64" t="s">
        <v>4523</v>
      </c>
      <c r="F502" s="20" t="s">
        <v>4600</v>
      </c>
      <c r="G502" s="84">
        <v>2.0</v>
      </c>
      <c r="H502" s="116">
        <v>130000.0</v>
      </c>
      <c r="I502" s="8">
        <f t="shared" ref="I502:I503" si="2">G502*H503</f>
        <v>260000</v>
      </c>
      <c r="J502" s="85"/>
      <c r="K502" s="83" t="s">
        <v>4693</v>
      </c>
    </row>
    <row r="503" ht="15.75" customHeight="1">
      <c r="A503" s="20" t="s">
        <v>4694</v>
      </c>
      <c r="B503" s="10" t="s">
        <v>3212</v>
      </c>
      <c r="C503" s="64" t="s">
        <v>3213</v>
      </c>
      <c r="D503" s="64" t="s">
        <v>3214</v>
      </c>
      <c r="E503" s="64" t="s">
        <v>4523</v>
      </c>
      <c r="F503" s="20" t="s">
        <v>4600</v>
      </c>
      <c r="G503" s="84">
        <v>2.0</v>
      </c>
      <c r="H503" s="116">
        <v>130000.0</v>
      </c>
      <c r="I503" s="8">
        <f t="shared" si="2"/>
        <v>280000</v>
      </c>
      <c r="J503" s="85"/>
      <c r="K503" s="83" t="s">
        <v>4693</v>
      </c>
    </row>
    <row r="504" ht="15.75" customHeight="1">
      <c r="A504" s="20" t="s">
        <v>4697</v>
      </c>
      <c r="B504" s="10" t="s">
        <v>3221</v>
      </c>
      <c r="C504" s="13" t="s">
        <v>3222</v>
      </c>
      <c r="D504" s="64" t="s">
        <v>1671</v>
      </c>
      <c r="E504" s="64" t="s">
        <v>4523</v>
      </c>
      <c r="F504" s="20" t="s">
        <v>4698</v>
      </c>
      <c r="G504" s="84">
        <v>3.0</v>
      </c>
      <c r="H504" s="66">
        <v>140000.0</v>
      </c>
      <c r="I504" s="8">
        <f t="shared" ref="I504:I507" si="3">G504*H504</f>
        <v>420000</v>
      </c>
      <c r="J504" s="83" t="s">
        <v>4654</v>
      </c>
      <c r="K504" s="83" t="s">
        <v>4700</v>
      </c>
    </row>
    <row r="505" ht="15.75" customHeight="1">
      <c r="A505" s="20" t="s">
        <v>4702</v>
      </c>
      <c r="B505" s="10" t="s">
        <v>3197</v>
      </c>
      <c r="C505" s="64" t="s">
        <v>378</v>
      </c>
      <c r="D505" s="64" t="s">
        <v>3198</v>
      </c>
      <c r="E505" s="64" t="s">
        <v>4523</v>
      </c>
      <c r="F505" s="20" t="s">
        <v>4600</v>
      </c>
      <c r="G505" s="84">
        <v>3.0</v>
      </c>
      <c r="H505" s="66">
        <v>140000.0</v>
      </c>
      <c r="I505" s="8">
        <f t="shared" si="3"/>
        <v>420000</v>
      </c>
      <c r="J505" s="85"/>
      <c r="K505" s="85"/>
    </row>
    <row r="506" ht="15.75" customHeight="1">
      <c r="A506" s="20" t="s">
        <v>4703</v>
      </c>
      <c r="B506" s="10" t="s">
        <v>3178</v>
      </c>
      <c r="C506" s="64" t="s">
        <v>1108</v>
      </c>
      <c r="D506" s="64" t="s">
        <v>3179</v>
      </c>
      <c r="E506" s="64" t="s">
        <v>4523</v>
      </c>
      <c r="F506" s="20" t="s">
        <v>4704</v>
      </c>
      <c r="G506" s="84">
        <v>3.0</v>
      </c>
      <c r="H506" s="66">
        <v>140000.0</v>
      </c>
      <c r="I506" s="8">
        <f t="shared" si="3"/>
        <v>420000</v>
      </c>
      <c r="J506" s="85"/>
      <c r="K506" s="85"/>
    </row>
    <row r="507" ht="15.75" customHeight="1">
      <c r="A507" s="85"/>
      <c r="B507" s="85"/>
      <c r="C507" s="65"/>
      <c r="D507" s="65"/>
      <c r="E507" s="85"/>
      <c r="F507" s="65"/>
      <c r="G507" s="117"/>
      <c r="H507" s="65"/>
      <c r="I507" s="8">
        <f t="shared" si="3"/>
        <v>0</v>
      </c>
      <c r="J507" s="85"/>
      <c r="K507" s="85"/>
    </row>
    <row r="508" ht="15.75" customHeight="1">
      <c r="A508" s="85"/>
      <c r="B508" s="85"/>
      <c r="C508" s="65"/>
      <c r="D508" s="65"/>
      <c r="E508" s="85"/>
      <c r="F508" s="65"/>
      <c r="G508" s="117"/>
      <c r="H508" s="65"/>
      <c r="I508" s="85"/>
      <c r="J508" s="85"/>
      <c r="K508" s="85"/>
    </row>
    <row r="509" ht="15.75" customHeight="1">
      <c r="A509" s="85"/>
      <c r="B509" s="85"/>
      <c r="C509" s="65"/>
      <c r="D509" s="65"/>
      <c r="E509" s="85"/>
      <c r="F509" s="65"/>
      <c r="G509" s="117"/>
      <c r="H509" s="65"/>
      <c r="I509" s="85"/>
      <c r="J509" s="85"/>
      <c r="K509" s="85"/>
    </row>
    <row r="510" ht="15.75" customHeight="1">
      <c r="A510" s="85"/>
      <c r="B510" s="85"/>
      <c r="C510" s="65"/>
      <c r="D510" s="65"/>
      <c r="E510" s="85"/>
      <c r="F510" s="65"/>
      <c r="G510" s="117"/>
      <c r="H510" s="65"/>
      <c r="I510" s="85"/>
      <c r="J510" s="85"/>
      <c r="K510" s="85"/>
    </row>
    <row r="511" ht="15.75" customHeight="1">
      <c r="A511" s="85"/>
      <c r="B511" s="85"/>
      <c r="C511" s="65"/>
      <c r="D511" s="65"/>
      <c r="E511" s="85"/>
      <c r="F511" s="65"/>
      <c r="G511" s="117"/>
      <c r="H511" s="65"/>
      <c r="I511" s="85"/>
      <c r="J511" s="85"/>
      <c r="K511" s="85"/>
    </row>
    <row r="512" ht="15.75" customHeight="1">
      <c r="A512" s="85"/>
      <c r="B512" s="85"/>
      <c r="C512" s="65"/>
      <c r="D512" s="65"/>
      <c r="E512" s="85"/>
      <c r="F512" s="65"/>
      <c r="G512" s="117"/>
      <c r="H512" s="65"/>
      <c r="I512" s="85"/>
      <c r="J512" s="85"/>
      <c r="K512" s="85"/>
    </row>
    <row r="513" ht="15.75" customHeight="1">
      <c r="A513" s="85"/>
      <c r="B513" s="85"/>
      <c r="C513" s="65"/>
      <c r="D513" s="65"/>
      <c r="E513" s="85"/>
      <c r="F513" s="65"/>
      <c r="G513" s="117"/>
      <c r="H513" s="65"/>
      <c r="I513" s="85"/>
      <c r="J513" s="85"/>
      <c r="K513" s="85"/>
    </row>
    <row r="514" ht="15.75" customHeight="1">
      <c r="A514" s="85"/>
      <c r="B514" s="85"/>
      <c r="C514" s="65"/>
      <c r="D514" s="65"/>
      <c r="E514" s="85"/>
      <c r="F514" s="65"/>
      <c r="G514" s="117"/>
      <c r="H514" s="65"/>
      <c r="I514" s="85"/>
      <c r="J514" s="85"/>
      <c r="K514" s="85"/>
    </row>
    <row r="515" ht="15.75" customHeight="1">
      <c r="A515" s="85"/>
      <c r="B515" s="85"/>
      <c r="C515" s="65"/>
      <c r="D515" s="65"/>
      <c r="E515" s="85"/>
      <c r="F515" s="65"/>
      <c r="G515" s="117"/>
      <c r="H515" s="65"/>
      <c r="I515" s="85"/>
      <c r="J515" s="85"/>
      <c r="K515" s="85"/>
    </row>
    <row r="516" ht="15.75" customHeight="1">
      <c r="A516" s="85"/>
      <c r="B516" s="85"/>
      <c r="C516" s="65"/>
      <c r="D516" s="65"/>
      <c r="E516" s="85"/>
      <c r="F516" s="65"/>
      <c r="G516" s="117"/>
      <c r="H516" s="65"/>
      <c r="I516" s="85"/>
      <c r="J516" s="85"/>
      <c r="K516" s="85"/>
    </row>
    <row r="517" ht="15.75" customHeight="1">
      <c r="A517" s="85"/>
      <c r="B517" s="85"/>
      <c r="C517" s="65"/>
      <c r="D517" s="65"/>
      <c r="E517" s="85"/>
      <c r="F517" s="65"/>
      <c r="G517" s="117"/>
      <c r="H517" s="65"/>
      <c r="I517" s="85"/>
      <c r="J517" s="85"/>
      <c r="K517" s="85"/>
    </row>
    <row r="518" ht="15.75" customHeight="1">
      <c r="A518" s="85"/>
      <c r="B518" s="85"/>
      <c r="C518" s="65"/>
      <c r="D518" s="65"/>
      <c r="E518" s="85"/>
      <c r="F518" s="65"/>
      <c r="G518" s="117"/>
      <c r="H518" s="65"/>
      <c r="I518" s="85"/>
      <c r="J518" s="85"/>
      <c r="K518" s="85"/>
    </row>
    <row r="519" ht="15.75" customHeight="1">
      <c r="A519" s="85"/>
      <c r="B519" s="85"/>
      <c r="C519" s="65"/>
      <c r="D519" s="65"/>
      <c r="E519" s="85"/>
      <c r="F519" s="65"/>
      <c r="G519" s="117"/>
      <c r="H519" s="65"/>
      <c r="I519" s="85"/>
      <c r="J519" s="85"/>
      <c r="K519" s="85"/>
    </row>
    <row r="520" ht="15.75" customHeight="1">
      <c r="A520" s="85"/>
      <c r="B520" s="85"/>
      <c r="C520" s="65"/>
      <c r="D520" s="65"/>
      <c r="E520" s="85"/>
      <c r="F520" s="65"/>
      <c r="G520" s="117"/>
      <c r="H520" s="65"/>
      <c r="I520" s="85"/>
      <c r="J520" s="85"/>
      <c r="K520" s="85"/>
    </row>
    <row r="521" ht="15.75" customHeight="1">
      <c r="A521" s="85"/>
      <c r="B521" s="85"/>
      <c r="C521" s="65"/>
      <c r="D521" s="65"/>
      <c r="E521" s="85"/>
      <c r="F521" s="65"/>
      <c r="G521" s="117"/>
      <c r="H521" s="65"/>
      <c r="I521" s="85"/>
      <c r="J521" s="85"/>
      <c r="K521" s="85"/>
    </row>
    <row r="522" ht="15.75" customHeight="1">
      <c r="A522" s="85"/>
      <c r="B522" s="85"/>
      <c r="C522" s="65"/>
      <c r="D522" s="65"/>
      <c r="E522" s="85"/>
      <c r="F522" s="65"/>
      <c r="G522" s="117"/>
      <c r="H522" s="65"/>
      <c r="I522" s="85"/>
      <c r="J522" s="85"/>
      <c r="K522" s="85"/>
    </row>
    <row r="523" ht="15.75" customHeight="1">
      <c r="A523" s="85"/>
      <c r="B523" s="85"/>
      <c r="C523" s="65"/>
      <c r="D523" s="65"/>
      <c r="E523" s="85"/>
      <c r="F523" s="65"/>
      <c r="G523" s="117"/>
      <c r="H523" s="65"/>
      <c r="I523" s="85"/>
      <c r="J523" s="85"/>
      <c r="K523" s="85"/>
    </row>
    <row r="524" ht="15.75" customHeight="1">
      <c r="A524" s="85"/>
      <c r="B524" s="85"/>
      <c r="C524" s="65"/>
      <c r="D524" s="65"/>
      <c r="E524" s="85"/>
      <c r="F524" s="65"/>
      <c r="G524" s="117"/>
      <c r="H524" s="65"/>
      <c r="I524" s="85"/>
      <c r="J524" s="85"/>
      <c r="K524" s="85"/>
    </row>
    <row r="525" ht="15.75" customHeight="1">
      <c r="A525" s="85"/>
      <c r="B525" s="85"/>
      <c r="C525" s="65"/>
      <c r="D525" s="65"/>
      <c r="E525" s="85"/>
      <c r="F525" s="65"/>
      <c r="G525" s="117"/>
      <c r="H525" s="65"/>
      <c r="I525" s="85"/>
      <c r="J525" s="85"/>
      <c r="K525" s="85"/>
    </row>
    <row r="526" ht="15.75" customHeight="1">
      <c r="A526" s="85"/>
      <c r="B526" s="85"/>
      <c r="C526" s="65"/>
      <c r="D526" s="65"/>
      <c r="E526" s="85"/>
      <c r="F526" s="65"/>
      <c r="G526" s="117"/>
      <c r="H526" s="65"/>
      <c r="I526" s="85"/>
      <c r="J526" s="85"/>
      <c r="K526" s="85"/>
    </row>
    <row r="527" ht="15.75" customHeight="1">
      <c r="A527" s="85"/>
      <c r="B527" s="85"/>
      <c r="C527" s="65"/>
      <c r="D527" s="65"/>
      <c r="E527" s="85"/>
      <c r="F527" s="65"/>
      <c r="G527" s="117"/>
      <c r="H527" s="65"/>
      <c r="I527" s="85"/>
      <c r="J527" s="85"/>
      <c r="K527" s="85"/>
    </row>
    <row r="528" ht="15.75" customHeight="1">
      <c r="A528" s="85"/>
      <c r="B528" s="85"/>
      <c r="C528" s="65"/>
      <c r="D528" s="65"/>
      <c r="E528" s="85"/>
      <c r="F528" s="65"/>
      <c r="G528" s="117"/>
      <c r="H528" s="65"/>
      <c r="I528" s="85"/>
      <c r="J528" s="85"/>
      <c r="K528" s="85"/>
    </row>
    <row r="529" ht="15.75" customHeight="1">
      <c r="A529" s="85"/>
      <c r="B529" s="85"/>
      <c r="C529" s="65"/>
      <c r="D529" s="65"/>
      <c r="E529" s="85"/>
      <c r="F529" s="65"/>
      <c r="G529" s="117"/>
      <c r="H529" s="65"/>
      <c r="I529" s="85"/>
      <c r="J529" s="85"/>
      <c r="K529" s="85"/>
    </row>
    <row r="530" ht="15.75" customHeight="1">
      <c r="A530" s="85"/>
      <c r="B530" s="85"/>
      <c r="C530" s="65"/>
      <c r="D530" s="65"/>
      <c r="E530" s="85"/>
      <c r="F530" s="65"/>
      <c r="G530" s="117"/>
      <c r="H530" s="65"/>
      <c r="I530" s="85"/>
      <c r="J530" s="85"/>
      <c r="K530" s="85"/>
    </row>
    <row r="531" ht="15.75" customHeight="1">
      <c r="A531" s="85"/>
      <c r="B531" s="85"/>
      <c r="C531" s="65"/>
      <c r="D531" s="65"/>
      <c r="E531" s="85"/>
      <c r="F531" s="65"/>
      <c r="G531" s="117"/>
      <c r="H531" s="65"/>
      <c r="I531" s="85"/>
      <c r="J531" s="85"/>
      <c r="K531" s="85"/>
    </row>
    <row r="532" ht="15.75" customHeight="1">
      <c r="A532" s="85"/>
      <c r="B532" s="85"/>
      <c r="C532" s="65"/>
      <c r="D532" s="65"/>
      <c r="E532" s="85"/>
      <c r="F532" s="65"/>
      <c r="G532" s="117"/>
      <c r="H532" s="65"/>
      <c r="I532" s="85"/>
      <c r="J532" s="85"/>
      <c r="K532" s="85"/>
    </row>
    <row r="533" ht="15.75" customHeight="1">
      <c r="A533" s="85"/>
      <c r="B533" s="85"/>
      <c r="C533" s="65"/>
      <c r="D533" s="65"/>
      <c r="E533" s="85"/>
      <c r="F533" s="65"/>
      <c r="G533" s="117"/>
      <c r="H533" s="65"/>
      <c r="I533" s="85"/>
      <c r="J533" s="85"/>
      <c r="K533" s="85"/>
    </row>
    <row r="534" ht="15.75" customHeight="1">
      <c r="A534" s="85"/>
      <c r="B534" s="85"/>
      <c r="C534" s="65"/>
      <c r="D534" s="65"/>
      <c r="E534" s="85"/>
      <c r="F534" s="65"/>
      <c r="G534" s="117"/>
      <c r="H534" s="65"/>
      <c r="I534" s="85"/>
      <c r="J534" s="85"/>
      <c r="K534" s="85"/>
    </row>
    <row r="535" ht="15.75" customHeight="1">
      <c r="A535" s="85"/>
      <c r="B535" s="85"/>
      <c r="C535" s="65"/>
      <c r="D535" s="65"/>
      <c r="E535" s="85"/>
      <c r="F535" s="65"/>
      <c r="G535" s="117"/>
      <c r="H535" s="65"/>
      <c r="I535" s="85"/>
      <c r="J535" s="85"/>
      <c r="K535" s="85"/>
    </row>
    <row r="536" ht="15.75" customHeight="1">
      <c r="A536" s="85"/>
      <c r="B536" s="85"/>
      <c r="C536" s="65"/>
      <c r="D536" s="65"/>
      <c r="E536" s="85"/>
      <c r="F536" s="65"/>
      <c r="G536" s="117"/>
      <c r="H536" s="65"/>
      <c r="I536" s="85"/>
      <c r="J536" s="85"/>
      <c r="K536" s="85"/>
    </row>
    <row r="537" ht="15.75" customHeight="1">
      <c r="A537" s="85"/>
      <c r="B537" s="85"/>
      <c r="C537" s="65"/>
      <c r="D537" s="65"/>
      <c r="E537" s="85"/>
      <c r="F537" s="65"/>
      <c r="G537" s="117"/>
      <c r="H537" s="65"/>
      <c r="I537" s="85"/>
      <c r="J537" s="85"/>
      <c r="K537" s="85"/>
    </row>
    <row r="538" ht="15.75" customHeight="1">
      <c r="A538" s="85"/>
      <c r="B538" s="85"/>
      <c r="C538" s="65"/>
      <c r="D538" s="65"/>
      <c r="E538" s="85"/>
      <c r="F538" s="65"/>
      <c r="G538" s="117"/>
      <c r="H538" s="65"/>
      <c r="I538" s="85"/>
      <c r="J538" s="85"/>
      <c r="K538" s="85"/>
    </row>
    <row r="539" ht="15.75" customHeight="1">
      <c r="A539" s="85"/>
      <c r="B539" s="85"/>
      <c r="C539" s="65"/>
      <c r="D539" s="65"/>
      <c r="E539" s="85"/>
      <c r="F539" s="65"/>
      <c r="G539" s="117"/>
      <c r="H539" s="65"/>
      <c r="I539" s="85"/>
      <c r="J539" s="85"/>
      <c r="K539" s="85"/>
    </row>
    <row r="540" ht="15.75" customHeight="1">
      <c r="A540" s="85"/>
      <c r="B540" s="85"/>
      <c r="C540" s="65"/>
      <c r="D540" s="65"/>
      <c r="E540" s="85"/>
      <c r="F540" s="65"/>
      <c r="G540" s="117"/>
      <c r="H540" s="65"/>
      <c r="I540" s="85"/>
      <c r="J540" s="85"/>
      <c r="K540" s="85"/>
    </row>
    <row r="541" ht="15.75" customHeight="1">
      <c r="A541" s="85"/>
      <c r="B541" s="85"/>
      <c r="C541" s="65"/>
      <c r="D541" s="65"/>
      <c r="E541" s="85"/>
      <c r="F541" s="65"/>
      <c r="G541" s="117"/>
      <c r="H541" s="65"/>
      <c r="I541" s="85"/>
      <c r="J541" s="85"/>
      <c r="K541" s="85"/>
    </row>
    <row r="542" ht="15.75" customHeight="1">
      <c r="A542" s="85"/>
      <c r="B542" s="85"/>
      <c r="C542" s="65"/>
      <c r="D542" s="65"/>
      <c r="E542" s="85"/>
      <c r="F542" s="65"/>
      <c r="G542" s="117"/>
      <c r="H542" s="65"/>
      <c r="I542" s="85"/>
      <c r="J542" s="85"/>
      <c r="K542" s="85"/>
    </row>
    <row r="543" ht="15.75" customHeight="1">
      <c r="A543" s="85"/>
      <c r="B543" s="85"/>
      <c r="C543" s="65"/>
      <c r="D543" s="65"/>
      <c r="E543" s="85"/>
      <c r="F543" s="65"/>
      <c r="G543" s="117"/>
      <c r="H543" s="65"/>
      <c r="I543" s="85"/>
      <c r="J543" s="85"/>
      <c r="K543" s="85"/>
    </row>
    <row r="544" ht="15.75" customHeight="1">
      <c r="A544" s="85"/>
      <c r="B544" s="85"/>
      <c r="C544" s="65"/>
      <c r="D544" s="65"/>
      <c r="E544" s="85"/>
      <c r="F544" s="65"/>
      <c r="G544" s="117"/>
      <c r="H544" s="65"/>
      <c r="I544" s="85"/>
      <c r="J544" s="85"/>
      <c r="K544" s="85"/>
    </row>
    <row r="545" ht="15.75" customHeight="1">
      <c r="A545" s="85"/>
      <c r="B545" s="85"/>
      <c r="C545" s="65"/>
      <c r="D545" s="65"/>
      <c r="E545" s="85"/>
      <c r="F545" s="65"/>
      <c r="G545" s="117"/>
      <c r="H545" s="65"/>
      <c r="I545" s="85"/>
      <c r="J545" s="85"/>
      <c r="K545" s="85"/>
    </row>
    <row r="546" ht="15.75" customHeight="1">
      <c r="A546" s="85"/>
      <c r="B546" s="85"/>
      <c r="C546" s="65"/>
      <c r="D546" s="65"/>
      <c r="E546" s="85"/>
      <c r="F546" s="65"/>
      <c r="G546" s="117"/>
      <c r="H546" s="65"/>
      <c r="I546" s="85"/>
      <c r="J546" s="85"/>
      <c r="K546" s="85"/>
    </row>
    <row r="547" ht="15.75" customHeight="1">
      <c r="A547" s="85"/>
      <c r="B547" s="85"/>
      <c r="C547" s="65"/>
      <c r="D547" s="65"/>
      <c r="E547" s="85"/>
      <c r="F547" s="65"/>
      <c r="G547" s="117"/>
      <c r="H547" s="65"/>
      <c r="I547" s="85"/>
      <c r="J547" s="85"/>
      <c r="K547" s="85"/>
    </row>
    <row r="548" ht="15.75" customHeight="1">
      <c r="A548" s="85"/>
      <c r="B548" s="85"/>
      <c r="C548" s="65"/>
      <c r="D548" s="65"/>
      <c r="E548" s="85"/>
      <c r="F548" s="65"/>
      <c r="G548" s="117"/>
      <c r="H548" s="65"/>
      <c r="I548" s="85"/>
      <c r="J548" s="85"/>
      <c r="K548" s="85"/>
    </row>
    <row r="549" ht="15.75" customHeight="1">
      <c r="A549" s="85"/>
      <c r="B549" s="85"/>
      <c r="C549" s="65"/>
      <c r="D549" s="65"/>
      <c r="E549" s="85"/>
      <c r="F549" s="65"/>
      <c r="G549" s="117"/>
      <c r="H549" s="65"/>
      <c r="I549" s="85"/>
      <c r="J549" s="85"/>
      <c r="K549" s="85"/>
    </row>
    <row r="550" ht="15.75" customHeight="1">
      <c r="A550" s="85"/>
      <c r="B550" s="85"/>
      <c r="C550" s="65"/>
      <c r="D550" s="65"/>
      <c r="E550" s="85"/>
      <c r="F550" s="65"/>
      <c r="G550" s="117"/>
      <c r="H550" s="65"/>
      <c r="I550" s="85"/>
      <c r="J550" s="85"/>
      <c r="K550" s="85"/>
    </row>
    <row r="551" ht="15.75" customHeight="1">
      <c r="A551" s="85"/>
      <c r="B551" s="85"/>
      <c r="C551" s="65"/>
      <c r="D551" s="65"/>
      <c r="E551" s="85"/>
      <c r="F551" s="65"/>
      <c r="G551" s="117"/>
      <c r="H551" s="65"/>
      <c r="I551" s="85"/>
      <c r="J551" s="85"/>
      <c r="K551" s="85"/>
    </row>
    <row r="552" ht="15.75" customHeight="1">
      <c r="A552" s="85"/>
      <c r="B552" s="85"/>
      <c r="C552" s="65"/>
      <c r="D552" s="65"/>
      <c r="E552" s="85"/>
      <c r="F552" s="65"/>
      <c r="G552" s="117"/>
      <c r="H552" s="65"/>
      <c r="I552" s="85"/>
      <c r="J552" s="85"/>
      <c r="K552" s="85"/>
    </row>
    <row r="553" ht="15.75" customHeight="1">
      <c r="A553" s="85"/>
      <c r="B553" s="85"/>
      <c r="C553" s="65"/>
      <c r="D553" s="65"/>
      <c r="E553" s="85"/>
      <c r="F553" s="65"/>
      <c r="G553" s="117"/>
      <c r="H553" s="65"/>
      <c r="I553" s="85"/>
      <c r="J553" s="85"/>
      <c r="K553" s="85"/>
    </row>
    <row r="554" ht="15.75" customHeight="1">
      <c r="A554" s="85"/>
      <c r="B554" s="85"/>
      <c r="C554" s="65"/>
      <c r="D554" s="65"/>
      <c r="E554" s="85"/>
      <c r="F554" s="65"/>
      <c r="G554" s="117"/>
      <c r="H554" s="65"/>
      <c r="I554" s="85"/>
      <c r="J554" s="85"/>
      <c r="K554" s="85"/>
    </row>
    <row r="555" ht="15.75" customHeight="1">
      <c r="A555" s="85"/>
      <c r="B555" s="85"/>
      <c r="C555" s="65"/>
      <c r="D555" s="65"/>
      <c r="E555" s="85"/>
      <c r="F555" s="65"/>
      <c r="G555" s="117"/>
      <c r="H555" s="65"/>
      <c r="I555" s="85"/>
      <c r="J555" s="85"/>
      <c r="K555" s="85"/>
    </row>
    <row r="556" ht="15.75" customHeight="1">
      <c r="A556" s="85"/>
      <c r="B556" s="85"/>
      <c r="C556" s="65"/>
      <c r="D556" s="65"/>
      <c r="E556" s="85"/>
      <c r="F556" s="65"/>
      <c r="G556" s="117"/>
      <c r="H556" s="65"/>
      <c r="I556" s="85"/>
      <c r="J556" s="85"/>
      <c r="K556" s="85"/>
    </row>
    <row r="557" ht="15.75" customHeight="1">
      <c r="A557" s="85"/>
      <c r="B557" s="85"/>
      <c r="C557" s="65"/>
      <c r="D557" s="65"/>
      <c r="E557" s="85"/>
      <c r="F557" s="65"/>
      <c r="G557" s="117"/>
      <c r="H557" s="65"/>
      <c r="I557" s="85"/>
      <c r="J557" s="85"/>
      <c r="K557" s="85"/>
    </row>
    <row r="558" ht="15.75" customHeight="1">
      <c r="A558" s="85"/>
      <c r="B558" s="85"/>
      <c r="C558" s="65"/>
      <c r="D558" s="65"/>
      <c r="E558" s="85"/>
      <c r="F558" s="65"/>
      <c r="G558" s="117"/>
      <c r="H558" s="65"/>
      <c r="I558" s="85"/>
      <c r="J558" s="85"/>
      <c r="K558" s="85"/>
    </row>
    <row r="559" ht="15.75" customHeight="1">
      <c r="A559" s="85"/>
      <c r="B559" s="85"/>
      <c r="C559" s="65"/>
      <c r="D559" s="65"/>
      <c r="E559" s="85"/>
      <c r="F559" s="65"/>
      <c r="G559" s="117"/>
      <c r="H559" s="65"/>
      <c r="I559" s="85"/>
      <c r="J559" s="85"/>
      <c r="K559" s="85"/>
    </row>
    <row r="560" ht="15.75" customHeight="1">
      <c r="A560" s="85"/>
      <c r="B560" s="85"/>
      <c r="C560" s="65"/>
      <c r="D560" s="65"/>
      <c r="E560" s="85"/>
      <c r="F560" s="65"/>
      <c r="G560" s="117"/>
      <c r="H560" s="65"/>
      <c r="I560" s="85"/>
      <c r="J560" s="85"/>
      <c r="K560" s="85"/>
    </row>
    <row r="561" ht="15.75" customHeight="1">
      <c r="A561" s="85"/>
      <c r="B561" s="85"/>
      <c r="C561" s="65"/>
      <c r="D561" s="65"/>
      <c r="E561" s="85"/>
      <c r="F561" s="65"/>
      <c r="G561" s="117"/>
      <c r="H561" s="65"/>
      <c r="I561" s="85"/>
      <c r="J561" s="85"/>
      <c r="K561" s="85"/>
    </row>
    <row r="562" ht="15.75" customHeight="1">
      <c r="A562" s="85"/>
      <c r="B562" s="85"/>
      <c r="C562" s="65"/>
      <c r="D562" s="65"/>
      <c r="E562" s="85"/>
      <c r="F562" s="65"/>
      <c r="G562" s="117"/>
      <c r="H562" s="65"/>
      <c r="I562" s="85"/>
      <c r="J562" s="85"/>
      <c r="K562" s="85"/>
    </row>
    <row r="563" ht="15.75" customHeight="1">
      <c r="A563" s="85"/>
      <c r="B563" s="85"/>
      <c r="C563" s="65"/>
      <c r="D563" s="65"/>
      <c r="E563" s="85"/>
      <c r="F563" s="65"/>
      <c r="G563" s="117"/>
      <c r="H563" s="65"/>
      <c r="I563" s="85"/>
      <c r="J563" s="85"/>
      <c r="K563" s="85"/>
    </row>
    <row r="564" ht="15.75" customHeight="1">
      <c r="A564" s="85"/>
      <c r="B564" s="85"/>
      <c r="C564" s="65"/>
      <c r="D564" s="65"/>
      <c r="E564" s="85"/>
      <c r="F564" s="65"/>
      <c r="G564" s="117"/>
      <c r="H564" s="65"/>
      <c r="I564" s="85"/>
      <c r="J564" s="85"/>
      <c r="K564" s="85"/>
    </row>
    <row r="565" ht="15.75" customHeight="1">
      <c r="A565" s="85"/>
      <c r="B565" s="85"/>
      <c r="C565" s="65"/>
      <c r="D565" s="65"/>
      <c r="E565" s="85"/>
      <c r="F565" s="65"/>
      <c r="G565" s="117"/>
      <c r="H565" s="65"/>
      <c r="I565" s="85"/>
      <c r="J565" s="85"/>
      <c r="K565" s="85"/>
    </row>
    <row r="566" ht="15.75" customHeight="1">
      <c r="A566" s="85"/>
      <c r="B566" s="85"/>
      <c r="C566" s="65"/>
      <c r="D566" s="65"/>
      <c r="E566" s="85"/>
      <c r="F566" s="65"/>
      <c r="G566" s="117"/>
      <c r="H566" s="65"/>
      <c r="I566" s="85"/>
      <c r="J566" s="85"/>
      <c r="K566" s="85"/>
    </row>
    <row r="567" ht="15.75" customHeight="1">
      <c r="A567" s="85"/>
      <c r="B567" s="85"/>
      <c r="C567" s="65"/>
      <c r="D567" s="65"/>
      <c r="E567" s="85"/>
      <c r="F567" s="65"/>
      <c r="G567" s="117"/>
      <c r="H567" s="65"/>
      <c r="I567" s="85"/>
      <c r="J567" s="85"/>
      <c r="K567" s="85"/>
    </row>
    <row r="568" ht="15.75" customHeight="1">
      <c r="A568" s="85"/>
      <c r="B568" s="85"/>
      <c r="C568" s="65"/>
      <c r="D568" s="65"/>
      <c r="E568" s="85"/>
      <c r="F568" s="65"/>
      <c r="G568" s="117"/>
      <c r="H568" s="65"/>
      <c r="I568" s="85"/>
      <c r="J568" s="85"/>
      <c r="K568" s="85"/>
    </row>
    <row r="569" ht="15.75" customHeight="1">
      <c r="A569" s="85"/>
      <c r="B569" s="85"/>
      <c r="C569" s="65"/>
      <c r="D569" s="65"/>
      <c r="E569" s="85"/>
      <c r="F569" s="65"/>
      <c r="G569" s="117"/>
      <c r="H569" s="65"/>
      <c r="I569" s="85"/>
      <c r="J569" s="85"/>
      <c r="K569" s="85"/>
    </row>
    <row r="570" ht="15.75" customHeight="1">
      <c r="A570" s="85"/>
      <c r="B570" s="85"/>
      <c r="C570" s="65"/>
      <c r="D570" s="65"/>
      <c r="E570" s="85"/>
      <c r="F570" s="65"/>
      <c r="G570" s="117"/>
      <c r="H570" s="65"/>
      <c r="I570" s="85"/>
      <c r="J570" s="85"/>
      <c r="K570" s="85"/>
    </row>
    <row r="571" ht="15.75" customHeight="1">
      <c r="A571" s="85"/>
      <c r="B571" s="85"/>
      <c r="C571" s="65"/>
      <c r="D571" s="65"/>
      <c r="E571" s="85"/>
      <c r="F571" s="65"/>
      <c r="G571" s="117"/>
      <c r="H571" s="65"/>
      <c r="I571" s="85"/>
      <c r="J571" s="85"/>
      <c r="K571" s="85"/>
    </row>
    <row r="572" ht="15.75" customHeight="1">
      <c r="A572" s="85"/>
      <c r="B572" s="85"/>
      <c r="C572" s="65"/>
      <c r="D572" s="65"/>
      <c r="E572" s="85"/>
      <c r="F572" s="65"/>
      <c r="G572" s="117"/>
      <c r="H572" s="65"/>
      <c r="I572" s="85"/>
      <c r="J572" s="85"/>
      <c r="K572" s="85"/>
    </row>
    <row r="573" ht="15.75" customHeight="1">
      <c r="A573" s="85"/>
      <c r="B573" s="85"/>
      <c r="C573" s="65"/>
      <c r="D573" s="65"/>
      <c r="E573" s="85"/>
      <c r="F573" s="65"/>
      <c r="G573" s="117"/>
      <c r="H573" s="65"/>
      <c r="I573" s="85"/>
      <c r="J573" s="85"/>
      <c r="K573" s="85"/>
    </row>
    <row r="574" ht="15.75" customHeight="1">
      <c r="A574" s="85"/>
      <c r="B574" s="85"/>
      <c r="C574" s="65"/>
      <c r="D574" s="65"/>
      <c r="E574" s="85"/>
      <c r="F574" s="65"/>
      <c r="G574" s="117"/>
      <c r="H574" s="65"/>
      <c r="I574" s="85"/>
      <c r="J574" s="85"/>
      <c r="K574" s="85"/>
    </row>
    <row r="575" ht="15.75" customHeight="1">
      <c r="A575" s="85"/>
      <c r="B575" s="85"/>
      <c r="C575" s="65"/>
      <c r="D575" s="65"/>
      <c r="E575" s="85"/>
      <c r="F575" s="65"/>
      <c r="G575" s="117"/>
      <c r="H575" s="65"/>
      <c r="I575" s="85"/>
      <c r="J575" s="85"/>
      <c r="K575" s="85"/>
    </row>
    <row r="576" ht="15.75" customHeight="1">
      <c r="A576" s="85"/>
      <c r="B576" s="85"/>
      <c r="C576" s="65"/>
      <c r="D576" s="65"/>
      <c r="E576" s="85"/>
      <c r="F576" s="65"/>
      <c r="G576" s="117"/>
      <c r="H576" s="65"/>
      <c r="I576" s="85"/>
      <c r="J576" s="85"/>
      <c r="K576" s="85"/>
    </row>
    <row r="577" ht="15.75" customHeight="1">
      <c r="A577" s="85"/>
      <c r="B577" s="85"/>
      <c r="C577" s="65"/>
      <c r="D577" s="65"/>
      <c r="E577" s="85"/>
      <c r="F577" s="65"/>
      <c r="G577" s="117"/>
      <c r="H577" s="65"/>
      <c r="I577" s="85"/>
      <c r="J577" s="85"/>
      <c r="K577" s="85"/>
    </row>
    <row r="578" ht="15.75" customHeight="1">
      <c r="A578" s="85"/>
      <c r="B578" s="85"/>
      <c r="C578" s="65"/>
      <c r="D578" s="65"/>
      <c r="E578" s="85"/>
      <c r="F578" s="65"/>
      <c r="G578" s="117"/>
      <c r="H578" s="65"/>
      <c r="I578" s="85"/>
      <c r="J578" s="85"/>
      <c r="K578" s="85"/>
    </row>
    <row r="579" ht="15.75" customHeight="1">
      <c r="A579" s="85"/>
      <c r="B579" s="85"/>
      <c r="C579" s="65"/>
      <c r="D579" s="65"/>
      <c r="E579" s="85"/>
      <c r="F579" s="65"/>
      <c r="G579" s="117"/>
      <c r="H579" s="65"/>
      <c r="I579" s="85"/>
      <c r="J579" s="85"/>
      <c r="K579" s="85"/>
    </row>
    <row r="580" ht="15.75" customHeight="1">
      <c r="A580" s="85"/>
      <c r="B580" s="85"/>
      <c r="C580" s="65"/>
      <c r="D580" s="65"/>
      <c r="E580" s="85"/>
      <c r="F580" s="65"/>
      <c r="G580" s="117"/>
      <c r="H580" s="65"/>
      <c r="I580" s="85"/>
      <c r="J580" s="85"/>
      <c r="K580" s="85"/>
    </row>
    <row r="581" ht="15.75" customHeight="1">
      <c r="A581" s="85"/>
      <c r="B581" s="85"/>
      <c r="C581" s="65"/>
      <c r="D581" s="65"/>
      <c r="E581" s="85"/>
      <c r="F581" s="65"/>
      <c r="G581" s="117"/>
      <c r="H581" s="65"/>
      <c r="I581" s="85"/>
      <c r="J581" s="85"/>
      <c r="K581" s="85"/>
    </row>
    <row r="582" ht="15.75" customHeight="1">
      <c r="A582" s="85"/>
      <c r="B582" s="85"/>
      <c r="C582" s="65"/>
      <c r="D582" s="65"/>
      <c r="E582" s="85"/>
      <c r="F582" s="65"/>
      <c r="G582" s="117"/>
      <c r="H582" s="65"/>
      <c r="I582" s="85"/>
      <c r="J582" s="85"/>
      <c r="K582" s="85"/>
    </row>
    <row r="583" ht="15.75" customHeight="1">
      <c r="A583" s="85"/>
      <c r="B583" s="85"/>
      <c r="C583" s="65"/>
      <c r="D583" s="65"/>
      <c r="E583" s="85"/>
      <c r="F583" s="65"/>
      <c r="G583" s="117"/>
      <c r="H583" s="65"/>
      <c r="I583" s="85"/>
      <c r="J583" s="85"/>
      <c r="K583" s="85"/>
    </row>
    <row r="584" ht="15.75" customHeight="1">
      <c r="A584" s="85"/>
      <c r="B584" s="85"/>
      <c r="C584" s="65"/>
      <c r="D584" s="65"/>
      <c r="E584" s="85"/>
      <c r="F584" s="65"/>
      <c r="G584" s="117"/>
      <c r="H584" s="65"/>
      <c r="I584" s="85"/>
      <c r="J584" s="85"/>
      <c r="K584" s="85"/>
    </row>
    <row r="585" ht="15.75" customHeight="1">
      <c r="A585" s="85"/>
      <c r="B585" s="85"/>
      <c r="C585" s="65"/>
      <c r="D585" s="65"/>
      <c r="E585" s="85"/>
      <c r="F585" s="65"/>
      <c r="G585" s="117"/>
      <c r="H585" s="65"/>
      <c r="I585" s="85"/>
      <c r="J585" s="85"/>
      <c r="K585" s="85"/>
    </row>
    <row r="586" ht="15.75" customHeight="1">
      <c r="A586" s="85"/>
      <c r="B586" s="85"/>
      <c r="C586" s="65"/>
      <c r="D586" s="65"/>
      <c r="E586" s="85"/>
      <c r="F586" s="65"/>
      <c r="G586" s="117"/>
      <c r="H586" s="65"/>
      <c r="I586" s="85"/>
      <c r="J586" s="85"/>
      <c r="K586" s="85"/>
    </row>
    <row r="587" ht="15.75" customHeight="1">
      <c r="A587" s="85"/>
      <c r="B587" s="85"/>
      <c r="C587" s="65"/>
      <c r="D587" s="65"/>
      <c r="E587" s="85"/>
      <c r="F587" s="65"/>
      <c r="G587" s="117"/>
      <c r="H587" s="65"/>
      <c r="I587" s="85"/>
      <c r="J587" s="85"/>
      <c r="K587" s="85"/>
    </row>
    <row r="588" ht="15.75" customHeight="1">
      <c r="A588" s="85"/>
      <c r="B588" s="85"/>
      <c r="C588" s="65"/>
      <c r="D588" s="65"/>
      <c r="E588" s="85"/>
      <c r="F588" s="65"/>
      <c r="G588" s="117"/>
      <c r="H588" s="65"/>
      <c r="I588" s="85"/>
      <c r="J588" s="85"/>
      <c r="K588" s="85"/>
    </row>
    <row r="589" ht="15.75" customHeight="1">
      <c r="A589" s="85"/>
      <c r="B589" s="85"/>
      <c r="C589" s="65"/>
      <c r="D589" s="65"/>
      <c r="E589" s="85"/>
      <c r="F589" s="65"/>
      <c r="G589" s="117"/>
      <c r="H589" s="65"/>
      <c r="I589" s="85"/>
      <c r="J589" s="85"/>
      <c r="K589" s="85"/>
    </row>
    <row r="590" ht="15.75" customHeight="1">
      <c r="A590" s="85"/>
      <c r="B590" s="85"/>
      <c r="C590" s="65"/>
      <c r="D590" s="65"/>
      <c r="E590" s="85"/>
      <c r="F590" s="65"/>
      <c r="G590" s="117"/>
      <c r="H590" s="65"/>
      <c r="I590" s="85"/>
      <c r="J590" s="85"/>
      <c r="K590" s="85"/>
    </row>
    <row r="591" ht="15.75" customHeight="1">
      <c r="A591" s="85"/>
      <c r="B591" s="85"/>
      <c r="C591" s="65"/>
      <c r="D591" s="65"/>
      <c r="E591" s="85"/>
      <c r="F591" s="65"/>
      <c r="G591" s="117"/>
      <c r="H591" s="65"/>
      <c r="I591" s="85"/>
      <c r="J591" s="85"/>
      <c r="K591" s="85"/>
    </row>
    <row r="592" ht="15.75" customHeight="1">
      <c r="A592" s="85"/>
      <c r="B592" s="85"/>
      <c r="C592" s="65"/>
      <c r="D592" s="65"/>
      <c r="E592" s="85"/>
      <c r="F592" s="65"/>
      <c r="G592" s="117"/>
      <c r="H592" s="65"/>
      <c r="I592" s="85"/>
      <c r="J592" s="85"/>
      <c r="K592" s="85"/>
    </row>
    <row r="593" ht="15.75" customHeight="1">
      <c r="A593" s="85"/>
      <c r="B593" s="85"/>
      <c r="C593" s="65"/>
      <c r="D593" s="65"/>
      <c r="E593" s="85"/>
      <c r="F593" s="65"/>
      <c r="G593" s="117"/>
      <c r="H593" s="65"/>
      <c r="I593" s="85"/>
      <c r="J593" s="85"/>
      <c r="K593" s="85"/>
    </row>
    <row r="594" ht="15.75" customHeight="1">
      <c r="A594" s="85"/>
      <c r="B594" s="85"/>
      <c r="C594" s="65"/>
      <c r="D594" s="65"/>
      <c r="E594" s="85"/>
      <c r="F594" s="65"/>
      <c r="G594" s="117"/>
      <c r="H594" s="65"/>
      <c r="I594" s="85"/>
      <c r="J594" s="85"/>
      <c r="K594" s="85"/>
    </row>
    <row r="595" ht="15.75" customHeight="1">
      <c r="A595" s="85"/>
      <c r="B595" s="85"/>
      <c r="C595" s="65"/>
      <c r="D595" s="65"/>
      <c r="E595" s="85"/>
      <c r="F595" s="65"/>
      <c r="G595" s="117"/>
      <c r="H595" s="65"/>
      <c r="I595" s="85"/>
      <c r="J595" s="85"/>
      <c r="K595" s="85"/>
    </row>
    <row r="596" ht="15.75" customHeight="1">
      <c r="A596" s="85"/>
      <c r="B596" s="85"/>
      <c r="C596" s="65"/>
      <c r="D596" s="65"/>
      <c r="E596" s="85"/>
      <c r="F596" s="65"/>
      <c r="G596" s="117"/>
      <c r="H596" s="65"/>
      <c r="I596" s="85"/>
      <c r="J596" s="85"/>
      <c r="K596" s="85"/>
    </row>
    <row r="597" ht="15.75" customHeight="1">
      <c r="A597" s="85"/>
      <c r="B597" s="85"/>
      <c r="C597" s="65"/>
      <c r="D597" s="65"/>
      <c r="E597" s="85"/>
      <c r="F597" s="65"/>
      <c r="G597" s="117"/>
      <c r="H597" s="65"/>
      <c r="I597" s="85"/>
      <c r="J597" s="85"/>
      <c r="K597" s="85"/>
    </row>
    <row r="598" ht="15.75" customHeight="1">
      <c r="A598" s="85"/>
      <c r="B598" s="85"/>
      <c r="C598" s="65"/>
      <c r="D598" s="65"/>
      <c r="E598" s="85"/>
      <c r="F598" s="65"/>
      <c r="G598" s="117"/>
      <c r="H598" s="65"/>
      <c r="I598" s="85"/>
      <c r="J598" s="85"/>
      <c r="K598" s="85"/>
    </row>
    <row r="599" ht="15.75" customHeight="1">
      <c r="A599" s="85"/>
      <c r="B599" s="85"/>
      <c r="C599" s="65"/>
      <c r="D599" s="65"/>
      <c r="E599" s="85"/>
      <c r="F599" s="65"/>
      <c r="G599" s="117"/>
      <c r="H599" s="65"/>
      <c r="I599" s="85"/>
      <c r="J599" s="85"/>
      <c r="K599" s="85"/>
    </row>
    <row r="600" ht="15.75" customHeight="1">
      <c r="A600" s="85"/>
      <c r="B600" s="85"/>
      <c r="C600" s="65"/>
      <c r="D600" s="65"/>
      <c r="E600" s="85"/>
      <c r="F600" s="65"/>
      <c r="G600" s="117"/>
      <c r="H600" s="65"/>
      <c r="I600" s="85"/>
      <c r="J600" s="85"/>
      <c r="K600" s="85"/>
    </row>
    <row r="601" ht="15.75" customHeight="1">
      <c r="A601" s="85"/>
      <c r="B601" s="85"/>
      <c r="C601" s="65"/>
      <c r="D601" s="65"/>
      <c r="E601" s="85"/>
      <c r="F601" s="65"/>
      <c r="G601" s="117"/>
      <c r="H601" s="65"/>
      <c r="I601" s="85"/>
      <c r="J601" s="85"/>
      <c r="K601" s="85"/>
    </row>
    <row r="602" ht="15.75" customHeight="1">
      <c r="A602" s="85"/>
      <c r="B602" s="85"/>
      <c r="C602" s="65"/>
      <c r="D602" s="65"/>
      <c r="E602" s="85"/>
      <c r="F602" s="65"/>
      <c r="G602" s="117"/>
      <c r="H602" s="65"/>
      <c r="I602" s="85"/>
      <c r="J602" s="85"/>
      <c r="K602" s="85"/>
    </row>
    <row r="603" ht="15.75" customHeight="1">
      <c r="A603" s="85"/>
      <c r="B603" s="85"/>
      <c r="C603" s="65"/>
      <c r="D603" s="65"/>
      <c r="E603" s="85"/>
      <c r="F603" s="65"/>
      <c r="G603" s="117"/>
      <c r="H603" s="65"/>
      <c r="I603" s="85"/>
      <c r="J603" s="85"/>
      <c r="K603" s="85"/>
    </row>
    <row r="604" ht="15.75" customHeight="1">
      <c r="A604" s="85"/>
      <c r="B604" s="85"/>
      <c r="C604" s="65"/>
      <c r="D604" s="65"/>
      <c r="E604" s="85"/>
      <c r="F604" s="65"/>
      <c r="G604" s="117"/>
      <c r="H604" s="65"/>
      <c r="I604" s="85"/>
      <c r="J604" s="85"/>
      <c r="K604" s="85"/>
    </row>
    <row r="605" ht="15.75" customHeight="1">
      <c r="A605" s="85"/>
      <c r="B605" s="85"/>
      <c r="C605" s="65"/>
      <c r="D605" s="65"/>
      <c r="E605" s="85"/>
      <c r="F605" s="65"/>
      <c r="G605" s="117"/>
      <c r="H605" s="65"/>
      <c r="I605" s="85"/>
      <c r="J605" s="85"/>
      <c r="K605" s="85"/>
    </row>
    <row r="606" ht="15.75" customHeight="1">
      <c r="A606" s="85"/>
      <c r="B606" s="85"/>
      <c r="C606" s="65"/>
      <c r="D606" s="65"/>
      <c r="E606" s="85"/>
      <c r="F606" s="65"/>
      <c r="G606" s="117"/>
      <c r="H606" s="65"/>
      <c r="I606" s="85"/>
      <c r="J606" s="85"/>
      <c r="K606" s="85"/>
    </row>
    <row r="607" ht="15.75" customHeight="1">
      <c r="A607" s="85"/>
      <c r="B607" s="85"/>
      <c r="C607" s="65"/>
      <c r="D607" s="65"/>
      <c r="E607" s="85"/>
      <c r="F607" s="65"/>
      <c r="G607" s="117"/>
      <c r="H607" s="65"/>
      <c r="I607" s="85"/>
      <c r="J607" s="85"/>
      <c r="K607" s="85"/>
    </row>
    <row r="608" ht="15.75" customHeight="1">
      <c r="A608" s="85"/>
      <c r="B608" s="85"/>
      <c r="C608" s="65"/>
      <c r="D608" s="65"/>
      <c r="E608" s="85"/>
      <c r="F608" s="65"/>
      <c r="G608" s="117"/>
      <c r="H608" s="65"/>
      <c r="I608" s="85"/>
      <c r="J608" s="85"/>
      <c r="K608" s="85"/>
    </row>
    <row r="609" ht="15.75" customHeight="1">
      <c r="A609" s="85"/>
      <c r="B609" s="85"/>
      <c r="C609" s="65"/>
      <c r="D609" s="65"/>
      <c r="E609" s="85"/>
      <c r="F609" s="65"/>
      <c r="G609" s="117"/>
      <c r="H609" s="65"/>
      <c r="I609" s="85"/>
      <c r="J609" s="85"/>
      <c r="K609" s="85"/>
    </row>
    <row r="610" ht="15.75" customHeight="1">
      <c r="A610" s="85"/>
      <c r="B610" s="85"/>
      <c r="C610" s="65"/>
      <c r="D610" s="65"/>
      <c r="E610" s="85"/>
      <c r="F610" s="65"/>
      <c r="G610" s="117"/>
      <c r="H610" s="65"/>
      <c r="I610" s="85"/>
      <c r="J610" s="85"/>
      <c r="K610" s="85"/>
    </row>
    <row r="611" ht="15.75" customHeight="1">
      <c r="A611" s="85"/>
      <c r="B611" s="85"/>
      <c r="C611" s="65"/>
      <c r="D611" s="65"/>
      <c r="E611" s="85"/>
      <c r="F611" s="65"/>
      <c r="G611" s="117"/>
      <c r="H611" s="65"/>
      <c r="I611" s="85"/>
      <c r="J611" s="85"/>
      <c r="K611" s="85"/>
    </row>
    <row r="612" ht="15.75" customHeight="1">
      <c r="A612" s="85"/>
      <c r="B612" s="85"/>
      <c r="C612" s="65"/>
      <c r="D612" s="65"/>
      <c r="E612" s="85"/>
      <c r="F612" s="65"/>
      <c r="G612" s="117"/>
      <c r="H612" s="65"/>
      <c r="I612" s="85"/>
      <c r="J612" s="85"/>
      <c r="K612" s="85"/>
    </row>
    <row r="613" ht="15.75" customHeight="1">
      <c r="A613" s="85"/>
      <c r="B613" s="85"/>
      <c r="C613" s="65"/>
      <c r="D613" s="65"/>
      <c r="E613" s="85"/>
      <c r="F613" s="65"/>
      <c r="G613" s="117"/>
      <c r="H613" s="65"/>
      <c r="I613" s="85"/>
      <c r="J613" s="85"/>
      <c r="K613" s="85"/>
    </row>
    <row r="614" ht="15.75" customHeight="1">
      <c r="A614" s="85"/>
      <c r="B614" s="85"/>
      <c r="C614" s="65"/>
      <c r="D614" s="65"/>
      <c r="E614" s="85"/>
      <c r="F614" s="65"/>
      <c r="G614" s="117"/>
      <c r="H614" s="65"/>
      <c r="I614" s="85"/>
      <c r="J614" s="85"/>
      <c r="K614" s="85"/>
    </row>
    <row r="615" ht="15.75" customHeight="1">
      <c r="A615" s="85"/>
      <c r="B615" s="85"/>
      <c r="C615" s="65"/>
      <c r="D615" s="65"/>
      <c r="E615" s="85"/>
      <c r="F615" s="65"/>
      <c r="G615" s="117"/>
      <c r="H615" s="65"/>
      <c r="I615" s="85"/>
      <c r="J615" s="85"/>
      <c r="K615" s="85"/>
    </row>
    <row r="616" ht="15.75" customHeight="1">
      <c r="A616" s="85"/>
      <c r="B616" s="85"/>
      <c r="C616" s="65"/>
      <c r="D616" s="65"/>
      <c r="E616" s="85"/>
      <c r="F616" s="65"/>
      <c r="G616" s="117"/>
      <c r="H616" s="65"/>
      <c r="I616" s="85"/>
      <c r="J616" s="85"/>
      <c r="K616" s="85"/>
    </row>
    <row r="617" ht="15.75" customHeight="1">
      <c r="A617" s="85"/>
      <c r="B617" s="85"/>
      <c r="C617" s="65"/>
      <c r="D617" s="65"/>
      <c r="E617" s="85"/>
      <c r="F617" s="65"/>
      <c r="G617" s="117"/>
      <c r="H617" s="65"/>
      <c r="I617" s="85"/>
      <c r="J617" s="85"/>
      <c r="K617" s="85"/>
    </row>
    <row r="618" ht="15.75" customHeight="1">
      <c r="A618" s="85"/>
      <c r="B618" s="85"/>
      <c r="C618" s="65"/>
      <c r="D618" s="65"/>
      <c r="E618" s="85"/>
      <c r="F618" s="65"/>
      <c r="G618" s="117"/>
      <c r="H618" s="65"/>
      <c r="I618" s="85"/>
      <c r="J618" s="85"/>
      <c r="K618" s="85"/>
    </row>
    <row r="619" ht="15.75" customHeight="1">
      <c r="A619" s="85"/>
      <c r="B619" s="85"/>
      <c r="C619" s="65"/>
      <c r="D619" s="65"/>
      <c r="E619" s="85"/>
      <c r="F619" s="65"/>
      <c r="G619" s="117"/>
      <c r="H619" s="65"/>
      <c r="I619" s="85"/>
      <c r="J619" s="85"/>
      <c r="K619" s="85"/>
    </row>
    <row r="620" ht="15.75" customHeight="1">
      <c r="A620" s="85"/>
      <c r="B620" s="85"/>
      <c r="C620" s="65"/>
      <c r="D620" s="65"/>
      <c r="E620" s="85"/>
      <c r="F620" s="65"/>
      <c r="G620" s="117"/>
      <c r="H620" s="65"/>
      <c r="I620" s="85"/>
      <c r="J620" s="85"/>
      <c r="K620" s="85"/>
    </row>
    <row r="621" ht="15.75" customHeight="1">
      <c r="A621" s="85"/>
      <c r="B621" s="85"/>
      <c r="C621" s="65"/>
      <c r="D621" s="65"/>
      <c r="E621" s="85"/>
      <c r="F621" s="65"/>
      <c r="G621" s="117"/>
      <c r="H621" s="65"/>
      <c r="I621" s="85"/>
      <c r="J621" s="85"/>
      <c r="K621" s="85"/>
    </row>
    <row r="622" ht="15.75" customHeight="1">
      <c r="A622" s="85"/>
      <c r="B622" s="85"/>
      <c r="C622" s="65"/>
      <c r="D622" s="65"/>
      <c r="E622" s="85"/>
      <c r="F622" s="65"/>
      <c r="G622" s="117"/>
      <c r="H622" s="65"/>
      <c r="I622" s="85"/>
      <c r="J622" s="85"/>
      <c r="K622" s="85"/>
    </row>
    <row r="623" ht="15.75" customHeight="1">
      <c r="A623" s="85"/>
      <c r="B623" s="85"/>
      <c r="C623" s="65"/>
      <c r="D623" s="65"/>
      <c r="E623" s="85"/>
      <c r="F623" s="65"/>
      <c r="G623" s="117"/>
      <c r="H623" s="65"/>
      <c r="I623" s="85"/>
      <c r="J623" s="85"/>
      <c r="K623" s="85"/>
    </row>
    <row r="624" ht="15.75" customHeight="1">
      <c r="A624" s="85"/>
      <c r="B624" s="85"/>
      <c r="C624" s="65"/>
      <c r="D624" s="65"/>
      <c r="E624" s="85"/>
      <c r="F624" s="65"/>
      <c r="G624" s="117"/>
      <c r="H624" s="65"/>
      <c r="I624" s="85"/>
      <c r="J624" s="85"/>
      <c r="K624" s="85"/>
    </row>
    <row r="625" ht="15.75" customHeight="1">
      <c r="A625" s="85"/>
      <c r="B625" s="85"/>
      <c r="C625" s="65"/>
      <c r="D625" s="65"/>
      <c r="E625" s="85"/>
      <c r="F625" s="65"/>
      <c r="G625" s="117"/>
      <c r="H625" s="65"/>
      <c r="I625" s="85"/>
      <c r="J625" s="85"/>
      <c r="K625" s="85"/>
    </row>
    <row r="626" ht="15.75" customHeight="1">
      <c r="A626" s="85"/>
      <c r="B626" s="85"/>
      <c r="C626" s="65"/>
      <c r="D626" s="65"/>
      <c r="E626" s="85"/>
      <c r="F626" s="65"/>
      <c r="G626" s="117"/>
      <c r="H626" s="65"/>
      <c r="I626" s="85"/>
      <c r="J626" s="85"/>
      <c r="K626" s="85"/>
    </row>
    <row r="627" ht="15.75" customHeight="1">
      <c r="A627" s="85"/>
      <c r="B627" s="85"/>
      <c r="C627" s="65"/>
      <c r="D627" s="65"/>
      <c r="E627" s="85"/>
      <c r="F627" s="65"/>
      <c r="G627" s="117"/>
      <c r="H627" s="65"/>
      <c r="I627" s="85"/>
      <c r="J627" s="85"/>
      <c r="K627" s="85"/>
    </row>
    <row r="628" ht="15.75" customHeight="1">
      <c r="A628" s="85"/>
      <c r="B628" s="85"/>
      <c r="C628" s="65"/>
      <c r="D628" s="65"/>
      <c r="E628" s="85"/>
      <c r="F628" s="65"/>
      <c r="G628" s="117"/>
      <c r="H628" s="65"/>
      <c r="I628" s="85"/>
      <c r="J628" s="85"/>
      <c r="K628" s="85"/>
    </row>
    <row r="629" ht="15.75" customHeight="1">
      <c r="A629" s="85"/>
      <c r="B629" s="85"/>
      <c r="C629" s="65"/>
      <c r="D629" s="65"/>
      <c r="E629" s="85"/>
      <c r="F629" s="65"/>
      <c r="G629" s="117"/>
      <c r="H629" s="65"/>
      <c r="I629" s="85"/>
      <c r="J629" s="85"/>
      <c r="K629" s="85"/>
    </row>
    <row r="630" ht="15.75" customHeight="1">
      <c r="A630" s="85"/>
      <c r="B630" s="85"/>
      <c r="C630" s="65"/>
      <c r="D630" s="65"/>
      <c r="E630" s="85"/>
      <c r="F630" s="65"/>
      <c r="G630" s="117"/>
      <c r="H630" s="65"/>
      <c r="I630" s="85"/>
      <c r="J630" s="85"/>
      <c r="K630" s="85"/>
    </row>
    <row r="631" ht="15.75" customHeight="1">
      <c r="A631" s="85"/>
      <c r="B631" s="85"/>
      <c r="C631" s="65"/>
      <c r="D631" s="65"/>
      <c r="E631" s="85"/>
      <c r="F631" s="65"/>
      <c r="G631" s="117"/>
      <c r="H631" s="65"/>
      <c r="I631" s="85"/>
      <c r="J631" s="85"/>
      <c r="K631" s="85"/>
    </row>
    <row r="632" ht="15.75" customHeight="1">
      <c r="A632" s="85"/>
      <c r="B632" s="85"/>
      <c r="C632" s="65"/>
      <c r="D632" s="65"/>
      <c r="E632" s="85"/>
      <c r="F632" s="65"/>
      <c r="G632" s="117"/>
      <c r="H632" s="65"/>
      <c r="I632" s="85"/>
      <c r="J632" s="85"/>
      <c r="K632" s="85"/>
    </row>
    <row r="633" ht="15.75" customHeight="1">
      <c r="A633" s="85"/>
      <c r="B633" s="85"/>
      <c r="C633" s="65"/>
      <c r="D633" s="65"/>
      <c r="E633" s="85"/>
      <c r="F633" s="65"/>
      <c r="G633" s="117"/>
      <c r="H633" s="65"/>
      <c r="I633" s="85"/>
      <c r="J633" s="85"/>
      <c r="K633" s="85"/>
    </row>
    <row r="634" ht="15.75" customHeight="1">
      <c r="A634" s="85"/>
      <c r="B634" s="85"/>
      <c r="C634" s="65"/>
      <c r="D634" s="65"/>
      <c r="E634" s="85"/>
      <c r="F634" s="65"/>
      <c r="G634" s="117"/>
      <c r="H634" s="65"/>
      <c r="I634" s="85"/>
      <c r="J634" s="85"/>
      <c r="K634" s="85"/>
    </row>
    <row r="635" ht="15.75" customHeight="1">
      <c r="A635" s="85"/>
      <c r="B635" s="85"/>
      <c r="C635" s="65"/>
      <c r="D635" s="65"/>
      <c r="E635" s="85"/>
      <c r="F635" s="65"/>
      <c r="G635" s="117"/>
      <c r="H635" s="65"/>
      <c r="I635" s="85"/>
      <c r="J635" s="85"/>
      <c r="K635" s="85"/>
    </row>
    <row r="636" ht="15.75" customHeight="1">
      <c r="A636" s="85"/>
      <c r="B636" s="85"/>
      <c r="C636" s="65"/>
      <c r="D636" s="65"/>
      <c r="E636" s="85"/>
      <c r="F636" s="65"/>
      <c r="G636" s="117"/>
      <c r="H636" s="65"/>
      <c r="I636" s="85"/>
      <c r="J636" s="85"/>
      <c r="K636" s="85"/>
    </row>
    <row r="637" ht="15.75" customHeight="1">
      <c r="A637" s="85"/>
      <c r="B637" s="85"/>
      <c r="C637" s="65"/>
      <c r="D637" s="65"/>
      <c r="E637" s="85"/>
      <c r="F637" s="65"/>
      <c r="G637" s="117"/>
      <c r="H637" s="65"/>
      <c r="I637" s="85"/>
      <c r="J637" s="85"/>
      <c r="K637" s="85"/>
    </row>
    <row r="638" ht="15.75" customHeight="1">
      <c r="A638" s="85"/>
      <c r="B638" s="85"/>
      <c r="C638" s="65"/>
      <c r="D638" s="65"/>
      <c r="E638" s="85"/>
      <c r="F638" s="65"/>
      <c r="G638" s="117"/>
      <c r="H638" s="65"/>
      <c r="I638" s="85"/>
      <c r="J638" s="85"/>
      <c r="K638" s="85"/>
    </row>
    <row r="639" ht="15.75" customHeight="1">
      <c r="A639" s="85"/>
      <c r="B639" s="85"/>
      <c r="C639" s="65"/>
      <c r="D639" s="65"/>
      <c r="E639" s="85"/>
      <c r="F639" s="65"/>
      <c r="G639" s="117"/>
      <c r="H639" s="65"/>
      <c r="I639" s="85"/>
      <c r="J639" s="85"/>
      <c r="K639" s="85"/>
    </row>
    <row r="640" ht="15.75" customHeight="1">
      <c r="A640" s="85"/>
      <c r="B640" s="85"/>
      <c r="C640" s="65"/>
      <c r="D640" s="65"/>
      <c r="E640" s="85"/>
      <c r="F640" s="65"/>
      <c r="G640" s="117"/>
      <c r="H640" s="65"/>
      <c r="I640" s="85"/>
      <c r="J640" s="85"/>
      <c r="K640" s="85"/>
    </row>
    <row r="641" ht="15.75" customHeight="1">
      <c r="A641" s="85"/>
      <c r="B641" s="85"/>
      <c r="C641" s="65"/>
      <c r="D641" s="65"/>
      <c r="E641" s="85"/>
      <c r="F641" s="65"/>
      <c r="G641" s="117"/>
      <c r="H641" s="65"/>
      <c r="I641" s="85"/>
      <c r="J641" s="85"/>
      <c r="K641" s="85"/>
    </row>
    <row r="642" ht="15.75" customHeight="1">
      <c r="A642" s="85"/>
      <c r="B642" s="85"/>
      <c r="C642" s="65"/>
      <c r="D642" s="65"/>
      <c r="E642" s="85"/>
      <c r="F642" s="65"/>
      <c r="G642" s="117"/>
      <c r="H642" s="65"/>
      <c r="I642" s="85"/>
      <c r="J642" s="85"/>
      <c r="K642" s="85"/>
    </row>
    <row r="643" ht="15.75" customHeight="1">
      <c r="A643" s="85"/>
      <c r="B643" s="85"/>
      <c r="C643" s="65"/>
      <c r="D643" s="65"/>
      <c r="E643" s="85"/>
      <c r="F643" s="65"/>
      <c r="G643" s="117"/>
      <c r="H643" s="65"/>
      <c r="I643" s="85"/>
      <c r="J643" s="85"/>
      <c r="K643" s="85"/>
    </row>
    <row r="644" ht="15.75" customHeight="1">
      <c r="A644" s="85"/>
      <c r="B644" s="85"/>
      <c r="C644" s="65"/>
      <c r="D644" s="65"/>
      <c r="E644" s="85"/>
      <c r="F644" s="65"/>
      <c r="G644" s="117"/>
      <c r="H644" s="65"/>
      <c r="I644" s="85"/>
      <c r="J644" s="85"/>
      <c r="K644" s="85"/>
    </row>
    <row r="645" ht="15.75" customHeight="1">
      <c r="A645" s="85"/>
      <c r="B645" s="85"/>
      <c r="C645" s="65"/>
      <c r="D645" s="65"/>
      <c r="E645" s="85"/>
      <c r="F645" s="65"/>
      <c r="G645" s="117"/>
      <c r="H645" s="65"/>
      <c r="I645" s="85"/>
      <c r="J645" s="85"/>
      <c r="K645" s="85"/>
    </row>
    <row r="646" ht="15.75" customHeight="1">
      <c r="A646" s="85"/>
      <c r="B646" s="85"/>
      <c r="C646" s="65"/>
      <c r="D646" s="65"/>
      <c r="E646" s="85"/>
      <c r="F646" s="65"/>
      <c r="G646" s="117"/>
      <c r="H646" s="65"/>
      <c r="I646" s="85"/>
      <c r="J646" s="85"/>
      <c r="K646" s="85"/>
    </row>
    <row r="647" ht="15.75" customHeight="1">
      <c r="A647" s="85"/>
      <c r="B647" s="85"/>
      <c r="C647" s="65"/>
      <c r="D647" s="65"/>
      <c r="E647" s="85"/>
      <c r="F647" s="65"/>
      <c r="G647" s="117"/>
      <c r="H647" s="65"/>
      <c r="I647" s="85"/>
      <c r="J647" s="85"/>
      <c r="K647" s="85"/>
    </row>
    <row r="648" ht="15.75" customHeight="1">
      <c r="A648" s="85"/>
      <c r="B648" s="85"/>
      <c r="C648" s="65"/>
      <c r="D648" s="65"/>
      <c r="E648" s="85"/>
      <c r="F648" s="65"/>
      <c r="G648" s="117"/>
      <c r="H648" s="65"/>
      <c r="I648" s="85"/>
      <c r="J648" s="85"/>
      <c r="K648" s="85"/>
    </row>
    <row r="649" ht="15.75" customHeight="1">
      <c r="A649" s="85"/>
      <c r="B649" s="85"/>
      <c r="C649" s="65"/>
      <c r="D649" s="65"/>
      <c r="E649" s="85"/>
      <c r="F649" s="65"/>
      <c r="G649" s="117"/>
      <c r="H649" s="65"/>
      <c r="I649" s="85"/>
      <c r="J649" s="85"/>
      <c r="K649" s="85"/>
    </row>
    <row r="650" ht="15.75" customHeight="1">
      <c r="A650" s="85"/>
      <c r="B650" s="85"/>
      <c r="C650" s="65"/>
      <c r="D650" s="65"/>
      <c r="E650" s="85"/>
      <c r="F650" s="65"/>
      <c r="G650" s="117"/>
      <c r="H650" s="65"/>
      <c r="I650" s="85"/>
      <c r="J650" s="85"/>
      <c r="K650" s="85"/>
    </row>
    <row r="651" ht="15.75" customHeight="1">
      <c r="A651" s="85"/>
      <c r="B651" s="85"/>
      <c r="C651" s="65"/>
      <c r="D651" s="65"/>
      <c r="E651" s="85"/>
      <c r="F651" s="65"/>
      <c r="G651" s="117"/>
      <c r="H651" s="65"/>
      <c r="I651" s="85"/>
      <c r="J651" s="85"/>
      <c r="K651" s="85"/>
    </row>
    <row r="652" ht="15.75" customHeight="1">
      <c r="A652" s="85"/>
      <c r="B652" s="85"/>
      <c r="C652" s="65"/>
      <c r="D652" s="65"/>
      <c r="E652" s="85"/>
      <c r="F652" s="65"/>
      <c r="G652" s="117"/>
      <c r="H652" s="65"/>
      <c r="I652" s="85"/>
      <c r="J652" s="85"/>
      <c r="K652" s="85"/>
    </row>
    <row r="653" ht="15.75" customHeight="1">
      <c r="A653" s="85"/>
      <c r="B653" s="85"/>
      <c r="C653" s="65"/>
      <c r="D653" s="65"/>
      <c r="E653" s="85"/>
      <c r="F653" s="65"/>
      <c r="G653" s="117"/>
      <c r="H653" s="65"/>
      <c r="I653" s="85"/>
      <c r="J653" s="85"/>
      <c r="K653" s="85"/>
    </row>
    <row r="654" ht="15.75" customHeight="1">
      <c r="A654" s="85"/>
      <c r="B654" s="85"/>
      <c r="C654" s="65"/>
      <c r="D654" s="65"/>
      <c r="E654" s="85"/>
      <c r="F654" s="65"/>
      <c r="G654" s="117"/>
      <c r="H654" s="65"/>
      <c r="I654" s="85"/>
      <c r="J654" s="85"/>
      <c r="K654" s="85"/>
    </row>
    <row r="655" ht="15.75" customHeight="1">
      <c r="A655" s="85"/>
      <c r="B655" s="85"/>
      <c r="C655" s="65"/>
      <c r="D655" s="65"/>
      <c r="E655" s="85"/>
      <c r="F655" s="65"/>
      <c r="G655" s="117"/>
      <c r="H655" s="65"/>
      <c r="I655" s="85"/>
      <c r="J655" s="85"/>
      <c r="K655" s="85"/>
    </row>
    <row r="656" ht="15.75" customHeight="1">
      <c r="A656" s="85"/>
      <c r="B656" s="85"/>
      <c r="C656" s="65"/>
      <c r="D656" s="65"/>
      <c r="E656" s="85"/>
      <c r="F656" s="65"/>
      <c r="G656" s="117"/>
      <c r="H656" s="65"/>
      <c r="I656" s="85"/>
      <c r="J656" s="85"/>
      <c r="K656" s="85"/>
    </row>
    <row r="657" ht="15.75" customHeight="1">
      <c r="A657" s="85"/>
      <c r="B657" s="85"/>
      <c r="C657" s="65"/>
      <c r="D657" s="65"/>
      <c r="E657" s="85"/>
      <c r="F657" s="65"/>
      <c r="G657" s="117"/>
      <c r="H657" s="65"/>
      <c r="I657" s="85"/>
      <c r="J657" s="85"/>
      <c r="K657" s="85"/>
    </row>
    <row r="658" ht="15.75" customHeight="1">
      <c r="A658" s="85"/>
      <c r="B658" s="85"/>
      <c r="C658" s="65"/>
      <c r="D658" s="65"/>
      <c r="E658" s="85"/>
      <c r="F658" s="65"/>
      <c r="G658" s="117"/>
      <c r="H658" s="65"/>
      <c r="I658" s="85"/>
      <c r="J658" s="85"/>
      <c r="K658" s="85"/>
    </row>
    <row r="659" ht="15.75" customHeight="1">
      <c r="A659" s="85"/>
      <c r="B659" s="85"/>
      <c r="C659" s="65"/>
      <c r="D659" s="65"/>
      <c r="E659" s="85"/>
      <c r="F659" s="65"/>
      <c r="G659" s="117"/>
      <c r="H659" s="65"/>
      <c r="I659" s="85"/>
      <c r="J659" s="85"/>
      <c r="K659" s="85"/>
    </row>
    <row r="660" ht="15.75" customHeight="1">
      <c r="A660" s="85"/>
      <c r="B660" s="85"/>
      <c r="C660" s="65"/>
      <c r="D660" s="65"/>
      <c r="E660" s="85"/>
      <c r="F660" s="65"/>
      <c r="G660" s="117"/>
      <c r="H660" s="65"/>
      <c r="I660" s="85"/>
      <c r="J660" s="85"/>
      <c r="K660" s="85"/>
    </row>
    <row r="661" ht="15.75" customHeight="1">
      <c r="A661" s="85"/>
      <c r="B661" s="85"/>
      <c r="C661" s="65"/>
      <c r="D661" s="65"/>
      <c r="E661" s="85"/>
      <c r="F661" s="65"/>
      <c r="G661" s="117"/>
      <c r="H661" s="65"/>
      <c r="I661" s="85"/>
      <c r="J661" s="85"/>
      <c r="K661" s="85"/>
    </row>
    <row r="662" ht="15.75" customHeight="1">
      <c r="A662" s="85"/>
      <c r="B662" s="85"/>
      <c r="C662" s="65"/>
      <c r="D662" s="65"/>
      <c r="E662" s="85"/>
      <c r="F662" s="65"/>
      <c r="G662" s="117"/>
      <c r="H662" s="65"/>
      <c r="I662" s="85"/>
      <c r="J662" s="85"/>
      <c r="K662" s="85"/>
    </row>
    <row r="663" ht="15.75" customHeight="1">
      <c r="A663" s="85"/>
      <c r="B663" s="85"/>
      <c r="C663" s="65"/>
      <c r="D663" s="65"/>
      <c r="E663" s="85"/>
      <c r="F663" s="65"/>
      <c r="G663" s="117"/>
      <c r="H663" s="65"/>
      <c r="I663" s="85"/>
      <c r="J663" s="85"/>
      <c r="K663" s="85"/>
    </row>
    <row r="664" ht="15.75" customHeight="1">
      <c r="A664" s="85"/>
      <c r="B664" s="85"/>
      <c r="C664" s="65"/>
      <c r="D664" s="65"/>
      <c r="E664" s="85"/>
      <c r="F664" s="65"/>
      <c r="G664" s="117"/>
      <c r="H664" s="65"/>
      <c r="I664" s="85"/>
      <c r="J664" s="85"/>
      <c r="K664" s="85"/>
    </row>
    <row r="665" ht="15.75" customHeight="1">
      <c r="A665" s="85"/>
      <c r="B665" s="85"/>
      <c r="C665" s="65"/>
      <c r="D665" s="65"/>
      <c r="E665" s="85"/>
      <c r="F665" s="65"/>
      <c r="G665" s="117"/>
      <c r="H665" s="65"/>
      <c r="I665" s="85"/>
      <c r="J665" s="85"/>
      <c r="K665" s="85"/>
    </row>
    <row r="666" ht="15.75" customHeight="1">
      <c r="A666" s="85"/>
      <c r="B666" s="85"/>
      <c r="C666" s="65"/>
      <c r="D666" s="65"/>
      <c r="E666" s="85"/>
      <c r="F666" s="65"/>
      <c r="G666" s="117"/>
      <c r="H666" s="65"/>
      <c r="I666" s="85"/>
      <c r="J666" s="85"/>
      <c r="K666" s="85"/>
    </row>
    <row r="667" ht="15.75" customHeight="1">
      <c r="A667" s="85"/>
      <c r="B667" s="85"/>
      <c r="C667" s="65"/>
      <c r="D667" s="65"/>
      <c r="E667" s="85"/>
      <c r="F667" s="65"/>
      <c r="G667" s="117"/>
      <c r="H667" s="65"/>
      <c r="I667" s="85"/>
      <c r="J667" s="85"/>
      <c r="K667" s="85"/>
    </row>
    <row r="668" ht="15.75" customHeight="1">
      <c r="A668" s="85"/>
      <c r="B668" s="85"/>
      <c r="C668" s="65"/>
      <c r="D668" s="65"/>
      <c r="E668" s="85"/>
      <c r="F668" s="65"/>
      <c r="G668" s="117"/>
      <c r="H668" s="65"/>
      <c r="I668" s="85"/>
      <c r="J668" s="85"/>
      <c r="K668" s="85"/>
    </row>
    <row r="669" ht="15.75" customHeight="1">
      <c r="A669" s="85"/>
      <c r="B669" s="85"/>
      <c r="C669" s="65"/>
      <c r="D669" s="65"/>
      <c r="E669" s="85"/>
      <c r="F669" s="65"/>
      <c r="G669" s="117"/>
      <c r="H669" s="65"/>
      <c r="I669" s="85"/>
      <c r="J669" s="85"/>
      <c r="K669" s="85"/>
    </row>
    <row r="670" ht="15.75" customHeight="1">
      <c r="A670" s="85"/>
      <c r="B670" s="85"/>
      <c r="C670" s="65"/>
      <c r="D670" s="65"/>
      <c r="E670" s="85"/>
      <c r="F670" s="65"/>
      <c r="G670" s="117"/>
      <c r="H670" s="65"/>
      <c r="I670" s="85"/>
      <c r="J670" s="85"/>
      <c r="K670" s="85"/>
    </row>
    <row r="671" ht="15.75" customHeight="1">
      <c r="A671" s="85"/>
      <c r="B671" s="85"/>
      <c r="C671" s="65"/>
      <c r="D671" s="65"/>
      <c r="E671" s="85"/>
      <c r="F671" s="65"/>
      <c r="G671" s="117"/>
      <c r="H671" s="65"/>
      <c r="I671" s="85"/>
      <c r="J671" s="85"/>
      <c r="K671" s="85"/>
    </row>
    <row r="672" ht="15.75" customHeight="1">
      <c r="A672" s="85"/>
      <c r="B672" s="85"/>
      <c r="C672" s="65"/>
      <c r="D672" s="65"/>
      <c r="E672" s="85"/>
      <c r="F672" s="65"/>
      <c r="G672" s="117"/>
      <c r="H672" s="65"/>
      <c r="I672" s="85"/>
      <c r="J672" s="85"/>
      <c r="K672" s="85"/>
    </row>
    <row r="673" ht="15.75" customHeight="1">
      <c r="A673" s="85"/>
      <c r="B673" s="85"/>
      <c r="C673" s="65"/>
      <c r="D673" s="65"/>
      <c r="E673" s="85"/>
      <c r="F673" s="65"/>
      <c r="G673" s="117"/>
      <c r="H673" s="65"/>
      <c r="I673" s="85"/>
      <c r="J673" s="85"/>
      <c r="K673" s="85"/>
    </row>
    <row r="674" ht="15.75" customHeight="1">
      <c r="A674" s="85"/>
      <c r="B674" s="85"/>
      <c r="C674" s="65"/>
      <c r="D674" s="65"/>
      <c r="E674" s="85"/>
      <c r="F674" s="65"/>
      <c r="G674" s="117"/>
      <c r="H674" s="65"/>
      <c r="I674" s="85"/>
      <c r="J674" s="85"/>
      <c r="K674" s="85"/>
    </row>
    <row r="675" ht="15.75" customHeight="1">
      <c r="A675" s="85"/>
      <c r="B675" s="85"/>
      <c r="C675" s="65"/>
      <c r="D675" s="65"/>
      <c r="E675" s="85"/>
      <c r="F675" s="65"/>
      <c r="G675" s="117"/>
      <c r="H675" s="65"/>
      <c r="I675" s="85"/>
      <c r="J675" s="85"/>
      <c r="K675" s="85"/>
    </row>
    <row r="676" ht="15.75" customHeight="1">
      <c r="A676" s="85"/>
      <c r="B676" s="85"/>
      <c r="C676" s="65"/>
      <c r="D676" s="65"/>
      <c r="E676" s="85"/>
      <c r="F676" s="65"/>
      <c r="G676" s="117"/>
      <c r="H676" s="65"/>
      <c r="I676" s="85"/>
      <c r="J676" s="85"/>
      <c r="K676" s="85"/>
    </row>
    <row r="677" ht="15.75" customHeight="1">
      <c r="A677" s="85"/>
      <c r="B677" s="85"/>
      <c r="C677" s="65"/>
      <c r="D677" s="65"/>
      <c r="E677" s="85"/>
      <c r="F677" s="65"/>
      <c r="G677" s="117"/>
      <c r="H677" s="65"/>
      <c r="I677" s="85"/>
      <c r="J677" s="85"/>
      <c r="K677" s="85"/>
    </row>
    <row r="678" ht="15.75" customHeight="1">
      <c r="A678" s="85"/>
      <c r="B678" s="85"/>
      <c r="C678" s="65"/>
      <c r="D678" s="65"/>
      <c r="E678" s="85"/>
      <c r="F678" s="65"/>
      <c r="G678" s="117"/>
      <c r="H678" s="65"/>
      <c r="I678" s="85"/>
      <c r="J678" s="85"/>
      <c r="K678" s="85"/>
    </row>
    <row r="679" ht="15.75" customHeight="1">
      <c r="A679" s="85"/>
      <c r="B679" s="85"/>
      <c r="C679" s="65"/>
      <c r="D679" s="65"/>
      <c r="E679" s="85"/>
      <c r="F679" s="65"/>
      <c r="G679" s="117"/>
      <c r="H679" s="65"/>
      <c r="I679" s="85"/>
      <c r="J679" s="85"/>
      <c r="K679" s="85"/>
    </row>
    <row r="680" ht="15.75" customHeight="1">
      <c r="A680" s="85"/>
      <c r="B680" s="85"/>
      <c r="C680" s="65"/>
      <c r="D680" s="65"/>
      <c r="E680" s="85"/>
      <c r="F680" s="65"/>
      <c r="G680" s="117"/>
      <c r="H680" s="65"/>
      <c r="I680" s="85"/>
      <c r="J680" s="85"/>
      <c r="K680" s="85"/>
    </row>
    <row r="681" ht="15.75" customHeight="1">
      <c r="A681" s="85"/>
      <c r="B681" s="85"/>
      <c r="C681" s="65"/>
      <c r="D681" s="65"/>
      <c r="E681" s="85"/>
      <c r="F681" s="65"/>
      <c r="G681" s="117"/>
      <c r="H681" s="65"/>
      <c r="I681" s="85"/>
      <c r="J681" s="85"/>
      <c r="K681" s="85"/>
    </row>
    <row r="682" ht="15.75" customHeight="1">
      <c r="A682" s="85"/>
      <c r="B682" s="85"/>
      <c r="C682" s="65"/>
      <c r="D682" s="65"/>
      <c r="E682" s="85"/>
      <c r="F682" s="65"/>
      <c r="G682" s="117"/>
      <c r="H682" s="65"/>
      <c r="I682" s="85"/>
      <c r="J682" s="85"/>
      <c r="K682" s="85"/>
    </row>
    <row r="683" ht="15.75" customHeight="1">
      <c r="A683" s="85"/>
      <c r="B683" s="85"/>
      <c r="C683" s="65"/>
      <c r="D683" s="65"/>
      <c r="E683" s="85"/>
      <c r="F683" s="65"/>
      <c r="G683" s="117"/>
      <c r="H683" s="65"/>
      <c r="I683" s="85"/>
      <c r="J683" s="85"/>
      <c r="K683" s="85"/>
    </row>
    <row r="684" ht="15.75" customHeight="1">
      <c r="A684" s="85"/>
      <c r="B684" s="85"/>
      <c r="C684" s="65"/>
      <c r="D684" s="65"/>
      <c r="E684" s="85"/>
      <c r="F684" s="65"/>
      <c r="G684" s="117"/>
      <c r="H684" s="65"/>
      <c r="I684" s="85"/>
      <c r="J684" s="85"/>
      <c r="K684" s="85"/>
    </row>
    <row r="685" ht="15.75" customHeight="1">
      <c r="A685" s="85"/>
      <c r="B685" s="85"/>
      <c r="C685" s="65"/>
      <c r="D685" s="65"/>
      <c r="E685" s="85"/>
      <c r="F685" s="65"/>
      <c r="G685" s="117"/>
      <c r="H685" s="65"/>
      <c r="I685" s="85"/>
      <c r="J685" s="85"/>
      <c r="K685" s="85"/>
    </row>
    <row r="686" ht="15.75" customHeight="1">
      <c r="A686" s="85"/>
      <c r="B686" s="85"/>
      <c r="C686" s="65"/>
      <c r="D686" s="65"/>
      <c r="E686" s="85"/>
      <c r="F686" s="65"/>
      <c r="G686" s="117"/>
      <c r="H686" s="65"/>
      <c r="I686" s="85"/>
      <c r="J686" s="85"/>
      <c r="K686" s="85"/>
    </row>
    <row r="687" ht="15.75" customHeight="1">
      <c r="A687" s="85"/>
      <c r="B687" s="85"/>
      <c r="C687" s="65"/>
      <c r="D687" s="65"/>
      <c r="E687" s="85"/>
      <c r="F687" s="65"/>
      <c r="G687" s="117"/>
      <c r="H687" s="65"/>
      <c r="I687" s="85"/>
      <c r="J687" s="85"/>
      <c r="K687" s="85"/>
    </row>
    <row r="688" ht="15.75" customHeight="1">
      <c r="A688" s="85"/>
      <c r="B688" s="85"/>
      <c r="C688" s="65"/>
      <c r="D688" s="65"/>
      <c r="E688" s="85"/>
      <c r="F688" s="65"/>
      <c r="G688" s="117"/>
      <c r="H688" s="65"/>
      <c r="I688" s="85"/>
      <c r="J688" s="85"/>
      <c r="K688" s="85"/>
    </row>
    <row r="689" ht="15.75" customHeight="1">
      <c r="A689" s="85"/>
      <c r="B689" s="85"/>
      <c r="C689" s="65"/>
      <c r="D689" s="65"/>
      <c r="E689" s="85"/>
      <c r="F689" s="65"/>
      <c r="G689" s="117"/>
      <c r="H689" s="65"/>
      <c r="I689" s="85"/>
      <c r="J689" s="85"/>
      <c r="K689" s="85"/>
    </row>
    <row r="690" ht="15.75" customHeight="1">
      <c r="A690" s="85"/>
      <c r="B690" s="85"/>
      <c r="C690" s="65"/>
      <c r="D690" s="65"/>
      <c r="E690" s="85"/>
      <c r="F690" s="65"/>
      <c r="G690" s="117"/>
      <c r="H690" s="65"/>
      <c r="I690" s="85"/>
      <c r="J690" s="85"/>
      <c r="K690" s="85"/>
    </row>
    <row r="691" ht="15.75" customHeight="1">
      <c r="A691" s="85"/>
      <c r="B691" s="85"/>
      <c r="C691" s="65"/>
      <c r="D691" s="65"/>
      <c r="E691" s="85"/>
      <c r="F691" s="65"/>
      <c r="G691" s="117"/>
      <c r="H691" s="65"/>
      <c r="I691" s="85"/>
      <c r="J691" s="85"/>
      <c r="K691" s="85"/>
    </row>
    <row r="692" ht="15.75" customHeight="1">
      <c r="A692" s="85"/>
      <c r="B692" s="85"/>
      <c r="C692" s="65"/>
      <c r="D692" s="65"/>
      <c r="E692" s="85"/>
      <c r="F692" s="65"/>
      <c r="G692" s="117"/>
      <c r="H692" s="65"/>
      <c r="I692" s="85"/>
      <c r="J692" s="85"/>
      <c r="K692" s="85"/>
    </row>
    <row r="693" ht="15.75" customHeight="1">
      <c r="A693" s="85"/>
      <c r="B693" s="85"/>
      <c r="C693" s="65"/>
      <c r="D693" s="65"/>
      <c r="E693" s="85"/>
      <c r="F693" s="65"/>
      <c r="G693" s="117"/>
      <c r="H693" s="65"/>
      <c r="I693" s="85"/>
      <c r="J693" s="85"/>
      <c r="K693" s="85"/>
    </row>
    <row r="694" ht="15.75" customHeight="1">
      <c r="A694" s="85"/>
      <c r="B694" s="85"/>
      <c r="C694" s="65"/>
      <c r="D694" s="65"/>
      <c r="E694" s="85"/>
      <c r="F694" s="65"/>
      <c r="G694" s="117"/>
      <c r="H694" s="65"/>
      <c r="I694" s="85"/>
      <c r="J694" s="85"/>
      <c r="K694" s="85"/>
    </row>
    <row r="695" ht="15.75" customHeight="1">
      <c r="A695" s="85"/>
      <c r="B695" s="85"/>
      <c r="C695" s="65"/>
      <c r="D695" s="65"/>
      <c r="E695" s="85"/>
      <c r="F695" s="65"/>
      <c r="G695" s="117"/>
      <c r="H695" s="65"/>
      <c r="I695" s="85"/>
      <c r="J695" s="85"/>
      <c r="K695" s="85"/>
    </row>
    <row r="696" ht="15.75" customHeight="1">
      <c r="A696" s="85"/>
      <c r="B696" s="85"/>
      <c r="C696" s="65"/>
      <c r="D696" s="65"/>
      <c r="E696" s="85"/>
      <c r="F696" s="65"/>
      <c r="G696" s="117"/>
      <c r="H696" s="65"/>
      <c r="I696" s="85"/>
      <c r="J696" s="85"/>
      <c r="K696" s="85"/>
    </row>
    <row r="697" ht="15.75" customHeight="1">
      <c r="A697" s="85"/>
      <c r="B697" s="85"/>
      <c r="C697" s="65"/>
      <c r="D697" s="65"/>
      <c r="E697" s="85"/>
      <c r="F697" s="65"/>
      <c r="G697" s="117"/>
      <c r="H697" s="65"/>
      <c r="I697" s="85"/>
      <c r="J697" s="85"/>
      <c r="K697" s="85"/>
    </row>
    <row r="698" ht="15.75" customHeight="1">
      <c r="A698" s="85"/>
      <c r="B698" s="85"/>
      <c r="C698" s="65"/>
      <c r="D698" s="65"/>
      <c r="E698" s="85"/>
      <c r="F698" s="65"/>
      <c r="G698" s="117"/>
      <c r="H698" s="65"/>
      <c r="I698" s="85"/>
      <c r="J698" s="85"/>
      <c r="K698" s="85"/>
    </row>
    <row r="699" ht="15.75" customHeight="1">
      <c r="A699" s="85"/>
      <c r="B699" s="85"/>
      <c r="C699" s="65"/>
      <c r="D699" s="65"/>
      <c r="E699" s="85"/>
      <c r="F699" s="65"/>
      <c r="G699" s="117"/>
      <c r="H699" s="65"/>
      <c r="I699" s="85"/>
      <c r="J699" s="85"/>
      <c r="K699" s="85"/>
    </row>
    <row r="700" ht="15.75" customHeight="1">
      <c r="A700" s="85"/>
      <c r="B700" s="85"/>
      <c r="C700" s="65"/>
      <c r="D700" s="65"/>
      <c r="E700" s="85"/>
      <c r="F700" s="65"/>
      <c r="G700" s="117"/>
      <c r="H700" s="65"/>
      <c r="I700" s="85"/>
      <c r="J700" s="85"/>
      <c r="K700" s="85"/>
    </row>
    <row r="701" ht="15.75" customHeight="1">
      <c r="A701" s="85"/>
      <c r="B701" s="85"/>
      <c r="C701" s="65"/>
      <c r="D701" s="65"/>
      <c r="E701" s="85"/>
      <c r="F701" s="65"/>
      <c r="G701" s="117"/>
      <c r="H701" s="65"/>
      <c r="I701" s="85"/>
      <c r="J701" s="85"/>
      <c r="K701" s="85"/>
    </row>
    <row r="702" ht="15.75" customHeight="1">
      <c r="A702" s="85"/>
      <c r="B702" s="85"/>
      <c r="C702" s="65"/>
      <c r="D702" s="65"/>
      <c r="E702" s="85"/>
      <c r="F702" s="65"/>
      <c r="G702" s="117"/>
      <c r="H702" s="65"/>
      <c r="I702" s="85"/>
      <c r="J702" s="85"/>
      <c r="K702" s="85"/>
    </row>
    <row r="703" ht="15.75" customHeight="1">
      <c r="A703" s="85"/>
      <c r="B703" s="85"/>
      <c r="C703" s="65"/>
      <c r="D703" s="65"/>
      <c r="E703" s="85"/>
      <c r="F703" s="65"/>
      <c r="G703" s="117"/>
      <c r="H703" s="65"/>
      <c r="I703" s="85"/>
      <c r="J703" s="85"/>
      <c r="K703" s="85"/>
    </row>
    <row r="704" ht="15.75" customHeight="1">
      <c r="A704" s="85"/>
      <c r="B704" s="85"/>
      <c r="C704" s="65"/>
      <c r="D704" s="65"/>
      <c r="E704" s="85"/>
      <c r="F704" s="65"/>
      <c r="G704" s="117"/>
      <c r="H704" s="65"/>
      <c r="I704" s="85"/>
      <c r="J704" s="85"/>
      <c r="K704" s="85"/>
    </row>
    <row r="705" ht="15.75" customHeight="1">
      <c r="A705" s="85"/>
      <c r="B705" s="85"/>
      <c r="C705" s="65"/>
      <c r="D705" s="65"/>
      <c r="E705" s="85"/>
      <c r="F705" s="65"/>
      <c r="G705" s="117"/>
      <c r="H705" s="65"/>
      <c r="I705" s="85"/>
      <c r="J705" s="85"/>
      <c r="K705" s="85"/>
    </row>
    <row r="706" ht="15.75" customHeight="1">
      <c r="A706" s="85"/>
      <c r="B706" s="85"/>
      <c r="C706" s="65"/>
      <c r="D706" s="65"/>
      <c r="E706" s="85"/>
      <c r="F706" s="65"/>
      <c r="G706" s="117"/>
      <c r="H706" s="65"/>
      <c r="I706" s="85"/>
      <c r="J706" s="85"/>
      <c r="K706" s="85"/>
    </row>
    <row r="707" ht="15.75" customHeight="1">
      <c r="A707" s="85"/>
      <c r="B707" s="85"/>
      <c r="C707" s="65"/>
      <c r="D707" s="65"/>
      <c r="E707" s="85"/>
      <c r="F707" s="65"/>
      <c r="G707" s="117"/>
      <c r="H707" s="65"/>
      <c r="I707" s="85"/>
      <c r="J707" s="85"/>
      <c r="K707" s="85"/>
    </row>
    <row r="708" ht="15.75" customHeight="1">
      <c r="A708" s="85"/>
      <c r="B708" s="85"/>
      <c r="C708" s="65"/>
      <c r="D708" s="65"/>
      <c r="E708" s="85"/>
      <c r="F708" s="65"/>
      <c r="G708" s="117"/>
      <c r="H708" s="65"/>
      <c r="I708" s="85"/>
      <c r="J708" s="85"/>
      <c r="K708" s="85"/>
    </row>
    <row r="709" ht="15.75" customHeight="1">
      <c r="A709" s="85"/>
      <c r="B709" s="85"/>
      <c r="C709" s="65"/>
      <c r="D709" s="65"/>
      <c r="E709" s="85"/>
      <c r="F709" s="65"/>
      <c r="G709" s="117"/>
      <c r="H709" s="65"/>
      <c r="I709" s="85"/>
      <c r="J709" s="85"/>
      <c r="K709" s="85"/>
    </row>
    <row r="710" ht="15.75" customHeight="1">
      <c r="A710" s="85"/>
      <c r="B710" s="85"/>
      <c r="C710" s="65"/>
      <c r="D710" s="65"/>
      <c r="E710" s="85"/>
      <c r="F710" s="65"/>
      <c r="G710" s="117"/>
      <c r="H710" s="65"/>
      <c r="I710" s="85"/>
      <c r="J710" s="85"/>
      <c r="K710" s="85"/>
    </row>
    <row r="711" ht="15.75" customHeight="1">
      <c r="A711" s="85"/>
      <c r="B711" s="85"/>
      <c r="C711" s="65"/>
      <c r="D711" s="65"/>
      <c r="E711" s="85"/>
      <c r="F711" s="65"/>
      <c r="G711" s="117"/>
      <c r="H711" s="65"/>
      <c r="I711" s="85"/>
      <c r="J711" s="85"/>
      <c r="K711" s="85"/>
    </row>
    <row r="712" ht="15.75" customHeight="1">
      <c r="A712" s="85"/>
      <c r="B712" s="85"/>
      <c r="C712" s="65"/>
      <c r="D712" s="65"/>
      <c r="E712" s="85"/>
      <c r="F712" s="65"/>
      <c r="G712" s="117"/>
      <c r="H712" s="65"/>
      <c r="I712" s="85"/>
      <c r="J712" s="85"/>
      <c r="K712" s="85"/>
    </row>
    <row r="713" ht="15.75" customHeight="1">
      <c r="A713" s="85"/>
      <c r="B713" s="85"/>
      <c r="C713" s="65"/>
      <c r="D713" s="65"/>
      <c r="E713" s="85"/>
      <c r="F713" s="65"/>
      <c r="G713" s="117"/>
      <c r="H713" s="65"/>
      <c r="I713" s="85"/>
      <c r="J713" s="85"/>
      <c r="K713" s="85"/>
    </row>
    <row r="714" ht="15.75" customHeight="1">
      <c r="A714" s="85"/>
      <c r="B714" s="85"/>
      <c r="C714" s="65"/>
      <c r="D714" s="65"/>
      <c r="E714" s="85"/>
      <c r="F714" s="65"/>
      <c r="G714" s="117"/>
      <c r="H714" s="65"/>
      <c r="I714" s="85"/>
      <c r="J714" s="85"/>
      <c r="K714" s="85"/>
    </row>
    <row r="715" ht="15.75" customHeight="1">
      <c r="A715" s="85"/>
      <c r="B715" s="85"/>
      <c r="C715" s="65"/>
      <c r="D715" s="65"/>
      <c r="E715" s="85"/>
      <c r="F715" s="65"/>
      <c r="G715" s="117"/>
      <c r="H715" s="65"/>
      <c r="I715" s="85"/>
      <c r="J715" s="85"/>
      <c r="K715" s="85"/>
    </row>
    <row r="716" ht="15.75" customHeight="1">
      <c r="A716" s="85"/>
      <c r="B716" s="85"/>
      <c r="C716" s="65"/>
      <c r="D716" s="65"/>
      <c r="E716" s="85"/>
      <c r="F716" s="65"/>
      <c r="G716" s="117"/>
      <c r="H716" s="65"/>
      <c r="I716" s="85"/>
      <c r="J716" s="85"/>
      <c r="K716" s="85"/>
    </row>
    <row r="717" ht="15.75" customHeight="1">
      <c r="A717" s="85"/>
      <c r="B717" s="85"/>
      <c r="C717" s="65"/>
      <c r="D717" s="65"/>
      <c r="E717" s="85"/>
      <c r="F717" s="65"/>
      <c r="G717" s="117"/>
      <c r="H717" s="65"/>
      <c r="I717" s="85"/>
      <c r="J717" s="85"/>
      <c r="K717" s="85"/>
    </row>
    <row r="718" ht="15.75" customHeight="1">
      <c r="A718" s="85"/>
      <c r="B718" s="85"/>
      <c r="C718" s="65"/>
      <c r="D718" s="65"/>
      <c r="E718" s="85"/>
      <c r="F718" s="65"/>
      <c r="G718" s="117"/>
      <c r="H718" s="65"/>
      <c r="I718" s="85"/>
      <c r="J718" s="85"/>
      <c r="K718" s="85"/>
    </row>
    <row r="719" ht="15.75" customHeight="1">
      <c r="A719" s="85"/>
      <c r="B719" s="85"/>
      <c r="C719" s="65"/>
      <c r="D719" s="65"/>
      <c r="E719" s="85"/>
      <c r="F719" s="65"/>
      <c r="G719" s="117"/>
      <c r="H719" s="65"/>
      <c r="I719" s="85"/>
      <c r="J719" s="85"/>
      <c r="K719" s="85"/>
    </row>
    <row r="720" ht="15.75" customHeight="1">
      <c r="A720" s="85"/>
      <c r="B720" s="85"/>
      <c r="C720" s="65"/>
      <c r="D720" s="65"/>
      <c r="E720" s="85"/>
      <c r="F720" s="65"/>
      <c r="G720" s="117"/>
      <c r="H720" s="65"/>
      <c r="I720" s="85"/>
      <c r="J720" s="85"/>
      <c r="K720" s="85"/>
    </row>
    <row r="721" ht="15.75" customHeight="1">
      <c r="A721" s="85"/>
      <c r="B721" s="85"/>
      <c r="C721" s="65"/>
      <c r="D721" s="65"/>
      <c r="E721" s="85"/>
      <c r="F721" s="65"/>
      <c r="G721" s="117"/>
      <c r="H721" s="65"/>
      <c r="I721" s="85"/>
      <c r="J721" s="85"/>
      <c r="K721" s="85"/>
    </row>
    <row r="722" ht="15.75" customHeight="1">
      <c r="A722" s="85"/>
      <c r="B722" s="85"/>
      <c r="C722" s="65"/>
      <c r="D722" s="65"/>
      <c r="E722" s="85"/>
      <c r="F722" s="65"/>
      <c r="G722" s="117"/>
      <c r="H722" s="65"/>
      <c r="I722" s="85"/>
      <c r="J722" s="85"/>
      <c r="K722" s="85"/>
    </row>
    <row r="723" ht="15.75" customHeight="1">
      <c r="A723" s="85"/>
      <c r="B723" s="85"/>
      <c r="C723" s="65"/>
      <c r="D723" s="65"/>
      <c r="E723" s="85"/>
      <c r="F723" s="65"/>
      <c r="G723" s="117"/>
      <c r="H723" s="65"/>
      <c r="I723" s="85"/>
      <c r="J723" s="85"/>
      <c r="K723" s="85"/>
    </row>
    <row r="724" ht="15.75" customHeight="1">
      <c r="A724" s="85"/>
      <c r="B724" s="85"/>
      <c r="C724" s="65"/>
      <c r="D724" s="65"/>
      <c r="E724" s="85"/>
      <c r="F724" s="65"/>
      <c r="G724" s="117"/>
      <c r="H724" s="65"/>
      <c r="I724" s="85"/>
      <c r="J724" s="85"/>
      <c r="K724" s="85"/>
    </row>
    <row r="725" ht="15.75" customHeight="1">
      <c r="A725" s="85"/>
      <c r="B725" s="85"/>
      <c r="C725" s="65"/>
      <c r="D725" s="65"/>
      <c r="E725" s="85"/>
      <c r="F725" s="65"/>
      <c r="G725" s="117"/>
      <c r="H725" s="65"/>
      <c r="I725" s="85"/>
      <c r="J725" s="85"/>
      <c r="K725" s="85"/>
    </row>
    <row r="726" ht="15.75" customHeight="1">
      <c r="A726" s="85"/>
      <c r="B726" s="85"/>
      <c r="C726" s="65"/>
      <c r="D726" s="65"/>
      <c r="E726" s="85"/>
      <c r="F726" s="65"/>
      <c r="G726" s="117"/>
      <c r="H726" s="65"/>
      <c r="I726" s="85"/>
      <c r="J726" s="85"/>
      <c r="K726" s="85"/>
    </row>
    <row r="727" ht="15.75" customHeight="1">
      <c r="A727" s="85"/>
      <c r="B727" s="85"/>
      <c r="C727" s="65"/>
      <c r="D727" s="65"/>
      <c r="E727" s="85"/>
      <c r="F727" s="65"/>
      <c r="G727" s="117"/>
      <c r="H727" s="65"/>
      <c r="I727" s="85"/>
      <c r="J727" s="85"/>
      <c r="K727" s="85"/>
    </row>
    <row r="728" ht="15.75" customHeight="1">
      <c r="A728" s="85"/>
      <c r="B728" s="85"/>
      <c r="C728" s="65"/>
      <c r="D728" s="65"/>
      <c r="E728" s="85"/>
      <c r="F728" s="65"/>
      <c r="G728" s="117"/>
      <c r="H728" s="65"/>
      <c r="I728" s="85"/>
      <c r="J728" s="85"/>
      <c r="K728" s="85"/>
    </row>
    <row r="729" ht="15.75" customHeight="1">
      <c r="A729" s="85"/>
      <c r="B729" s="85"/>
      <c r="C729" s="65"/>
      <c r="D729" s="65"/>
      <c r="E729" s="85"/>
      <c r="F729" s="65"/>
      <c r="G729" s="117"/>
      <c r="H729" s="65"/>
      <c r="I729" s="85"/>
      <c r="J729" s="85"/>
      <c r="K729" s="85"/>
    </row>
    <row r="730" ht="15.75" customHeight="1">
      <c r="A730" s="85"/>
      <c r="B730" s="85"/>
      <c r="C730" s="65"/>
      <c r="D730" s="65"/>
      <c r="E730" s="85"/>
      <c r="F730" s="65"/>
      <c r="G730" s="117"/>
      <c r="H730" s="65"/>
      <c r="I730" s="85"/>
      <c r="J730" s="85"/>
      <c r="K730" s="85"/>
    </row>
    <row r="731" ht="15.75" customHeight="1">
      <c r="A731" s="85"/>
      <c r="B731" s="85"/>
      <c r="C731" s="65"/>
      <c r="D731" s="65"/>
      <c r="E731" s="85"/>
      <c r="F731" s="65"/>
      <c r="G731" s="117"/>
      <c r="H731" s="65"/>
      <c r="I731" s="85"/>
      <c r="J731" s="85"/>
      <c r="K731" s="85"/>
    </row>
    <row r="732" ht="15.75" customHeight="1">
      <c r="A732" s="85"/>
      <c r="B732" s="85"/>
      <c r="C732" s="65"/>
      <c r="D732" s="65"/>
      <c r="E732" s="85"/>
      <c r="F732" s="65"/>
      <c r="G732" s="117"/>
      <c r="H732" s="65"/>
      <c r="I732" s="85"/>
      <c r="J732" s="85"/>
      <c r="K732" s="85"/>
    </row>
    <row r="733" ht="15.75" customHeight="1">
      <c r="A733" s="85"/>
      <c r="B733" s="85"/>
      <c r="C733" s="65"/>
      <c r="D733" s="65"/>
      <c r="E733" s="85"/>
      <c r="F733" s="65"/>
      <c r="G733" s="117"/>
      <c r="H733" s="65"/>
      <c r="I733" s="85"/>
      <c r="J733" s="85"/>
      <c r="K733" s="85"/>
    </row>
    <row r="734" ht="15.75" customHeight="1">
      <c r="A734" s="85"/>
      <c r="B734" s="85"/>
      <c r="C734" s="65"/>
      <c r="D734" s="65"/>
      <c r="E734" s="85"/>
      <c r="F734" s="65"/>
      <c r="G734" s="117"/>
      <c r="H734" s="65"/>
      <c r="I734" s="85"/>
      <c r="J734" s="85"/>
      <c r="K734" s="85"/>
    </row>
    <row r="735" ht="15.75" customHeight="1">
      <c r="A735" s="85"/>
      <c r="B735" s="85"/>
      <c r="C735" s="65"/>
      <c r="D735" s="65"/>
      <c r="E735" s="85"/>
      <c r="F735" s="65"/>
      <c r="G735" s="117"/>
      <c r="H735" s="65"/>
      <c r="I735" s="85"/>
      <c r="J735" s="85"/>
      <c r="K735" s="85"/>
    </row>
    <row r="736" ht="15.75" customHeight="1">
      <c r="A736" s="85"/>
      <c r="B736" s="85"/>
      <c r="C736" s="65"/>
      <c r="D736" s="65"/>
      <c r="E736" s="85"/>
      <c r="F736" s="65"/>
      <c r="G736" s="117"/>
      <c r="H736" s="65"/>
      <c r="I736" s="85"/>
      <c r="J736" s="85"/>
      <c r="K736" s="85"/>
    </row>
    <row r="737" ht="15.75" customHeight="1">
      <c r="A737" s="85"/>
      <c r="B737" s="85"/>
      <c r="C737" s="65"/>
      <c r="D737" s="65"/>
      <c r="E737" s="85"/>
      <c r="F737" s="65"/>
      <c r="G737" s="117"/>
      <c r="H737" s="65"/>
      <c r="I737" s="85"/>
      <c r="J737" s="85"/>
      <c r="K737" s="85"/>
    </row>
    <row r="738" ht="15.75" customHeight="1">
      <c r="A738" s="85"/>
      <c r="B738" s="85"/>
      <c r="C738" s="65"/>
      <c r="D738" s="65"/>
      <c r="E738" s="85"/>
      <c r="F738" s="65"/>
      <c r="G738" s="117"/>
      <c r="H738" s="65"/>
      <c r="I738" s="85"/>
      <c r="J738" s="85"/>
      <c r="K738" s="85"/>
    </row>
    <row r="739" ht="15.75" customHeight="1">
      <c r="A739" s="85"/>
      <c r="B739" s="85"/>
      <c r="C739" s="65"/>
      <c r="D739" s="65"/>
      <c r="E739" s="85"/>
      <c r="F739" s="65"/>
      <c r="G739" s="117"/>
      <c r="H739" s="65"/>
      <c r="I739" s="85"/>
      <c r="J739" s="85"/>
      <c r="K739" s="85"/>
    </row>
    <row r="740" ht="15.75" customHeight="1">
      <c r="A740" s="85"/>
      <c r="B740" s="85"/>
      <c r="C740" s="65"/>
      <c r="D740" s="65"/>
      <c r="E740" s="85"/>
      <c r="F740" s="65"/>
      <c r="G740" s="117"/>
      <c r="H740" s="65"/>
      <c r="I740" s="85"/>
      <c r="J740" s="85"/>
      <c r="K740" s="85"/>
    </row>
    <row r="741" ht="15.75" customHeight="1">
      <c r="A741" s="85"/>
      <c r="B741" s="85"/>
      <c r="C741" s="65"/>
      <c r="D741" s="65"/>
      <c r="E741" s="85"/>
      <c r="F741" s="65"/>
      <c r="G741" s="117"/>
      <c r="H741" s="65"/>
      <c r="I741" s="85"/>
      <c r="J741" s="85"/>
      <c r="K741" s="85"/>
    </row>
    <row r="742" ht="15.75" customHeight="1">
      <c r="A742" s="85"/>
      <c r="B742" s="85"/>
      <c r="C742" s="65"/>
      <c r="D742" s="65"/>
      <c r="E742" s="85"/>
      <c r="F742" s="65"/>
      <c r="G742" s="117"/>
      <c r="H742" s="65"/>
      <c r="I742" s="85"/>
      <c r="J742" s="85"/>
      <c r="K742" s="85"/>
    </row>
    <row r="743" ht="15.75" customHeight="1">
      <c r="A743" s="85"/>
      <c r="B743" s="85"/>
      <c r="C743" s="65"/>
      <c r="D743" s="65"/>
      <c r="E743" s="85"/>
      <c r="F743" s="65"/>
      <c r="G743" s="117"/>
      <c r="H743" s="65"/>
      <c r="I743" s="85"/>
      <c r="J743" s="85"/>
      <c r="K743" s="85"/>
    </row>
    <row r="744" ht="15.75" customHeight="1">
      <c r="A744" s="85"/>
      <c r="B744" s="85"/>
      <c r="C744" s="65"/>
      <c r="D744" s="65"/>
      <c r="E744" s="85"/>
      <c r="F744" s="65"/>
      <c r="G744" s="117"/>
      <c r="H744" s="65"/>
      <c r="I744" s="85"/>
      <c r="J744" s="85"/>
      <c r="K744" s="85"/>
    </row>
    <row r="745" ht="15.75" customHeight="1">
      <c r="A745" s="85"/>
      <c r="B745" s="85"/>
      <c r="C745" s="65"/>
      <c r="D745" s="65"/>
      <c r="E745" s="85"/>
      <c r="F745" s="65"/>
      <c r="G745" s="117"/>
      <c r="H745" s="65"/>
      <c r="I745" s="85"/>
      <c r="J745" s="85"/>
      <c r="K745" s="85"/>
    </row>
    <row r="746" ht="15.75" customHeight="1">
      <c r="A746" s="85"/>
      <c r="B746" s="85"/>
      <c r="C746" s="65"/>
      <c r="D746" s="65"/>
      <c r="E746" s="85"/>
      <c r="F746" s="65"/>
      <c r="G746" s="117"/>
      <c r="H746" s="65"/>
      <c r="I746" s="85"/>
      <c r="J746" s="85"/>
      <c r="K746" s="85"/>
    </row>
    <row r="747" ht="15.75" customHeight="1">
      <c r="A747" s="85"/>
      <c r="B747" s="85"/>
      <c r="C747" s="65"/>
      <c r="D747" s="65"/>
      <c r="E747" s="85"/>
      <c r="F747" s="65"/>
      <c r="G747" s="117"/>
      <c r="H747" s="65"/>
      <c r="I747" s="85"/>
      <c r="J747" s="85"/>
      <c r="K747" s="85"/>
    </row>
    <row r="748" ht="15.75" customHeight="1">
      <c r="A748" s="85"/>
      <c r="B748" s="85"/>
      <c r="C748" s="65"/>
      <c r="D748" s="65"/>
      <c r="E748" s="85"/>
      <c r="F748" s="65"/>
      <c r="G748" s="117"/>
      <c r="H748" s="65"/>
      <c r="I748" s="85"/>
      <c r="J748" s="85"/>
      <c r="K748" s="85"/>
    </row>
    <row r="749" ht="15.75" customHeight="1">
      <c r="A749" s="85"/>
      <c r="B749" s="85"/>
      <c r="C749" s="65"/>
      <c r="D749" s="65"/>
      <c r="E749" s="85"/>
      <c r="F749" s="65"/>
      <c r="G749" s="117"/>
      <c r="H749" s="65"/>
      <c r="I749" s="85"/>
      <c r="J749" s="85"/>
      <c r="K749" s="85"/>
    </row>
    <row r="750" ht="15.75" customHeight="1">
      <c r="A750" s="85"/>
      <c r="B750" s="85"/>
      <c r="C750" s="65"/>
      <c r="D750" s="65"/>
      <c r="E750" s="85"/>
      <c r="F750" s="65"/>
      <c r="G750" s="117"/>
      <c r="H750" s="65"/>
      <c r="I750" s="85"/>
      <c r="J750" s="85"/>
      <c r="K750" s="85"/>
    </row>
    <row r="751" ht="15.75" customHeight="1">
      <c r="A751" s="85"/>
      <c r="B751" s="85"/>
      <c r="C751" s="65"/>
      <c r="D751" s="65"/>
      <c r="E751" s="85"/>
      <c r="F751" s="65"/>
      <c r="G751" s="117"/>
      <c r="H751" s="65"/>
      <c r="I751" s="85"/>
      <c r="J751" s="85"/>
      <c r="K751" s="85"/>
    </row>
    <row r="752" ht="15.75" customHeight="1">
      <c r="A752" s="85"/>
      <c r="B752" s="85"/>
      <c r="C752" s="65"/>
      <c r="D752" s="65"/>
      <c r="E752" s="85"/>
      <c r="F752" s="65"/>
      <c r="G752" s="117"/>
      <c r="H752" s="65"/>
      <c r="I752" s="85"/>
      <c r="J752" s="85"/>
      <c r="K752" s="85"/>
    </row>
    <row r="753" ht="15.75" customHeight="1">
      <c r="A753" s="85"/>
      <c r="B753" s="85"/>
      <c r="C753" s="65"/>
      <c r="D753" s="65"/>
      <c r="E753" s="85"/>
      <c r="F753" s="65"/>
      <c r="G753" s="117"/>
      <c r="H753" s="65"/>
      <c r="I753" s="85"/>
      <c r="J753" s="85"/>
      <c r="K753" s="85"/>
    </row>
    <row r="754" ht="15.75" customHeight="1">
      <c r="A754" s="85"/>
      <c r="B754" s="85"/>
      <c r="C754" s="65"/>
      <c r="D754" s="65"/>
      <c r="E754" s="85"/>
      <c r="F754" s="65"/>
      <c r="G754" s="117"/>
      <c r="H754" s="65"/>
      <c r="I754" s="85"/>
      <c r="J754" s="85"/>
      <c r="K754" s="85"/>
    </row>
    <row r="755" ht="15.75" customHeight="1">
      <c r="A755" s="85"/>
      <c r="B755" s="85"/>
      <c r="C755" s="65"/>
      <c r="D755" s="65"/>
      <c r="E755" s="85"/>
      <c r="F755" s="65"/>
      <c r="G755" s="117"/>
      <c r="H755" s="65"/>
      <c r="I755" s="85"/>
      <c r="J755" s="85"/>
      <c r="K755" s="85"/>
    </row>
    <row r="756" ht="15.75" customHeight="1">
      <c r="A756" s="85"/>
      <c r="B756" s="85"/>
      <c r="C756" s="65"/>
      <c r="D756" s="65"/>
      <c r="E756" s="85"/>
      <c r="F756" s="65"/>
      <c r="G756" s="117"/>
      <c r="H756" s="65"/>
      <c r="I756" s="85"/>
      <c r="J756" s="85"/>
      <c r="K756" s="85"/>
    </row>
    <row r="757" ht="15.75" customHeight="1">
      <c r="A757" s="85"/>
      <c r="B757" s="85"/>
      <c r="C757" s="65"/>
      <c r="D757" s="65"/>
      <c r="E757" s="85"/>
      <c r="F757" s="65"/>
      <c r="G757" s="117"/>
      <c r="H757" s="65"/>
      <c r="I757" s="85"/>
      <c r="J757" s="85"/>
      <c r="K757" s="85"/>
    </row>
    <row r="758" ht="15.75" customHeight="1">
      <c r="A758" s="85"/>
      <c r="B758" s="85"/>
      <c r="C758" s="65"/>
      <c r="D758" s="65"/>
      <c r="E758" s="85"/>
      <c r="F758" s="65"/>
      <c r="G758" s="117"/>
      <c r="H758" s="65"/>
      <c r="I758" s="85"/>
      <c r="J758" s="85"/>
      <c r="K758" s="85"/>
    </row>
    <row r="759" ht="15.75" customHeight="1">
      <c r="A759" s="85"/>
      <c r="B759" s="85"/>
      <c r="C759" s="65"/>
      <c r="D759" s="65"/>
      <c r="E759" s="85"/>
      <c r="F759" s="65"/>
      <c r="G759" s="117"/>
      <c r="H759" s="65"/>
      <c r="I759" s="85"/>
      <c r="J759" s="85"/>
      <c r="K759" s="85"/>
    </row>
    <row r="760" ht="15.75" customHeight="1">
      <c r="A760" s="85"/>
      <c r="B760" s="85"/>
      <c r="C760" s="65"/>
      <c r="D760" s="65"/>
      <c r="E760" s="85"/>
      <c r="F760" s="65"/>
      <c r="G760" s="117"/>
      <c r="H760" s="65"/>
      <c r="I760" s="85"/>
      <c r="J760" s="85"/>
      <c r="K760" s="85"/>
    </row>
    <row r="761" ht="15.75" customHeight="1">
      <c r="A761" s="85"/>
      <c r="B761" s="85"/>
      <c r="C761" s="65"/>
      <c r="D761" s="65"/>
      <c r="E761" s="85"/>
      <c r="F761" s="65"/>
      <c r="G761" s="117"/>
      <c r="H761" s="65"/>
      <c r="I761" s="85"/>
      <c r="J761" s="85"/>
      <c r="K761" s="85"/>
    </row>
    <row r="762" ht="15.75" customHeight="1">
      <c r="A762" s="85"/>
      <c r="B762" s="85"/>
      <c r="C762" s="65"/>
      <c r="D762" s="65"/>
      <c r="E762" s="85"/>
      <c r="F762" s="65"/>
      <c r="G762" s="117"/>
      <c r="H762" s="65"/>
      <c r="I762" s="85"/>
      <c r="J762" s="85"/>
      <c r="K762" s="85"/>
    </row>
    <row r="763" ht="15.75" customHeight="1">
      <c r="A763" s="85"/>
      <c r="B763" s="85"/>
      <c r="C763" s="65"/>
      <c r="D763" s="65"/>
      <c r="E763" s="85"/>
      <c r="F763" s="65"/>
      <c r="G763" s="117"/>
      <c r="H763" s="65"/>
      <c r="I763" s="85"/>
      <c r="J763" s="85"/>
      <c r="K763" s="85"/>
    </row>
    <row r="764" ht="15.75" customHeight="1">
      <c r="A764" s="85"/>
      <c r="B764" s="85"/>
      <c r="C764" s="65"/>
      <c r="D764" s="65"/>
      <c r="E764" s="85"/>
      <c r="F764" s="65"/>
      <c r="G764" s="117"/>
      <c r="H764" s="65"/>
      <c r="I764" s="85"/>
      <c r="J764" s="85"/>
      <c r="K764" s="85"/>
    </row>
    <row r="765" ht="15.75" customHeight="1">
      <c r="A765" s="85"/>
      <c r="B765" s="85"/>
      <c r="C765" s="65"/>
      <c r="D765" s="65"/>
      <c r="E765" s="85"/>
      <c r="F765" s="65"/>
      <c r="G765" s="117"/>
      <c r="H765" s="65"/>
      <c r="I765" s="85"/>
      <c r="J765" s="85"/>
      <c r="K765" s="85"/>
    </row>
    <row r="766" ht="15.75" customHeight="1">
      <c r="A766" s="85"/>
      <c r="B766" s="85"/>
      <c r="C766" s="65"/>
      <c r="D766" s="65"/>
      <c r="E766" s="85"/>
      <c r="F766" s="65"/>
      <c r="G766" s="117"/>
      <c r="H766" s="65"/>
      <c r="I766" s="85"/>
      <c r="J766" s="85"/>
      <c r="K766" s="85"/>
    </row>
    <row r="767" ht="15.75" customHeight="1">
      <c r="A767" s="85"/>
      <c r="B767" s="85"/>
      <c r="C767" s="65"/>
      <c r="D767" s="65"/>
      <c r="E767" s="85"/>
      <c r="F767" s="65"/>
      <c r="G767" s="117"/>
      <c r="H767" s="65"/>
      <c r="I767" s="85"/>
      <c r="J767" s="85"/>
      <c r="K767" s="85"/>
    </row>
    <row r="768" ht="15.75" customHeight="1">
      <c r="A768" s="85"/>
      <c r="B768" s="85"/>
      <c r="C768" s="65"/>
      <c r="D768" s="65"/>
      <c r="E768" s="85"/>
      <c r="F768" s="65"/>
      <c r="G768" s="117"/>
      <c r="H768" s="65"/>
      <c r="I768" s="85"/>
      <c r="J768" s="85"/>
      <c r="K768" s="85"/>
    </row>
    <row r="769" ht="15.75" customHeight="1">
      <c r="A769" s="85"/>
      <c r="B769" s="85"/>
      <c r="C769" s="65"/>
      <c r="D769" s="65"/>
      <c r="E769" s="85"/>
      <c r="F769" s="65"/>
      <c r="G769" s="117"/>
      <c r="H769" s="65"/>
      <c r="I769" s="85"/>
      <c r="J769" s="85"/>
      <c r="K769" s="85"/>
    </row>
    <row r="770" ht="15.75" customHeight="1">
      <c r="A770" s="85"/>
      <c r="B770" s="85"/>
      <c r="C770" s="65"/>
      <c r="D770" s="65"/>
      <c r="E770" s="85"/>
      <c r="F770" s="65"/>
      <c r="G770" s="117"/>
      <c r="H770" s="65"/>
      <c r="I770" s="85"/>
      <c r="J770" s="85"/>
      <c r="K770" s="85"/>
    </row>
    <row r="771" ht="15.75" customHeight="1">
      <c r="A771" s="85"/>
      <c r="B771" s="85"/>
      <c r="C771" s="65"/>
      <c r="D771" s="65"/>
      <c r="E771" s="85"/>
      <c r="F771" s="65"/>
      <c r="G771" s="117"/>
      <c r="H771" s="65"/>
      <c r="I771" s="85"/>
      <c r="J771" s="85"/>
      <c r="K771" s="85"/>
    </row>
    <row r="772" ht="15.75" customHeight="1">
      <c r="A772" s="85"/>
      <c r="B772" s="85"/>
      <c r="C772" s="65"/>
      <c r="D772" s="65"/>
      <c r="E772" s="85"/>
      <c r="F772" s="65"/>
      <c r="G772" s="117"/>
      <c r="H772" s="65"/>
      <c r="I772" s="85"/>
      <c r="J772" s="85"/>
      <c r="K772" s="85"/>
    </row>
    <row r="773" ht="15.75" customHeight="1">
      <c r="A773" s="85"/>
      <c r="B773" s="85"/>
      <c r="C773" s="65"/>
      <c r="D773" s="65"/>
      <c r="E773" s="85"/>
      <c r="F773" s="65"/>
      <c r="G773" s="117"/>
      <c r="H773" s="65"/>
      <c r="I773" s="85"/>
      <c r="J773" s="85"/>
      <c r="K773" s="85"/>
    </row>
    <row r="774" ht="15.75" customHeight="1">
      <c r="A774" s="85"/>
      <c r="B774" s="85"/>
      <c r="C774" s="65"/>
      <c r="D774" s="65"/>
      <c r="E774" s="85"/>
      <c r="F774" s="65"/>
      <c r="G774" s="117"/>
      <c r="H774" s="65"/>
      <c r="I774" s="85"/>
      <c r="J774" s="85"/>
      <c r="K774" s="85"/>
    </row>
    <row r="775" ht="15.75" customHeight="1">
      <c r="A775" s="85"/>
      <c r="B775" s="85"/>
      <c r="C775" s="65"/>
      <c r="D775" s="65"/>
      <c r="E775" s="85"/>
      <c r="F775" s="65"/>
      <c r="G775" s="117"/>
      <c r="H775" s="65"/>
      <c r="I775" s="85"/>
      <c r="J775" s="85"/>
      <c r="K775" s="85"/>
    </row>
    <row r="776" ht="15.75" customHeight="1">
      <c r="A776" s="85"/>
      <c r="B776" s="85"/>
      <c r="C776" s="65"/>
      <c r="D776" s="65"/>
      <c r="E776" s="85"/>
      <c r="F776" s="65"/>
      <c r="G776" s="117"/>
      <c r="H776" s="65"/>
      <c r="I776" s="85"/>
      <c r="J776" s="85"/>
      <c r="K776" s="85"/>
    </row>
    <row r="777" ht="15.75" customHeight="1">
      <c r="A777" s="85"/>
      <c r="B777" s="85"/>
      <c r="C777" s="65"/>
      <c r="D777" s="65"/>
      <c r="E777" s="85"/>
      <c r="F777" s="65"/>
      <c r="G777" s="117"/>
      <c r="H777" s="65"/>
      <c r="I777" s="85"/>
      <c r="J777" s="85"/>
      <c r="K777" s="85"/>
    </row>
    <row r="778" ht="15.75" customHeight="1">
      <c r="A778" s="85"/>
      <c r="B778" s="85"/>
      <c r="C778" s="65"/>
      <c r="D778" s="65"/>
      <c r="E778" s="85"/>
      <c r="F778" s="65"/>
      <c r="G778" s="117"/>
      <c r="H778" s="65"/>
      <c r="I778" s="85"/>
      <c r="J778" s="85"/>
      <c r="K778" s="85"/>
    </row>
    <row r="779" ht="15.75" customHeight="1">
      <c r="A779" s="85"/>
      <c r="B779" s="85"/>
      <c r="C779" s="65"/>
      <c r="D779" s="65"/>
      <c r="E779" s="85"/>
      <c r="F779" s="65"/>
      <c r="G779" s="117"/>
      <c r="H779" s="65"/>
      <c r="I779" s="85"/>
      <c r="J779" s="85"/>
      <c r="K779" s="85"/>
    </row>
    <row r="780" ht="15.75" customHeight="1">
      <c r="A780" s="85"/>
      <c r="B780" s="85"/>
      <c r="C780" s="65"/>
      <c r="D780" s="65"/>
      <c r="E780" s="85"/>
      <c r="F780" s="65"/>
      <c r="G780" s="117"/>
      <c r="H780" s="65"/>
      <c r="I780" s="85"/>
      <c r="J780" s="85"/>
      <c r="K780" s="85"/>
    </row>
    <row r="781" ht="15.75" customHeight="1">
      <c r="A781" s="85"/>
      <c r="B781" s="85"/>
      <c r="C781" s="65"/>
      <c r="D781" s="65"/>
      <c r="E781" s="85"/>
      <c r="F781" s="65"/>
      <c r="G781" s="117"/>
      <c r="H781" s="65"/>
      <c r="I781" s="85"/>
      <c r="J781" s="85"/>
      <c r="K781" s="85"/>
    </row>
    <row r="782" ht="15.75" customHeight="1">
      <c r="A782" s="85"/>
      <c r="B782" s="85"/>
      <c r="C782" s="65"/>
      <c r="D782" s="65"/>
      <c r="E782" s="85"/>
      <c r="F782" s="65"/>
      <c r="G782" s="117"/>
      <c r="H782" s="65"/>
      <c r="I782" s="85"/>
      <c r="J782" s="85"/>
      <c r="K782" s="85"/>
    </row>
    <row r="783" ht="15.75" customHeight="1">
      <c r="A783" s="85"/>
      <c r="B783" s="85"/>
      <c r="C783" s="65"/>
      <c r="D783" s="65"/>
      <c r="E783" s="85"/>
      <c r="F783" s="65"/>
      <c r="G783" s="117"/>
      <c r="H783" s="65"/>
      <c r="I783" s="85"/>
      <c r="J783" s="85"/>
      <c r="K783" s="85"/>
    </row>
    <row r="784" ht="15.75" customHeight="1">
      <c r="A784" s="85"/>
      <c r="B784" s="85"/>
      <c r="C784" s="65"/>
      <c r="D784" s="65"/>
      <c r="E784" s="85"/>
      <c r="F784" s="65"/>
      <c r="G784" s="117"/>
      <c r="H784" s="65"/>
      <c r="I784" s="85"/>
      <c r="J784" s="85"/>
      <c r="K784" s="85"/>
    </row>
    <row r="785" ht="15.75" customHeight="1">
      <c r="A785" s="85"/>
      <c r="B785" s="85"/>
      <c r="C785" s="65"/>
      <c r="D785" s="65"/>
      <c r="E785" s="85"/>
      <c r="F785" s="65"/>
      <c r="G785" s="117"/>
      <c r="H785" s="65"/>
      <c r="I785" s="85"/>
      <c r="J785" s="85"/>
      <c r="K785" s="85"/>
    </row>
    <row r="786" ht="15.75" customHeight="1">
      <c r="A786" s="85"/>
      <c r="B786" s="85"/>
      <c r="C786" s="65"/>
      <c r="D786" s="65"/>
      <c r="E786" s="85"/>
      <c r="F786" s="65"/>
      <c r="G786" s="117"/>
      <c r="H786" s="65"/>
      <c r="I786" s="85"/>
      <c r="J786" s="85"/>
      <c r="K786" s="85"/>
    </row>
    <row r="787" ht="15.75" customHeight="1">
      <c r="A787" s="85"/>
      <c r="B787" s="85"/>
      <c r="C787" s="65"/>
      <c r="D787" s="65"/>
      <c r="E787" s="85"/>
      <c r="F787" s="65"/>
      <c r="G787" s="117"/>
      <c r="H787" s="65"/>
      <c r="I787" s="85"/>
      <c r="J787" s="85"/>
      <c r="K787" s="85"/>
    </row>
    <row r="788" ht="15.75" customHeight="1">
      <c r="A788" s="85"/>
      <c r="B788" s="85"/>
      <c r="C788" s="65"/>
      <c r="D788" s="65"/>
      <c r="E788" s="85"/>
      <c r="F788" s="65"/>
      <c r="G788" s="117"/>
      <c r="H788" s="65"/>
      <c r="I788" s="85"/>
      <c r="J788" s="85"/>
      <c r="K788" s="85"/>
    </row>
    <row r="789" ht="15.75" customHeight="1">
      <c r="A789" s="85"/>
      <c r="B789" s="85"/>
      <c r="C789" s="65"/>
      <c r="D789" s="65"/>
      <c r="E789" s="85"/>
      <c r="F789" s="65"/>
      <c r="G789" s="117"/>
      <c r="H789" s="65"/>
      <c r="I789" s="85"/>
      <c r="J789" s="85"/>
      <c r="K789" s="85"/>
    </row>
    <row r="790" ht="15.75" customHeight="1">
      <c r="A790" s="85"/>
      <c r="B790" s="85"/>
      <c r="C790" s="65"/>
      <c r="D790" s="65"/>
      <c r="E790" s="85"/>
      <c r="F790" s="65"/>
      <c r="G790" s="117"/>
      <c r="H790" s="65"/>
      <c r="I790" s="85"/>
      <c r="J790" s="85"/>
      <c r="K790" s="85"/>
    </row>
    <row r="791" ht="15.75" customHeight="1">
      <c r="A791" s="85"/>
      <c r="B791" s="85"/>
      <c r="C791" s="65"/>
      <c r="D791" s="65"/>
      <c r="E791" s="85"/>
      <c r="F791" s="65"/>
      <c r="G791" s="117"/>
      <c r="H791" s="65"/>
      <c r="I791" s="85"/>
      <c r="J791" s="85"/>
      <c r="K791" s="85"/>
    </row>
    <row r="792" ht="15.75" customHeight="1">
      <c r="A792" s="85"/>
      <c r="B792" s="85"/>
      <c r="C792" s="65"/>
      <c r="D792" s="65"/>
      <c r="E792" s="85"/>
      <c r="F792" s="65"/>
      <c r="G792" s="117"/>
      <c r="H792" s="65"/>
      <c r="I792" s="85"/>
      <c r="J792" s="85"/>
      <c r="K792" s="85"/>
    </row>
    <row r="793" ht="15.75" customHeight="1">
      <c r="A793" s="85"/>
      <c r="B793" s="85"/>
      <c r="C793" s="65"/>
      <c r="D793" s="65"/>
      <c r="E793" s="85"/>
      <c r="F793" s="65"/>
      <c r="G793" s="117"/>
      <c r="H793" s="65"/>
      <c r="I793" s="85"/>
      <c r="J793" s="85"/>
      <c r="K793" s="85"/>
    </row>
    <row r="794" ht="15.75" customHeight="1">
      <c r="A794" s="85"/>
      <c r="B794" s="85"/>
      <c r="C794" s="65"/>
      <c r="D794" s="65"/>
      <c r="E794" s="85"/>
      <c r="F794" s="65"/>
      <c r="G794" s="117"/>
      <c r="H794" s="65"/>
      <c r="I794" s="85"/>
      <c r="J794" s="85"/>
      <c r="K794" s="85"/>
    </row>
    <row r="795" ht="15.75" customHeight="1">
      <c r="A795" s="85"/>
      <c r="B795" s="85"/>
      <c r="C795" s="65"/>
      <c r="D795" s="65"/>
      <c r="E795" s="85"/>
      <c r="F795" s="65"/>
      <c r="G795" s="117"/>
      <c r="H795" s="65"/>
      <c r="I795" s="85"/>
      <c r="J795" s="85"/>
      <c r="K795" s="85"/>
    </row>
    <row r="796" ht="15.75" customHeight="1">
      <c r="A796" s="85"/>
      <c r="B796" s="85"/>
      <c r="C796" s="65"/>
      <c r="D796" s="65"/>
      <c r="E796" s="85"/>
      <c r="F796" s="65"/>
      <c r="G796" s="117"/>
      <c r="H796" s="65"/>
      <c r="I796" s="85"/>
      <c r="J796" s="85"/>
      <c r="K796" s="85"/>
    </row>
    <row r="797" ht="15.75" customHeight="1">
      <c r="A797" s="85"/>
      <c r="B797" s="85"/>
      <c r="C797" s="65"/>
      <c r="D797" s="65"/>
      <c r="E797" s="85"/>
      <c r="F797" s="65"/>
      <c r="G797" s="117"/>
      <c r="H797" s="65"/>
      <c r="I797" s="85"/>
      <c r="J797" s="85"/>
      <c r="K797" s="85"/>
    </row>
    <row r="798" ht="15.75" customHeight="1">
      <c r="A798" s="85"/>
      <c r="B798" s="85"/>
      <c r="C798" s="65"/>
      <c r="D798" s="65"/>
      <c r="E798" s="85"/>
      <c r="F798" s="65"/>
      <c r="G798" s="117"/>
      <c r="H798" s="65"/>
      <c r="I798" s="85"/>
      <c r="J798" s="85"/>
      <c r="K798" s="85"/>
    </row>
    <row r="799" ht="15.75" customHeight="1">
      <c r="A799" s="85"/>
      <c r="B799" s="85"/>
      <c r="C799" s="65"/>
      <c r="D799" s="65"/>
      <c r="E799" s="85"/>
      <c r="F799" s="65"/>
      <c r="G799" s="117"/>
      <c r="H799" s="65"/>
      <c r="I799" s="85"/>
      <c r="J799" s="85"/>
      <c r="K799" s="85"/>
    </row>
    <row r="800" ht="15.75" customHeight="1">
      <c r="A800" s="85"/>
      <c r="B800" s="85"/>
      <c r="C800" s="65"/>
      <c r="D800" s="65"/>
      <c r="E800" s="85"/>
      <c r="F800" s="65"/>
      <c r="G800" s="117"/>
      <c r="H800" s="65"/>
      <c r="I800" s="85"/>
      <c r="J800" s="85"/>
      <c r="K800" s="85"/>
    </row>
    <row r="801" ht="15.75" customHeight="1">
      <c r="A801" s="85"/>
      <c r="B801" s="85"/>
      <c r="C801" s="65"/>
      <c r="D801" s="65"/>
      <c r="E801" s="85"/>
      <c r="F801" s="65"/>
      <c r="G801" s="117"/>
      <c r="H801" s="65"/>
      <c r="I801" s="85"/>
      <c r="J801" s="85"/>
      <c r="K801" s="85"/>
    </row>
    <row r="802" ht="15.75" customHeight="1">
      <c r="A802" s="85"/>
      <c r="B802" s="85"/>
      <c r="C802" s="65"/>
      <c r="D802" s="65"/>
      <c r="E802" s="85"/>
      <c r="F802" s="65"/>
      <c r="G802" s="117"/>
      <c r="H802" s="65"/>
      <c r="I802" s="85"/>
      <c r="J802" s="85"/>
      <c r="K802" s="85"/>
    </row>
    <row r="803" ht="15.75" customHeight="1">
      <c r="A803" s="85"/>
      <c r="B803" s="85"/>
      <c r="C803" s="65"/>
      <c r="D803" s="65"/>
      <c r="E803" s="85"/>
      <c r="F803" s="65"/>
      <c r="G803" s="117"/>
      <c r="H803" s="65"/>
      <c r="I803" s="85"/>
      <c r="J803" s="85"/>
      <c r="K803" s="85"/>
    </row>
    <row r="804" ht="15.75" customHeight="1">
      <c r="A804" s="85"/>
      <c r="B804" s="85"/>
      <c r="C804" s="65"/>
      <c r="D804" s="65"/>
      <c r="E804" s="85"/>
      <c r="F804" s="65"/>
      <c r="G804" s="117"/>
      <c r="H804" s="65"/>
      <c r="I804" s="85"/>
      <c r="J804" s="85"/>
      <c r="K804" s="85"/>
    </row>
    <row r="805" ht="15.75" customHeight="1">
      <c r="A805" s="85"/>
      <c r="B805" s="85"/>
      <c r="C805" s="65"/>
      <c r="D805" s="65"/>
      <c r="E805" s="85"/>
      <c r="F805" s="65"/>
      <c r="G805" s="117"/>
      <c r="H805" s="65"/>
      <c r="I805" s="85"/>
      <c r="J805" s="85"/>
      <c r="K805" s="85"/>
    </row>
    <row r="806" ht="15.75" customHeight="1">
      <c r="A806" s="85"/>
      <c r="B806" s="85"/>
      <c r="C806" s="65"/>
      <c r="D806" s="65"/>
      <c r="E806" s="85"/>
      <c r="F806" s="65"/>
      <c r="G806" s="117"/>
      <c r="H806" s="65"/>
      <c r="I806" s="85"/>
      <c r="J806" s="85"/>
      <c r="K806" s="85"/>
    </row>
    <row r="807" ht="15.75" customHeight="1">
      <c r="A807" s="85"/>
      <c r="B807" s="85"/>
      <c r="C807" s="65"/>
      <c r="D807" s="65"/>
      <c r="E807" s="85"/>
      <c r="F807" s="65"/>
      <c r="G807" s="117"/>
      <c r="H807" s="65"/>
      <c r="I807" s="85"/>
      <c r="J807" s="85"/>
      <c r="K807" s="85"/>
    </row>
    <row r="808" ht="15.75" customHeight="1">
      <c r="A808" s="85"/>
      <c r="B808" s="85"/>
      <c r="C808" s="65"/>
      <c r="D808" s="65"/>
      <c r="E808" s="85"/>
      <c r="F808" s="65"/>
      <c r="G808" s="117"/>
      <c r="H808" s="65"/>
      <c r="I808" s="85"/>
      <c r="J808" s="85"/>
      <c r="K808" s="85"/>
    </row>
    <row r="809" ht="15.75" customHeight="1">
      <c r="A809" s="85"/>
      <c r="B809" s="85"/>
      <c r="C809" s="65"/>
      <c r="D809" s="65"/>
      <c r="E809" s="85"/>
      <c r="F809" s="65"/>
      <c r="G809" s="117"/>
      <c r="H809" s="65"/>
      <c r="I809" s="85"/>
      <c r="J809" s="85"/>
      <c r="K809" s="85"/>
    </row>
    <row r="810" ht="15.75" customHeight="1">
      <c r="A810" s="85"/>
      <c r="B810" s="85"/>
      <c r="C810" s="65"/>
      <c r="D810" s="65"/>
      <c r="E810" s="85"/>
      <c r="F810" s="65"/>
      <c r="G810" s="117"/>
      <c r="H810" s="65"/>
      <c r="I810" s="85"/>
      <c r="J810" s="85"/>
      <c r="K810" s="85"/>
    </row>
    <row r="811" ht="15.75" customHeight="1">
      <c r="A811" s="85"/>
      <c r="B811" s="85"/>
      <c r="C811" s="65"/>
      <c r="D811" s="65"/>
      <c r="E811" s="85"/>
      <c r="F811" s="65"/>
      <c r="G811" s="117"/>
      <c r="H811" s="65"/>
      <c r="I811" s="85"/>
      <c r="J811" s="85"/>
      <c r="K811" s="85"/>
    </row>
    <row r="812" ht="15.75" customHeight="1">
      <c r="A812" s="85"/>
      <c r="B812" s="85"/>
      <c r="C812" s="65"/>
      <c r="D812" s="65"/>
      <c r="E812" s="85"/>
      <c r="F812" s="65"/>
      <c r="G812" s="117"/>
      <c r="H812" s="65"/>
      <c r="I812" s="85"/>
      <c r="J812" s="85"/>
      <c r="K812" s="85"/>
    </row>
    <row r="813" ht="15.75" customHeight="1">
      <c r="A813" s="85"/>
      <c r="B813" s="85"/>
      <c r="C813" s="65"/>
      <c r="D813" s="65"/>
      <c r="E813" s="85"/>
      <c r="F813" s="65"/>
      <c r="G813" s="117"/>
      <c r="H813" s="65"/>
      <c r="I813" s="85"/>
      <c r="J813" s="85"/>
      <c r="K813" s="85"/>
    </row>
    <row r="814" ht="15.75" customHeight="1">
      <c r="A814" s="85"/>
      <c r="B814" s="85"/>
      <c r="C814" s="65"/>
      <c r="D814" s="65"/>
      <c r="E814" s="85"/>
      <c r="F814" s="65"/>
      <c r="G814" s="117"/>
      <c r="H814" s="65"/>
      <c r="I814" s="85"/>
      <c r="J814" s="85"/>
      <c r="K814" s="85"/>
    </row>
    <row r="815" ht="15.75" customHeight="1">
      <c r="A815" s="85"/>
      <c r="B815" s="85"/>
      <c r="C815" s="65"/>
      <c r="D815" s="65"/>
      <c r="E815" s="85"/>
      <c r="F815" s="65"/>
      <c r="G815" s="117"/>
      <c r="H815" s="65"/>
      <c r="I815" s="85"/>
      <c r="J815" s="85"/>
      <c r="K815" s="85"/>
    </row>
    <row r="816" ht="15.75" customHeight="1">
      <c r="A816" s="85"/>
      <c r="B816" s="85"/>
      <c r="C816" s="65"/>
      <c r="D816" s="65"/>
      <c r="E816" s="85"/>
      <c r="F816" s="65"/>
      <c r="G816" s="117"/>
      <c r="H816" s="65"/>
      <c r="I816" s="85"/>
      <c r="J816" s="85"/>
      <c r="K816" s="85"/>
    </row>
    <row r="817" ht="15.75" customHeight="1">
      <c r="A817" s="85"/>
      <c r="B817" s="85"/>
      <c r="C817" s="65"/>
      <c r="D817" s="65"/>
      <c r="E817" s="85"/>
      <c r="F817" s="65"/>
      <c r="G817" s="117"/>
      <c r="H817" s="65"/>
      <c r="I817" s="85"/>
      <c r="J817" s="85"/>
      <c r="K817" s="85"/>
    </row>
    <row r="818" ht="15.75" customHeight="1">
      <c r="A818" s="85"/>
      <c r="B818" s="85"/>
      <c r="C818" s="65"/>
      <c r="D818" s="65"/>
      <c r="E818" s="85"/>
      <c r="F818" s="65"/>
      <c r="G818" s="117"/>
      <c r="H818" s="65"/>
      <c r="I818" s="85"/>
      <c r="J818" s="85"/>
      <c r="K818" s="85"/>
    </row>
    <row r="819" ht="15.75" customHeight="1">
      <c r="A819" s="85"/>
      <c r="B819" s="85"/>
      <c r="C819" s="65"/>
      <c r="D819" s="65"/>
      <c r="E819" s="85"/>
      <c r="F819" s="65"/>
      <c r="G819" s="117"/>
      <c r="H819" s="65"/>
      <c r="I819" s="85"/>
      <c r="J819" s="85"/>
      <c r="K819" s="85"/>
    </row>
    <row r="820" ht="15.75" customHeight="1">
      <c r="A820" s="85"/>
      <c r="B820" s="85"/>
      <c r="C820" s="65"/>
      <c r="D820" s="65"/>
      <c r="E820" s="85"/>
      <c r="F820" s="65"/>
      <c r="G820" s="117"/>
      <c r="H820" s="65"/>
      <c r="I820" s="85"/>
      <c r="J820" s="85"/>
      <c r="K820" s="85"/>
    </row>
    <row r="821" ht="15.75" customHeight="1">
      <c r="A821" s="85"/>
      <c r="B821" s="85"/>
      <c r="C821" s="65"/>
      <c r="D821" s="65"/>
      <c r="E821" s="85"/>
      <c r="F821" s="65"/>
      <c r="G821" s="117"/>
      <c r="H821" s="65"/>
      <c r="I821" s="85"/>
      <c r="J821" s="85"/>
      <c r="K821" s="85"/>
    </row>
    <row r="822" ht="15.75" customHeight="1">
      <c r="A822" s="85"/>
      <c r="B822" s="85"/>
      <c r="C822" s="65"/>
      <c r="D822" s="65"/>
      <c r="E822" s="85"/>
      <c r="F822" s="65"/>
      <c r="G822" s="117"/>
      <c r="H822" s="65"/>
      <c r="I822" s="85"/>
      <c r="J822" s="85"/>
      <c r="K822" s="85"/>
    </row>
    <row r="823" ht="15.75" customHeight="1">
      <c r="A823" s="85"/>
      <c r="B823" s="85"/>
      <c r="C823" s="65"/>
      <c r="D823" s="65"/>
      <c r="E823" s="85"/>
      <c r="F823" s="65"/>
      <c r="G823" s="117"/>
      <c r="H823" s="65"/>
      <c r="I823" s="85"/>
      <c r="J823" s="85"/>
      <c r="K823" s="85"/>
    </row>
    <row r="824" ht="15.75" customHeight="1">
      <c r="A824" s="85"/>
      <c r="B824" s="85"/>
      <c r="C824" s="65"/>
      <c r="D824" s="65"/>
      <c r="E824" s="85"/>
      <c r="F824" s="65"/>
      <c r="G824" s="117"/>
      <c r="H824" s="65"/>
      <c r="I824" s="85"/>
      <c r="J824" s="85"/>
      <c r="K824" s="85"/>
    </row>
    <row r="825" ht="15.75" customHeight="1">
      <c r="A825" s="85"/>
      <c r="B825" s="85"/>
      <c r="C825" s="65"/>
      <c r="D825" s="65"/>
      <c r="E825" s="85"/>
      <c r="F825" s="65"/>
      <c r="G825" s="117"/>
      <c r="H825" s="65"/>
      <c r="I825" s="85"/>
      <c r="J825" s="85"/>
      <c r="K825" s="85"/>
    </row>
    <row r="826" ht="15.75" customHeight="1">
      <c r="A826" s="85"/>
      <c r="B826" s="85"/>
      <c r="C826" s="65"/>
      <c r="D826" s="65"/>
      <c r="E826" s="85"/>
      <c r="F826" s="65"/>
      <c r="G826" s="117"/>
      <c r="H826" s="65"/>
      <c r="I826" s="85"/>
      <c r="J826" s="85"/>
      <c r="K826" s="85"/>
    </row>
    <row r="827" ht="15.75" customHeight="1">
      <c r="A827" s="85"/>
      <c r="B827" s="85"/>
      <c r="C827" s="65"/>
      <c r="D827" s="65"/>
      <c r="E827" s="85"/>
      <c r="F827" s="65"/>
      <c r="G827" s="117"/>
      <c r="H827" s="65"/>
      <c r="I827" s="85"/>
      <c r="J827" s="85"/>
      <c r="K827" s="85"/>
    </row>
    <row r="828" ht="15.75" customHeight="1">
      <c r="A828" s="85"/>
      <c r="B828" s="85"/>
      <c r="C828" s="65"/>
      <c r="D828" s="65"/>
      <c r="E828" s="85"/>
      <c r="F828" s="65"/>
      <c r="G828" s="117"/>
      <c r="H828" s="65"/>
      <c r="I828" s="85"/>
      <c r="J828" s="85"/>
      <c r="K828" s="85"/>
    </row>
    <row r="829" ht="15.75" customHeight="1">
      <c r="A829" s="85"/>
      <c r="B829" s="85"/>
      <c r="C829" s="65"/>
      <c r="D829" s="65"/>
      <c r="E829" s="85"/>
      <c r="F829" s="65"/>
      <c r="G829" s="117"/>
      <c r="H829" s="65"/>
      <c r="I829" s="85"/>
      <c r="J829" s="85"/>
      <c r="K829" s="85"/>
    </row>
    <row r="830" ht="15.75" customHeight="1">
      <c r="A830" s="85"/>
      <c r="B830" s="85"/>
      <c r="C830" s="65"/>
      <c r="D830" s="65"/>
      <c r="E830" s="85"/>
      <c r="F830" s="65"/>
      <c r="G830" s="117"/>
      <c r="H830" s="65"/>
      <c r="I830" s="85"/>
      <c r="J830" s="85"/>
      <c r="K830" s="85"/>
    </row>
    <row r="831" ht="15.75" customHeight="1">
      <c r="A831" s="85"/>
      <c r="B831" s="85"/>
      <c r="C831" s="65"/>
      <c r="D831" s="65"/>
      <c r="E831" s="85"/>
      <c r="F831" s="65"/>
      <c r="G831" s="117"/>
      <c r="H831" s="65"/>
      <c r="I831" s="85"/>
      <c r="J831" s="85"/>
      <c r="K831" s="85"/>
    </row>
    <row r="832" ht="15.75" customHeight="1">
      <c r="A832" s="85"/>
      <c r="B832" s="85"/>
      <c r="C832" s="65"/>
      <c r="D832" s="65"/>
      <c r="E832" s="85"/>
      <c r="F832" s="65"/>
      <c r="G832" s="117"/>
      <c r="H832" s="65"/>
      <c r="I832" s="85"/>
      <c r="J832" s="85"/>
      <c r="K832" s="85"/>
    </row>
    <row r="833" ht="15.75" customHeight="1">
      <c r="A833" s="85"/>
      <c r="B833" s="85"/>
      <c r="C833" s="65"/>
      <c r="D833" s="65"/>
      <c r="E833" s="85"/>
      <c r="F833" s="65"/>
      <c r="G833" s="117"/>
      <c r="H833" s="65"/>
      <c r="I833" s="85"/>
      <c r="J833" s="85"/>
      <c r="K833" s="85"/>
    </row>
    <row r="834" ht="15.75" customHeight="1">
      <c r="A834" s="85"/>
      <c r="B834" s="85"/>
      <c r="C834" s="65"/>
      <c r="D834" s="65"/>
      <c r="E834" s="85"/>
      <c r="F834" s="65"/>
      <c r="G834" s="117"/>
      <c r="H834" s="65"/>
      <c r="I834" s="85"/>
      <c r="J834" s="85"/>
      <c r="K834" s="85"/>
    </row>
    <row r="835" ht="15.75" customHeight="1">
      <c r="A835" s="85"/>
      <c r="B835" s="85"/>
      <c r="C835" s="65"/>
      <c r="D835" s="65"/>
      <c r="E835" s="85"/>
      <c r="F835" s="65"/>
      <c r="G835" s="117"/>
      <c r="H835" s="65"/>
      <c r="I835" s="85"/>
      <c r="J835" s="85"/>
      <c r="K835" s="85"/>
    </row>
    <row r="836" ht="15.75" customHeight="1">
      <c r="A836" s="85"/>
      <c r="B836" s="85"/>
      <c r="C836" s="65"/>
      <c r="D836" s="65"/>
      <c r="E836" s="85"/>
      <c r="F836" s="65"/>
      <c r="G836" s="117"/>
      <c r="H836" s="65"/>
      <c r="I836" s="85"/>
      <c r="J836" s="85"/>
      <c r="K836" s="85"/>
    </row>
    <row r="837" ht="15.75" customHeight="1">
      <c r="A837" s="85"/>
      <c r="B837" s="85"/>
      <c r="C837" s="65"/>
      <c r="D837" s="65"/>
      <c r="E837" s="85"/>
      <c r="F837" s="65"/>
      <c r="G837" s="117"/>
      <c r="H837" s="65"/>
      <c r="I837" s="85"/>
      <c r="J837" s="85"/>
      <c r="K837" s="85"/>
    </row>
    <row r="838" ht="15.75" customHeight="1">
      <c r="A838" s="85"/>
      <c r="B838" s="85"/>
      <c r="C838" s="65"/>
      <c r="D838" s="65"/>
      <c r="E838" s="85"/>
      <c r="F838" s="65"/>
      <c r="G838" s="117"/>
      <c r="H838" s="65"/>
      <c r="I838" s="85"/>
      <c r="J838" s="85"/>
      <c r="K838" s="85"/>
    </row>
    <row r="839" ht="15.75" customHeight="1">
      <c r="A839" s="85"/>
      <c r="B839" s="85"/>
      <c r="C839" s="65"/>
      <c r="D839" s="65"/>
      <c r="E839" s="85"/>
      <c r="F839" s="65"/>
      <c r="G839" s="117"/>
      <c r="H839" s="65"/>
      <c r="I839" s="85"/>
      <c r="J839" s="85"/>
      <c r="K839" s="85"/>
    </row>
    <row r="840" ht="15.75" customHeight="1">
      <c r="A840" s="85"/>
      <c r="B840" s="85"/>
      <c r="C840" s="65"/>
      <c r="D840" s="65"/>
      <c r="E840" s="85"/>
      <c r="F840" s="65"/>
      <c r="G840" s="117"/>
      <c r="H840" s="65"/>
      <c r="I840" s="85"/>
      <c r="J840" s="85"/>
      <c r="K840" s="85"/>
    </row>
    <row r="841" ht="15.75" customHeight="1">
      <c r="A841" s="85"/>
      <c r="B841" s="85"/>
      <c r="C841" s="65"/>
      <c r="D841" s="65"/>
      <c r="E841" s="85"/>
      <c r="F841" s="65"/>
      <c r="G841" s="117"/>
      <c r="H841" s="65"/>
      <c r="I841" s="85"/>
      <c r="J841" s="85"/>
      <c r="K841" s="85"/>
    </row>
    <row r="842" ht="15.75" customHeight="1">
      <c r="A842" s="85"/>
      <c r="B842" s="85"/>
      <c r="C842" s="65"/>
      <c r="D842" s="65"/>
      <c r="E842" s="85"/>
      <c r="F842" s="65"/>
      <c r="G842" s="117"/>
      <c r="H842" s="65"/>
      <c r="I842" s="85"/>
      <c r="J842" s="85"/>
      <c r="K842" s="85"/>
    </row>
    <row r="843" ht="15.75" customHeight="1">
      <c r="A843" s="85"/>
      <c r="B843" s="85"/>
      <c r="C843" s="65"/>
      <c r="D843" s="65"/>
      <c r="E843" s="85"/>
      <c r="F843" s="65"/>
      <c r="G843" s="117"/>
      <c r="H843" s="65"/>
      <c r="I843" s="85"/>
      <c r="J843" s="85"/>
      <c r="K843" s="85"/>
    </row>
    <row r="844" ht="15.75" customHeight="1">
      <c r="A844" s="85"/>
      <c r="B844" s="85"/>
      <c r="C844" s="65"/>
      <c r="D844" s="65"/>
      <c r="E844" s="85"/>
      <c r="F844" s="65"/>
      <c r="G844" s="117"/>
      <c r="H844" s="65"/>
      <c r="I844" s="85"/>
      <c r="J844" s="85"/>
      <c r="K844" s="85"/>
    </row>
    <row r="845" ht="15.75" customHeight="1">
      <c r="A845" s="85"/>
      <c r="B845" s="85"/>
      <c r="C845" s="65"/>
      <c r="D845" s="65"/>
      <c r="E845" s="85"/>
      <c r="F845" s="65"/>
      <c r="G845" s="117"/>
      <c r="H845" s="65"/>
      <c r="I845" s="85"/>
      <c r="J845" s="85"/>
      <c r="K845" s="85"/>
    </row>
    <row r="846" ht="15.75" customHeight="1">
      <c r="A846" s="85"/>
      <c r="B846" s="85"/>
      <c r="C846" s="65"/>
      <c r="D846" s="65"/>
      <c r="E846" s="85"/>
      <c r="F846" s="65"/>
      <c r="G846" s="117"/>
      <c r="H846" s="65"/>
      <c r="I846" s="85"/>
      <c r="J846" s="85"/>
      <c r="K846" s="85"/>
    </row>
    <row r="847" ht="15.75" customHeight="1">
      <c r="A847" s="85"/>
      <c r="B847" s="85"/>
      <c r="C847" s="65"/>
      <c r="D847" s="65"/>
      <c r="E847" s="85"/>
      <c r="F847" s="65"/>
      <c r="G847" s="117"/>
      <c r="H847" s="65"/>
      <c r="I847" s="85"/>
      <c r="J847" s="85"/>
      <c r="K847" s="85"/>
    </row>
    <row r="848" ht="15.75" customHeight="1">
      <c r="A848" s="85"/>
      <c r="B848" s="85"/>
      <c r="C848" s="65"/>
      <c r="D848" s="65"/>
      <c r="E848" s="85"/>
      <c r="F848" s="65"/>
      <c r="G848" s="117"/>
      <c r="H848" s="65"/>
      <c r="I848" s="85"/>
      <c r="J848" s="85"/>
      <c r="K848" s="85"/>
    </row>
    <row r="849" ht="15.75" customHeight="1">
      <c r="A849" s="85"/>
      <c r="B849" s="85"/>
      <c r="C849" s="65"/>
      <c r="D849" s="65"/>
      <c r="E849" s="85"/>
      <c r="F849" s="65"/>
      <c r="G849" s="117"/>
      <c r="H849" s="65"/>
      <c r="I849" s="85"/>
      <c r="J849" s="85"/>
      <c r="K849" s="85"/>
    </row>
    <row r="850" ht="15.75" customHeight="1">
      <c r="A850" s="85"/>
      <c r="B850" s="85"/>
      <c r="C850" s="65"/>
      <c r="D850" s="65"/>
      <c r="E850" s="85"/>
      <c r="F850" s="65"/>
      <c r="G850" s="117"/>
      <c r="H850" s="65"/>
      <c r="I850" s="85"/>
      <c r="J850" s="85"/>
      <c r="K850" s="85"/>
    </row>
    <row r="851" ht="15.75" customHeight="1">
      <c r="A851" s="85"/>
      <c r="B851" s="85"/>
      <c r="C851" s="65"/>
      <c r="D851" s="65"/>
      <c r="E851" s="85"/>
      <c r="F851" s="65"/>
      <c r="G851" s="117"/>
      <c r="H851" s="65"/>
      <c r="I851" s="85"/>
      <c r="J851" s="85"/>
      <c r="K851" s="85"/>
    </row>
    <row r="852" ht="15.75" customHeight="1">
      <c r="A852" s="85"/>
      <c r="B852" s="85"/>
      <c r="C852" s="65"/>
      <c r="D852" s="65"/>
      <c r="E852" s="85"/>
      <c r="F852" s="65"/>
      <c r="G852" s="117"/>
      <c r="H852" s="65"/>
      <c r="I852" s="85"/>
      <c r="J852" s="85"/>
      <c r="K852" s="85"/>
    </row>
    <row r="853" ht="15.75" customHeight="1">
      <c r="A853" s="85"/>
      <c r="B853" s="85"/>
      <c r="C853" s="65"/>
      <c r="D853" s="65"/>
      <c r="E853" s="85"/>
      <c r="F853" s="65"/>
      <c r="G853" s="117"/>
      <c r="H853" s="65"/>
      <c r="I853" s="85"/>
      <c r="J853" s="85"/>
      <c r="K853" s="85"/>
    </row>
    <row r="854" ht="15.75" customHeight="1">
      <c r="A854" s="85"/>
      <c r="B854" s="85"/>
      <c r="C854" s="65"/>
      <c r="D854" s="65"/>
      <c r="E854" s="85"/>
      <c r="F854" s="65"/>
      <c r="G854" s="117"/>
      <c r="H854" s="65"/>
      <c r="I854" s="85"/>
      <c r="J854" s="85"/>
      <c r="K854" s="85"/>
    </row>
    <row r="855" ht="15.75" customHeight="1">
      <c r="A855" s="85"/>
      <c r="B855" s="85"/>
      <c r="C855" s="65"/>
      <c r="D855" s="65"/>
      <c r="E855" s="85"/>
      <c r="F855" s="65"/>
      <c r="G855" s="117"/>
      <c r="H855" s="65"/>
      <c r="I855" s="85"/>
      <c r="J855" s="85"/>
      <c r="K855" s="85"/>
    </row>
    <row r="856" ht="15.75" customHeight="1">
      <c r="A856" s="85"/>
      <c r="B856" s="85"/>
      <c r="C856" s="65"/>
      <c r="D856" s="65"/>
      <c r="E856" s="85"/>
      <c r="F856" s="65"/>
      <c r="G856" s="117"/>
      <c r="H856" s="65"/>
      <c r="I856" s="85"/>
      <c r="J856" s="85"/>
      <c r="K856" s="85"/>
    </row>
    <row r="857" ht="15.75" customHeight="1">
      <c r="A857" s="85"/>
      <c r="B857" s="85"/>
      <c r="C857" s="65"/>
      <c r="D857" s="65"/>
      <c r="E857" s="85"/>
      <c r="F857" s="65"/>
      <c r="G857" s="117"/>
      <c r="H857" s="65"/>
      <c r="I857" s="85"/>
      <c r="J857" s="85"/>
      <c r="K857" s="85"/>
    </row>
    <row r="858" ht="15.75" customHeight="1">
      <c r="A858" s="85"/>
      <c r="B858" s="85"/>
      <c r="C858" s="65"/>
      <c r="D858" s="65"/>
      <c r="E858" s="85"/>
      <c r="F858" s="65"/>
      <c r="G858" s="117"/>
      <c r="H858" s="65"/>
      <c r="I858" s="85"/>
      <c r="J858" s="85"/>
      <c r="K858" s="85"/>
    </row>
    <row r="859" ht="15.75" customHeight="1">
      <c r="A859" s="85"/>
      <c r="B859" s="85"/>
      <c r="C859" s="65"/>
      <c r="D859" s="65"/>
      <c r="E859" s="85"/>
      <c r="F859" s="65"/>
      <c r="G859" s="117"/>
      <c r="H859" s="65"/>
      <c r="I859" s="85"/>
      <c r="J859" s="85"/>
      <c r="K859" s="85"/>
    </row>
    <row r="860" ht="15.75" customHeight="1">
      <c r="A860" s="85"/>
      <c r="B860" s="85"/>
      <c r="C860" s="65"/>
      <c r="D860" s="65"/>
      <c r="E860" s="85"/>
      <c r="F860" s="65"/>
      <c r="G860" s="117"/>
      <c r="H860" s="65"/>
      <c r="I860" s="85"/>
      <c r="J860" s="85"/>
      <c r="K860" s="85"/>
    </row>
    <row r="861" ht="15.75" customHeight="1">
      <c r="A861" s="85"/>
      <c r="B861" s="85"/>
      <c r="C861" s="65"/>
      <c r="D861" s="65"/>
      <c r="E861" s="85"/>
      <c r="F861" s="65"/>
      <c r="G861" s="117"/>
      <c r="H861" s="65"/>
      <c r="I861" s="85"/>
      <c r="J861" s="85"/>
      <c r="K861" s="85"/>
    </row>
    <row r="862" ht="15.75" customHeight="1">
      <c r="A862" s="85"/>
      <c r="B862" s="85"/>
      <c r="C862" s="65"/>
      <c r="D862" s="65"/>
      <c r="E862" s="85"/>
      <c r="F862" s="65"/>
      <c r="G862" s="117"/>
      <c r="H862" s="65"/>
      <c r="I862" s="85"/>
      <c r="J862" s="85"/>
      <c r="K862" s="85"/>
    </row>
    <row r="863" ht="15.75" customHeight="1">
      <c r="A863" s="85"/>
      <c r="B863" s="85"/>
      <c r="C863" s="65"/>
      <c r="D863" s="65"/>
      <c r="E863" s="85"/>
      <c r="F863" s="65"/>
      <c r="G863" s="117"/>
      <c r="H863" s="65"/>
      <c r="I863" s="85"/>
      <c r="J863" s="85"/>
      <c r="K863" s="85"/>
    </row>
    <row r="864" ht="15.75" customHeight="1">
      <c r="A864" s="85"/>
      <c r="B864" s="85"/>
      <c r="C864" s="65"/>
      <c r="D864" s="65"/>
      <c r="E864" s="85"/>
      <c r="F864" s="65"/>
      <c r="G864" s="117"/>
      <c r="H864" s="65"/>
      <c r="I864" s="85"/>
      <c r="J864" s="85"/>
      <c r="K864" s="85"/>
    </row>
    <row r="865" ht="15.75" customHeight="1">
      <c r="A865" s="85"/>
      <c r="B865" s="85"/>
      <c r="C865" s="65"/>
      <c r="D865" s="65"/>
      <c r="E865" s="85"/>
      <c r="F865" s="65"/>
      <c r="G865" s="117"/>
      <c r="H865" s="65"/>
      <c r="I865" s="85"/>
      <c r="J865" s="85"/>
      <c r="K865" s="85"/>
    </row>
    <row r="866" ht="15.75" customHeight="1">
      <c r="A866" s="85"/>
      <c r="B866" s="85"/>
      <c r="C866" s="65"/>
      <c r="D866" s="65"/>
      <c r="E866" s="85"/>
      <c r="F866" s="65"/>
      <c r="G866" s="117"/>
      <c r="H866" s="65"/>
      <c r="I866" s="85"/>
      <c r="J866" s="85"/>
      <c r="K866" s="85"/>
    </row>
    <row r="867" ht="15.75" customHeight="1">
      <c r="A867" s="85"/>
      <c r="B867" s="85"/>
      <c r="C867" s="65"/>
      <c r="D867" s="65"/>
      <c r="E867" s="85"/>
      <c r="F867" s="65"/>
      <c r="G867" s="117"/>
      <c r="H867" s="65"/>
      <c r="I867" s="85"/>
      <c r="J867" s="85"/>
      <c r="K867" s="85"/>
    </row>
    <row r="868" ht="15.75" customHeight="1">
      <c r="A868" s="85"/>
      <c r="B868" s="85"/>
      <c r="C868" s="65"/>
      <c r="D868" s="65"/>
      <c r="E868" s="85"/>
      <c r="F868" s="65"/>
      <c r="G868" s="117"/>
      <c r="H868" s="65"/>
      <c r="I868" s="85"/>
      <c r="J868" s="85"/>
      <c r="K868" s="85"/>
    </row>
    <row r="869" ht="15.75" customHeight="1">
      <c r="A869" s="85"/>
      <c r="B869" s="85"/>
      <c r="C869" s="65"/>
      <c r="D869" s="65"/>
      <c r="E869" s="85"/>
      <c r="F869" s="65"/>
      <c r="G869" s="117"/>
      <c r="H869" s="65"/>
      <c r="I869" s="85"/>
      <c r="J869" s="85"/>
      <c r="K869" s="85"/>
    </row>
    <row r="870" ht="15.75" customHeight="1">
      <c r="A870" s="85"/>
      <c r="B870" s="85"/>
      <c r="C870" s="65"/>
      <c r="D870" s="65"/>
      <c r="E870" s="85"/>
      <c r="F870" s="65"/>
      <c r="G870" s="117"/>
      <c r="H870" s="65"/>
      <c r="I870" s="85"/>
      <c r="J870" s="85"/>
      <c r="K870" s="85"/>
    </row>
    <row r="871" ht="15.75" customHeight="1">
      <c r="A871" s="85"/>
      <c r="B871" s="85"/>
      <c r="C871" s="65"/>
      <c r="D871" s="65"/>
      <c r="E871" s="85"/>
      <c r="F871" s="65"/>
      <c r="G871" s="117"/>
      <c r="H871" s="65"/>
      <c r="I871" s="85"/>
      <c r="J871" s="85"/>
      <c r="K871" s="85"/>
    </row>
    <row r="872" ht="15.75" customHeight="1">
      <c r="A872" s="85"/>
      <c r="B872" s="85"/>
      <c r="C872" s="65"/>
      <c r="D872" s="65"/>
      <c r="E872" s="85"/>
      <c r="F872" s="65"/>
      <c r="G872" s="117"/>
      <c r="H872" s="65"/>
      <c r="I872" s="85"/>
      <c r="J872" s="85"/>
      <c r="K872" s="85"/>
    </row>
    <row r="873" ht="15.75" customHeight="1">
      <c r="A873" s="85"/>
      <c r="B873" s="85"/>
      <c r="C873" s="65"/>
      <c r="D873" s="65"/>
      <c r="E873" s="85"/>
      <c r="F873" s="65"/>
      <c r="G873" s="117"/>
      <c r="H873" s="65"/>
      <c r="I873" s="85"/>
      <c r="J873" s="85"/>
      <c r="K873" s="85"/>
    </row>
    <row r="874" ht="15.75" customHeight="1">
      <c r="A874" s="85"/>
      <c r="B874" s="85"/>
      <c r="C874" s="65"/>
      <c r="D874" s="65"/>
      <c r="E874" s="85"/>
      <c r="F874" s="65"/>
      <c r="G874" s="117"/>
      <c r="H874" s="65"/>
      <c r="I874" s="85"/>
      <c r="J874" s="85"/>
      <c r="K874" s="85"/>
    </row>
    <row r="875" ht="15.75" customHeight="1">
      <c r="A875" s="85"/>
      <c r="B875" s="85"/>
      <c r="C875" s="65"/>
      <c r="D875" s="65"/>
      <c r="E875" s="85"/>
      <c r="F875" s="65"/>
      <c r="G875" s="117"/>
      <c r="H875" s="65"/>
      <c r="I875" s="85"/>
      <c r="J875" s="85"/>
      <c r="K875" s="85"/>
    </row>
    <row r="876" ht="15.75" customHeight="1">
      <c r="A876" s="85"/>
      <c r="B876" s="85"/>
      <c r="C876" s="65"/>
      <c r="D876" s="65"/>
      <c r="E876" s="85"/>
      <c r="F876" s="65"/>
      <c r="G876" s="117"/>
      <c r="H876" s="65"/>
      <c r="I876" s="85"/>
      <c r="J876" s="85"/>
      <c r="K876" s="85"/>
    </row>
    <row r="877" ht="15.75" customHeight="1">
      <c r="A877" s="85"/>
      <c r="B877" s="85"/>
      <c r="C877" s="65"/>
      <c r="D877" s="65"/>
      <c r="E877" s="85"/>
      <c r="F877" s="65"/>
      <c r="G877" s="117"/>
      <c r="H877" s="65"/>
      <c r="I877" s="85"/>
      <c r="J877" s="85"/>
      <c r="K877" s="85"/>
    </row>
    <row r="878" ht="15.75" customHeight="1">
      <c r="A878" s="85"/>
      <c r="B878" s="85"/>
      <c r="C878" s="65"/>
      <c r="D878" s="65"/>
      <c r="E878" s="85"/>
      <c r="F878" s="65"/>
      <c r="G878" s="117"/>
      <c r="H878" s="65"/>
      <c r="I878" s="85"/>
      <c r="J878" s="85"/>
      <c r="K878" s="85"/>
    </row>
    <row r="879" ht="15.75" customHeight="1">
      <c r="A879" s="85"/>
      <c r="B879" s="85"/>
      <c r="C879" s="65"/>
      <c r="D879" s="65"/>
      <c r="E879" s="85"/>
      <c r="F879" s="65"/>
      <c r="G879" s="117"/>
      <c r="H879" s="65"/>
      <c r="I879" s="85"/>
      <c r="J879" s="85"/>
      <c r="K879" s="85"/>
    </row>
    <row r="880" ht="15.75" customHeight="1">
      <c r="A880" s="85"/>
      <c r="B880" s="85"/>
      <c r="C880" s="65"/>
      <c r="D880" s="65"/>
      <c r="E880" s="85"/>
      <c r="F880" s="65"/>
      <c r="G880" s="117"/>
      <c r="H880" s="65"/>
      <c r="I880" s="85"/>
      <c r="J880" s="85"/>
      <c r="K880" s="85"/>
    </row>
    <row r="881" ht="15.75" customHeight="1">
      <c r="A881" s="85"/>
      <c r="B881" s="85"/>
      <c r="C881" s="65"/>
      <c r="D881" s="65"/>
      <c r="E881" s="85"/>
      <c r="F881" s="65"/>
      <c r="G881" s="117"/>
      <c r="H881" s="65"/>
      <c r="I881" s="85"/>
      <c r="J881" s="85"/>
      <c r="K881" s="85"/>
    </row>
    <row r="882" ht="15.75" customHeight="1">
      <c r="A882" s="85"/>
      <c r="B882" s="85"/>
      <c r="C882" s="65"/>
      <c r="D882" s="65"/>
      <c r="E882" s="85"/>
      <c r="F882" s="65"/>
      <c r="G882" s="117"/>
      <c r="H882" s="65"/>
      <c r="I882" s="85"/>
      <c r="J882" s="85"/>
      <c r="K882" s="85"/>
    </row>
    <row r="883" ht="15.75" customHeight="1">
      <c r="A883" s="85"/>
      <c r="B883" s="85"/>
      <c r="C883" s="65"/>
      <c r="D883" s="65"/>
      <c r="E883" s="85"/>
      <c r="F883" s="65"/>
      <c r="G883" s="117"/>
      <c r="H883" s="65"/>
      <c r="I883" s="85"/>
      <c r="J883" s="85"/>
      <c r="K883" s="85"/>
    </row>
    <row r="884" ht="15.75" customHeight="1">
      <c r="A884" s="85"/>
      <c r="B884" s="85"/>
      <c r="C884" s="65"/>
      <c r="D884" s="65"/>
      <c r="E884" s="85"/>
      <c r="F884" s="65"/>
      <c r="G884" s="117"/>
      <c r="H884" s="65"/>
      <c r="I884" s="85"/>
      <c r="J884" s="85"/>
      <c r="K884" s="85"/>
    </row>
    <row r="885" ht="15.75" customHeight="1">
      <c r="A885" s="85"/>
      <c r="B885" s="85"/>
      <c r="C885" s="65"/>
      <c r="D885" s="65"/>
      <c r="E885" s="85"/>
      <c r="F885" s="65"/>
      <c r="G885" s="117"/>
      <c r="H885" s="65"/>
      <c r="I885" s="85"/>
      <c r="J885" s="85"/>
      <c r="K885" s="85"/>
    </row>
    <row r="886" ht="15.75" customHeight="1">
      <c r="A886" s="85"/>
      <c r="B886" s="85"/>
      <c r="C886" s="65"/>
      <c r="D886" s="65"/>
      <c r="E886" s="85"/>
      <c r="F886" s="65"/>
      <c r="G886" s="117"/>
      <c r="H886" s="65"/>
      <c r="I886" s="85"/>
      <c r="J886" s="85"/>
      <c r="K886" s="85"/>
    </row>
    <row r="887" ht="15.75" customHeight="1">
      <c r="A887" s="85"/>
      <c r="B887" s="85"/>
      <c r="C887" s="65"/>
      <c r="D887" s="65"/>
      <c r="E887" s="85"/>
      <c r="F887" s="65"/>
      <c r="G887" s="117"/>
      <c r="H887" s="65"/>
      <c r="I887" s="85"/>
      <c r="J887" s="85"/>
      <c r="K887" s="85"/>
    </row>
    <row r="888" ht="15.75" customHeight="1">
      <c r="A888" s="85"/>
      <c r="B888" s="85"/>
      <c r="C888" s="65"/>
      <c r="D888" s="65"/>
      <c r="E888" s="85"/>
      <c r="F888" s="65"/>
      <c r="G888" s="117"/>
      <c r="H888" s="65"/>
      <c r="I888" s="85"/>
      <c r="J888" s="85"/>
      <c r="K888" s="85"/>
    </row>
    <row r="889" ht="15.75" customHeight="1">
      <c r="A889" s="85"/>
      <c r="B889" s="85"/>
      <c r="C889" s="65"/>
      <c r="D889" s="65"/>
      <c r="E889" s="85"/>
      <c r="F889" s="65"/>
      <c r="G889" s="117"/>
      <c r="H889" s="65"/>
      <c r="I889" s="85"/>
      <c r="J889" s="85"/>
      <c r="K889" s="85"/>
    </row>
    <row r="890" ht="15.75" customHeight="1">
      <c r="A890" s="85"/>
      <c r="B890" s="85"/>
      <c r="C890" s="65"/>
      <c r="D890" s="65"/>
      <c r="E890" s="85"/>
      <c r="F890" s="65"/>
      <c r="G890" s="117"/>
      <c r="H890" s="65"/>
      <c r="I890" s="85"/>
      <c r="J890" s="85"/>
      <c r="K890" s="85"/>
    </row>
    <row r="891" ht="15.75" customHeight="1">
      <c r="A891" s="85"/>
      <c r="B891" s="85"/>
      <c r="C891" s="65"/>
      <c r="D891" s="65"/>
      <c r="E891" s="85"/>
      <c r="F891" s="65"/>
      <c r="G891" s="117"/>
      <c r="H891" s="65"/>
      <c r="I891" s="85"/>
      <c r="J891" s="85"/>
      <c r="K891" s="85"/>
    </row>
    <row r="892" ht="15.75" customHeight="1">
      <c r="A892" s="85"/>
      <c r="B892" s="85"/>
      <c r="C892" s="65"/>
      <c r="D892" s="65"/>
      <c r="E892" s="85"/>
      <c r="F892" s="65"/>
      <c r="G892" s="117"/>
      <c r="H892" s="65"/>
      <c r="I892" s="85"/>
      <c r="J892" s="85"/>
      <c r="K892" s="85"/>
    </row>
    <row r="893" ht="15.75" customHeight="1">
      <c r="A893" s="85"/>
      <c r="B893" s="85"/>
      <c r="C893" s="65"/>
      <c r="D893" s="65"/>
      <c r="E893" s="85"/>
      <c r="F893" s="65"/>
      <c r="G893" s="117"/>
      <c r="H893" s="65"/>
      <c r="I893" s="85"/>
      <c r="J893" s="85"/>
      <c r="K893" s="85"/>
    </row>
    <row r="894" ht="15.75" customHeight="1">
      <c r="A894" s="85"/>
      <c r="B894" s="85"/>
      <c r="C894" s="65"/>
      <c r="D894" s="65"/>
      <c r="E894" s="85"/>
      <c r="F894" s="65"/>
      <c r="G894" s="117"/>
      <c r="H894" s="65"/>
      <c r="I894" s="85"/>
      <c r="J894" s="85"/>
      <c r="K894" s="85"/>
    </row>
    <row r="895" ht="15.75" customHeight="1">
      <c r="A895" s="85"/>
      <c r="B895" s="85"/>
      <c r="C895" s="65"/>
      <c r="D895" s="65"/>
      <c r="E895" s="85"/>
      <c r="F895" s="65"/>
      <c r="G895" s="117"/>
      <c r="H895" s="65"/>
      <c r="I895" s="85"/>
      <c r="J895" s="85"/>
      <c r="K895" s="85"/>
    </row>
    <row r="896" ht="15.75" customHeight="1">
      <c r="A896" s="85"/>
      <c r="B896" s="85"/>
      <c r="C896" s="65"/>
      <c r="D896" s="65"/>
      <c r="E896" s="85"/>
      <c r="F896" s="65"/>
      <c r="G896" s="117"/>
      <c r="H896" s="65"/>
      <c r="I896" s="85"/>
      <c r="J896" s="85"/>
      <c r="K896" s="85"/>
    </row>
    <row r="897" ht="15.75" customHeight="1">
      <c r="A897" s="85"/>
      <c r="B897" s="85"/>
      <c r="C897" s="65"/>
      <c r="D897" s="65"/>
      <c r="E897" s="85"/>
      <c r="F897" s="65"/>
      <c r="G897" s="117"/>
      <c r="H897" s="65"/>
      <c r="I897" s="85"/>
      <c r="J897" s="85"/>
      <c r="K897" s="85"/>
    </row>
    <row r="898" ht="15.75" customHeight="1">
      <c r="A898" s="85"/>
      <c r="B898" s="85"/>
      <c r="C898" s="65"/>
      <c r="D898" s="65"/>
      <c r="E898" s="85"/>
      <c r="F898" s="65"/>
      <c r="G898" s="117"/>
      <c r="H898" s="65"/>
      <c r="I898" s="85"/>
      <c r="J898" s="85"/>
      <c r="K898" s="85"/>
    </row>
    <row r="899" ht="15.75" customHeight="1">
      <c r="A899" s="85"/>
      <c r="B899" s="85"/>
      <c r="C899" s="65"/>
      <c r="D899" s="65"/>
      <c r="E899" s="85"/>
      <c r="F899" s="65"/>
      <c r="G899" s="117"/>
      <c r="H899" s="65"/>
      <c r="I899" s="85"/>
      <c r="J899" s="85"/>
      <c r="K899" s="85"/>
    </row>
    <row r="900" ht="15.75" customHeight="1">
      <c r="A900" s="85"/>
      <c r="B900" s="85"/>
      <c r="C900" s="65"/>
      <c r="D900" s="65"/>
      <c r="E900" s="85"/>
      <c r="F900" s="65"/>
      <c r="G900" s="117"/>
      <c r="H900" s="65"/>
      <c r="I900" s="85"/>
      <c r="J900" s="85"/>
      <c r="K900" s="85"/>
    </row>
    <row r="901" ht="15.75" customHeight="1">
      <c r="A901" s="85"/>
      <c r="B901" s="85"/>
      <c r="C901" s="65"/>
      <c r="D901" s="65"/>
      <c r="E901" s="85"/>
      <c r="F901" s="65"/>
      <c r="G901" s="117"/>
      <c r="H901" s="65"/>
      <c r="I901" s="85"/>
      <c r="J901" s="85"/>
      <c r="K901" s="85"/>
    </row>
    <row r="902" ht="15.75" customHeight="1">
      <c r="A902" s="85"/>
      <c r="B902" s="85"/>
      <c r="C902" s="65"/>
      <c r="D902" s="65"/>
      <c r="E902" s="85"/>
      <c r="F902" s="65"/>
      <c r="G902" s="117"/>
      <c r="H902" s="65"/>
      <c r="I902" s="85"/>
      <c r="J902" s="85"/>
      <c r="K902" s="85"/>
    </row>
    <row r="903" ht="15.75" customHeight="1">
      <c r="A903" s="85"/>
      <c r="B903" s="85"/>
      <c r="C903" s="65"/>
      <c r="D903" s="65"/>
      <c r="E903" s="85"/>
      <c r="F903" s="65"/>
      <c r="G903" s="117"/>
      <c r="H903" s="65"/>
      <c r="I903" s="85"/>
      <c r="J903" s="85"/>
      <c r="K903" s="85"/>
    </row>
    <row r="904" ht="15.75" customHeight="1">
      <c r="A904" s="85"/>
      <c r="B904" s="85"/>
      <c r="C904" s="65"/>
      <c r="D904" s="65"/>
      <c r="E904" s="85"/>
      <c r="F904" s="65"/>
      <c r="G904" s="117"/>
      <c r="H904" s="65"/>
      <c r="I904" s="85"/>
      <c r="J904" s="85"/>
      <c r="K904" s="85"/>
    </row>
    <row r="905" ht="15.75" customHeight="1">
      <c r="A905" s="85"/>
      <c r="B905" s="85"/>
      <c r="C905" s="65"/>
      <c r="D905" s="65"/>
      <c r="E905" s="85"/>
      <c r="F905" s="65"/>
      <c r="G905" s="117"/>
      <c r="H905" s="65"/>
      <c r="I905" s="85"/>
      <c r="J905" s="85"/>
      <c r="K905" s="85"/>
    </row>
    <row r="906" ht="15.75" customHeight="1">
      <c r="A906" s="85"/>
      <c r="B906" s="85"/>
      <c r="C906" s="65"/>
      <c r="D906" s="65"/>
      <c r="E906" s="85"/>
      <c r="F906" s="65"/>
      <c r="G906" s="117"/>
      <c r="H906" s="65"/>
      <c r="I906" s="85"/>
      <c r="J906" s="85"/>
      <c r="K906" s="85"/>
    </row>
    <row r="907" ht="15.75" customHeight="1">
      <c r="A907" s="85"/>
      <c r="B907" s="85"/>
      <c r="C907" s="65"/>
      <c r="D907" s="65"/>
      <c r="E907" s="85"/>
      <c r="F907" s="65"/>
      <c r="G907" s="117"/>
      <c r="H907" s="65"/>
      <c r="I907" s="85"/>
      <c r="J907" s="85"/>
      <c r="K907" s="85"/>
    </row>
    <row r="908" ht="15.75" customHeight="1">
      <c r="A908" s="85"/>
      <c r="B908" s="85"/>
      <c r="C908" s="65"/>
      <c r="D908" s="65"/>
      <c r="E908" s="85"/>
      <c r="F908" s="65"/>
      <c r="G908" s="117"/>
      <c r="H908" s="65"/>
      <c r="I908" s="85"/>
      <c r="J908" s="85"/>
      <c r="K908" s="85"/>
    </row>
    <row r="909" ht="15.75" customHeight="1">
      <c r="A909" s="85"/>
      <c r="B909" s="85"/>
      <c r="C909" s="65"/>
      <c r="D909" s="65"/>
      <c r="E909" s="85"/>
      <c r="F909" s="65"/>
      <c r="G909" s="117"/>
      <c r="H909" s="65"/>
      <c r="I909" s="85"/>
      <c r="J909" s="85"/>
      <c r="K909" s="85"/>
    </row>
    <row r="910" ht="15.75" customHeight="1">
      <c r="A910" s="85"/>
      <c r="B910" s="85"/>
      <c r="C910" s="65"/>
      <c r="D910" s="65"/>
      <c r="E910" s="85"/>
      <c r="F910" s="65"/>
      <c r="G910" s="117"/>
      <c r="H910" s="65"/>
      <c r="I910" s="85"/>
      <c r="J910" s="85"/>
      <c r="K910" s="85"/>
    </row>
    <row r="911" ht="15.75" customHeight="1">
      <c r="A911" s="85"/>
      <c r="B911" s="85"/>
      <c r="C911" s="65"/>
      <c r="D911" s="65"/>
      <c r="E911" s="85"/>
      <c r="F911" s="65"/>
      <c r="G911" s="117"/>
      <c r="H911" s="65"/>
      <c r="I911" s="85"/>
      <c r="J911" s="85"/>
      <c r="K911" s="85"/>
    </row>
    <row r="912" ht="15.75" customHeight="1">
      <c r="A912" s="85"/>
      <c r="B912" s="85"/>
      <c r="C912" s="65"/>
      <c r="D912" s="65"/>
      <c r="E912" s="85"/>
      <c r="F912" s="65"/>
      <c r="G912" s="117"/>
      <c r="H912" s="65"/>
      <c r="I912" s="85"/>
      <c r="J912" s="85"/>
      <c r="K912" s="85"/>
    </row>
    <row r="913" ht="15.75" customHeight="1">
      <c r="A913" s="85"/>
      <c r="B913" s="85"/>
      <c r="C913" s="65"/>
      <c r="D913" s="65"/>
      <c r="E913" s="85"/>
      <c r="F913" s="65"/>
      <c r="G913" s="117"/>
      <c r="H913" s="65"/>
      <c r="I913" s="85"/>
      <c r="J913" s="85"/>
      <c r="K913" s="85"/>
    </row>
    <row r="914" ht="15.75" customHeight="1">
      <c r="A914" s="85"/>
      <c r="B914" s="85"/>
      <c r="C914" s="65"/>
      <c r="D914" s="65"/>
      <c r="E914" s="85"/>
      <c r="F914" s="65"/>
      <c r="G914" s="117"/>
      <c r="H914" s="65"/>
      <c r="I914" s="85"/>
      <c r="J914" s="85"/>
      <c r="K914" s="85"/>
    </row>
    <row r="915" ht="15.75" customHeight="1">
      <c r="A915" s="85"/>
      <c r="B915" s="85"/>
      <c r="C915" s="65"/>
      <c r="D915" s="65"/>
      <c r="E915" s="85"/>
      <c r="F915" s="65"/>
      <c r="G915" s="117"/>
      <c r="H915" s="65"/>
      <c r="I915" s="85"/>
      <c r="J915" s="85"/>
      <c r="K915" s="85"/>
    </row>
    <row r="916" ht="15.75" customHeight="1">
      <c r="A916" s="85"/>
      <c r="B916" s="85"/>
      <c r="C916" s="65"/>
      <c r="D916" s="65"/>
      <c r="E916" s="85"/>
      <c r="F916" s="65"/>
      <c r="G916" s="117"/>
      <c r="H916" s="65"/>
      <c r="I916" s="85"/>
      <c r="J916" s="85"/>
      <c r="K916" s="85"/>
    </row>
    <row r="917" ht="15.75" customHeight="1">
      <c r="A917" s="85"/>
      <c r="B917" s="85"/>
      <c r="C917" s="65"/>
      <c r="D917" s="65"/>
      <c r="E917" s="85"/>
      <c r="F917" s="65"/>
      <c r="G917" s="117"/>
      <c r="H917" s="65"/>
      <c r="I917" s="85"/>
      <c r="J917" s="85"/>
      <c r="K917" s="85"/>
    </row>
    <row r="918" ht="15.75" customHeight="1">
      <c r="A918" s="85"/>
      <c r="B918" s="85"/>
      <c r="C918" s="65"/>
      <c r="D918" s="65"/>
      <c r="E918" s="85"/>
      <c r="F918" s="65"/>
      <c r="G918" s="117"/>
      <c r="H918" s="65"/>
      <c r="I918" s="85"/>
      <c r="J918" s="85"/>
      <c r="K918" s="85"/>
    </row>
    <row r="919" ht="15.75" customHeight="1">
      <c r="A919" s="85"/>
      <c r="B919" s="85"/>
      <c r="C919" s="65"/>
      <c r="D919" s="65"/>
      <c r="E919" s="85"/>
      <c r="F919" s="65"/>
      <c r="G919" s="117"/>
      <c r="H919" s="65"/>
      <c r="I919" s="85"/>
      <c r="J919" s="85"/>
      <c r="K919" s="85"/>
    </row>
    <row r="920" ht="15.75" customHeight="1">
      <c r="A920" s="85"/>
      <c r="B920" s="85"/>
      <c r="C920" s="65"/>
      <c r="D920" s="65"/>
      <c r="E920" s="85"/>
      <c r="F920" s="65"/>
      <c r="G920" s="117"/>
      <c r="H920" s="65"/>
      <c r="I920" s="85"/>
      <c r="J920" s="85"/>
      <c r="K920" s="85"/>
    </row>
    <row r="921" ht="15.75" customHeight="1">
      <c r="A921" s="85"/>
      <c r="B921" s="85"/>
      <c r="C921" s="65"/>
      <c r="D921" s="65"/>
      <c r="E921" s="85"/>
      <c r="F921" s="65"/>
      <c r="G921" s="117"/>
      <c r="H921" s="65"/>
      <c r="I921" s="85"/>
      <c r="J921" s="85"/>
      <c r="K921" s="85"/>
    </row>
    <row r="922" ht="15.75" customHeight="1">
      <c r="A922" s="85"/>
      <c r="B922" s="85"/>
      <c r="C922" s="65"/>
      <c r="D922" s="65"/>
      <c r="E922" s="85"/>
      <c r="F922" s="65"/>
      <c r="G922" s="117"/>
      <c r="H922" s="65"/>
      <c r="I922" s="85"/>
      <c r="J922" s="85"/>
      <c r="K922" s="85"/>
    </row>
    <row r="923" ht="15.75" customHeight="1">
      <c r="A923" s="85"/>
      <c r="B923" s="85"/>
      <c r="C923" s="65"/>
      <c r="D923" s="65"/>
      <c r="E923" s="85"/>
      <c r="F923" s="65"/>
      <c r="G923" s="117"/>
      <c r="H923" s="65"/>
      <c r="I923" s="85"/>
      <c r="J923" s="85"/>
      <c r="K923" s="85"/>
    </row>
    <row r="924" ht="15.75" customHeight="1">
      <c r="A924" s="85"/>
      <c r="B924" s="85"/>
      <c r="C924" s="65"/>
      <c r="D924" s="65"/>
      <c r="E924" s="85"/>
      <c r="F924" s="65"/>
      <c r="G924" s="117"/>
      <c r="H924" s="65"/>
      <c r="I924" s="85"/>
      <c r="J924" s="85"/>
      <c r="K924" s="85"/>
    </row>
    <row r="925" ht="15.75" customHeight="1">
      <c r="A925" s="85"/>
      <c r="B925" s="85"/>
      <c r="C925" s="65"/>
      <c r="D925" s="65"/>
      <c r="E925" s="85"/>
      <c r="F925" s="65"/>
      <c r="G925" s="117"/>
      <c r="H925" s="65"/>
      <c r="I925" s="85"/>
      <c r="J925" s="85"/>
      <c r="K925" s="85"/>
    </row>
    <row r="926" ht="15.75" customHeight="1">
      <c r="A926" s="85"/>
      <c r="B926" s="85"/>
      <c r="C926" s="65"/>
      <c r="D926" s="65"/>
      <c r="E926" s="85"/>
      <c r="F926" s="65"/>
      <c r="G926" s="117"/>
      <c r="H926" s="65"/>
      <c r="I926" s="85"/>
      <c r="J926" s="85"/>
      <c r="K926" s="85"/>
    </row>
    <row r="927" ht="15.75" customHeight="1">
      <c r="A927" s="85"/>
      <c r="B927" s="85"/>
      <c r="C927" s="65"/>
      <c r="D927" s="65"/>
      <c r="E927" s="85"/>
      <c r="F927" s="65"/>
      <c r="G927" s="117"/>
      <c r="H927" s="65"/>
      <c r="I927" s="85"/>
      <c r="J927" s="85"/>
      <c r="K927" s="85"/>
    </row>
    <row r="928" ht="15.75" customHeight="1">
      <c r="A928" s="85"/>
      <c r="B928" s="85"/>
      <c r="C928" s="65"/>
      <c r="D928" s="65"/>
      <c r="E928" s="85"/>
      <c r="F928" s="65"/>
      <c r="G928" s="117"/>
      <c r="H928" s="65"/>
      <c r="I928" s="85"/>
      <c r="J928" s="85"/>
      <c r="K928" s="85"/>
    </row>
    <row r="929" ht="15.75" customHeight="1">
      <c r="A929" s="85"/>
      <c r="B929" s="85"/>
      <c r="C929" s="65"/>
      <c r="D929" s="65"/>
      <c r="E929" s="85"/>
      <c r="F929" s="65"/>
      <c r="G929" s="117"/>
      <c r="H929" s="65"/>
      <c r="I929" s="85"/>
      <c r="J929" s="85"/>
      <c r="K929" s="85"/>
    </row>
    <row r="930" ht="15.75" customHeight="1">
      <c r="A930" s="85"/>
      <c r="B930" s="85"/>
      <c r="C930" s="65"/>
      <c r="D930" s="65"/>
      <c r="E930" s="85"/>
      <c r="F930" s="65"/>
      <c r="G930" s="117"/>
      <c r="H930" s="65"/>
      <c r="I930" s="85"/>
      <c r="J930" s="85"/>
      <c r="K930" s="85"/>
    </row>
    <row r="931" ht="15.75" customHeight="1">
      <c r="A931" s="85"/>
      <c r="B931" s="85"/>
      <c r="C931" s="65"/>
      <c r="D931" s="65"/>
      <c r="E931" s="85"/>
      <c r="F931" s="65"/>
      <c r="G931" s="117"/>
      <c r="H931" s="65"/>
      <c r="I931" s="85"/>
      <c r="J931" s="85"/>
      <c r="K931" s="85"/>
    </row>
    <row r="932" ht="15.75" customHeight="1">
      <c r="A932" s="85"/>
      <c r="B932" s="85"/>
      <c r="C932" s="65"/>
      <c r="D932" s="65"/>
      <c r="E932" s="85"/>
      <c r="F932" s="65"/>
      <c r="G932" s="117"/>
      <c r="H932" s="65"/>
      <c r="I932" s="85"/>
      <c r="J932" s="85"/>
      <c r="K932" s="85"/>
    </row>
    <row r="933" ht="15.75" customHeight="1">
      <c r="A933" s="85"/>
      <c r="B933" s="85"/>
      <c r="C933" s="65"/>
      <c r="D933" s="65"/>
      <c r="E933" s="85"/>
      <c r="F933" s="65"/>
      <c r="G933" s="117"/>
      <c r="H933" s="65"/>
      <c r="I933" s="85"/>
      <c r="J933" s="85"/>
      <c r="K933" s="85"/>
    </row>
    <row r="934" ht="15.75" customHeight="1">
      <c r="A934" s="85"/>
      <c r="B934" s="85"/>
      <c r="C934" s="65"/>
      <c r="D934" s="65"/>
      <c r="E934" s="85"/>
      <c r="F934" s="65"/>
      <c r="G934" s="117"/>
      <c r="H934" s="65"/>
      <c r="I934" s="85"/>
      <c r="J934" s="85"/>
      <c r="K934" s="85"/>
    </row>
    <row r="935" ht="15.75" customHeight="1">
      <c r="A935" s="85"/>
      <c r="B935" s="85"/>
      <c r="C935" s="65"/>
      <c r="D935" s="65"/>
      <c r="E935" s="85"/>
      <c r="F935" s="65"/>
      <c r="G935" s="117"/>
      <c r="H935" s="65"/>
      <c r="I935" s="85"/>
      <c r="J935" s="85"/>
      <c r="K935" s="85"/>
    </row>
    <row r="936" ht="15.75" customHeight="1">
      <c r="A936" s="85"/>
      <c r="B936" s="85"/>
      <c r="C936" s="65"/>
      <c r="D936" s="65"/>
      <c r="E936" s="85"/>
      <c r="F936" s="65"/>
      <c r="G936" s="117"/>
      <c r="H936" s="65"/>
      <c r="I936" s="85"/>
      <c r="J936" s="85"/>
      <c r="K936" s="85"/>
    </row>
    <row r="937" ht="15.75" customHeight="1">
      <c r="A937" s="85"/>
      <c r="B937" s="85"/>
      <c r="C937" s="65"/>
      <c r="D937" s="65"/>
      <c r="E937" s="85"/>
      <c r="F937" s="65"/>
      <c r="G937" s="117"/>
      <c r="H937" s="65"/>
      <c r="I937" s="85"/>
      <c r="J937" s="85"/>
      <c r="K937" s="85"/>
    </row>
    <row r="938" ht="15.75" customHeight="1">
      <c r="A938" s="85"/>
      <c r="B938" s="85"/>
      <c r="C938" s="65"/>
      <c r="D938" s="65"/>
      <c r="E938" s="85"/>
      <c r="F938" s="65"/>
      <c r="G938" s="117"/>
      <c r="H938" s="65"/>
      <c r="I938" s="85"/>
      <c r="J938" s="85"/>
      <c r="K938" s="85"/>
    </row>
    <row r="939" ht="15.75" customHeight="1">
      <c r="A939" s="85"/>
      <c r="B939" s="85"/>
      <c r="C939" s="65"/>
      <c r="D939" s="65"/>
      <c r="E939" s="85"/>
      <c r="F939" s="65"/>
      <c r="G939" s="117"/>
      <c r="H939" s="65"/>
      <c r="I939" s="85"/>
      <c r="J939" s="85"/>
      <c r="K939" s="85"/>
    </row>
    <row r="940" ht="15.75" customHeight="1">
      <c r="A940" s="85"/>
      <c r="B940" s="85"/>
      <c r="C940" s="65"/>
      <c r="D940" s="65"/>
      <c r="E940" s="85"/>
      <c r="F940" s="65"/>
      <c r="G940" s="117"/>
      <c r="H940" s="65"/>
      <c r="I940" s="85"/>
      <c r="J940" s="85"/>
      <c r="K940" s="85"/>
    </row>
    <row r="941" ht="15.75" customHeight="1">
      <c r="A941" s="85"/>
      <c r="B941" s="85"/>
      <c r="C941" s="65"/>
      <c r="D941" s="65"/>
      <c r="E941" s="85"/>
      <c r="F941" s="65"/>
      <c r="G941" s="117"/>
      <c r="H941" s="65"/>
      <c r="I941" s="85"/>
      <c r="J941" s="85"/>
      <c r="K941" s="85"/>
    </row>
    <row r="942" ht="15.75" customHeight="1">
      <c r="A942" s="85"/>
      <c r="B942" s="85"/>
      <c r="C942" s="65"/>
      <c r="D942" s="65"/>
      <c r="E942" s="85"/>
      <c r="F942" s="65"/>
      <c r="G942" s="117"/>
      <c r="H942" s="65"/>
      <c r="I942" s="85"/>
      <c r="J942" s="85"/>
      <c r="K942" s="85"/>
    </row>
    <row r="943" ht="15.75" customHeight="1">
      <c r="A943" s="85"/>
      <c r="B943" s="85"/>
      <c r="C943" s="65"/>
      <c r="D943" s="65"/>
      <c r="E943" s="85"/>
      <c r="F943" s="65"/>
      <c r="G943" s="117"/>
      <c r="H943" s="65"/>
      <c r="I943" s="85"/>
      <c r="J943" s="85"/>
      <c r="K943" s="85"/>
    </row>
    <row r="944" ht="15.75" customHeight="1">
      <c r="A944" s="85"/>
      <c r="B944" s="85"/>
      <c r="C944" s="65"/>
      <c r="D944" s="65"/>
      <c r="E944" s="85"/>
      <c r="F944" s="65"/>
      <c r="G944" s="117"/>
      <c r="H944" s="65"/>
      <c r="I944" s="85"/>
      <c r="J944" s="85"/>
      <c r="K944" s="85"/>
    </row>
    <row r="945" ht="15.75" customHeight="1">
      <c r="A945" s="85"/>
      <c r="B945" s="85"/>
      <c r="C945" s="65"/>
      <c r="D945" s="65"/>
      <c r="E945" s="85"/>
      <c r="F945" s="65"/>
      <c r="G945" s="117"/>
      <c r="H945" s="65"/>
      <c r="I945" s="85"/>
      <c r="J945" s="85"/>
      <c r="K945" s="85"/>
    </row>
    <row r="946" ht="15.75" customHeight="1">
      <c r="A946" s="85"/>
      <c r="B946" s="85"/>
      <c r="C946" s="65"/>
      <c r="D946" s="65"/>
      <c r="E946" s="85"/>
      <c r="F946" s="65"/>
      <c r="G946" s="117"/>
      <c r="H946" s="65"/>
      <c r="I946" s="85"/>
      <c r="J946" s="85"/>
      <c r="K946" s="85"/>
    </row>
    <row r="947" ht="15.75" customHeight="1">
      <c r="A947" s="85"/>
      <c r="B947" s="85"/>
      <c r="C947" s="65"/>
      <c r="D947" s="65"/>
      <c r="E947" s="85"/>
      <c r="F947" s="65"/>
      <c r="G947" s="117"/>
      <c r="H947" s="65"/>
      <c r="I947" s="85"/>
      <c r="J947" s="85"/>
      <c r="K947" s="85"/>
    </row>
    <row r="948" ht="15.75" customHeight="1">
      <c r="A948" s="85"/>
      <c r="B948" s="85"/>
      <c r="C948" s="65"/>
      <c r="D948" s="65"/>
      <c r="E948" s="85"/>
      <c r="F948" s="65"/>
      <c r="G948" s="117"/>
      <c r="H948" s="65"/>
      <c r="I948" s="85"/>
      <c r="J948" s="85"/>
      <c r="K948" s="85"/>
    </row>
    <row r="949" ht="15.75" customHeight="1">
      <c r="A949" s="85"/>
      <c r="B949" s="85"/>
      <c r="C949" s="65"/>
      <c r="D949" s="65"/>
      <c r="E949" s="85"/>
      <c r="F949" s="65"/>
      <c r="G949" s="117"/>
      <c r="H949" s="65"/>
      <c r="I949" s="85"/>
      <c r="J949" s="85"/>
      <c r="K949" s="85"/>
    </row>
    <row r="950" ht="15.75" customHeight="1">
      <c r="A950" s="85"/>
      <c r="B950" s="85"/>
      <c r="C950" s="65"/>
      <c r="D950" s="65"/>
      <c r="E950" s="85"/>
      <c r="F950" s="65"/>
      <c r="G950" s="117"/>
      <c r="H950" s="65"/>
      <c r="I950" s="85"/>
      <c r="J950" s="85"/>
      <c r="K950" s="85"/>
    </row>
    <row r="951" ht="15.75" customHeight="1">
      <c r="A951" s="85"/>
      <c r="B951" s="85"/>
      <c r="C951" s="65"/>
      <c r="D951" s="65"/>
      <c r="E951" s="85"/>
      <c r="F951" s="65"/>
      <c r="G951" s="117"/>
      <c r="H951" s="65"/>
      <c r="I951" s="85"/>
      <c r="J951" s="85"/>
      <c r="K951" s="85"/>
    </row>
    <row r="952" ht="15.75" customHeight="1">
      <c r="A952" s="85"/>
      <c r="B952" s="85"/>
      <c r="C952" s="65"/>
      <c r="D952" s="65"/>
      <c r="E952" s="85"/>
      <c r="F952" s="65"/>
      <c r="G952" s="117"/>
      <c r="H952" s="65"/>
      <c r="I952" s="85"/>
      <c r="J952" s="85"/>
      <c r="K952" s="85"/>
    </row>
    <row r="953" ht="15.75" customHeight="1">
      <c r="A953" s="85"/>
      <c r="B953" s="85"/>
      <c r="C953" s="65"/>
      <c r="D953" s="65"/>
      <c r="E953" s="85"/>
      <c r="F953" s="65"/>
      <c r="G953" s="117"/>
      <c r="H953" s="65"/>
      <c r="I953" s="85"/>
      <c r="J953" s="85"/>
      <c r="K953" s="85"/>
    </row>
    <row r="954" ht="15.75" customHeight="1">
      <c r="A954" s="85"/>
      <c r="B954" s="85"/>
      <c r="C954" s="65"/>
      <c r="D954" s="65"/>
      <c r="E954" s="85"/>
      <c r="F954" s="65"/>
      <c r="G954" s="117"/>
      <c r="H954" s="65"/>
      <c r="I954" s="85"/>
      <c r="J954" s="85"/>
      <c r="K954" s="85"/>
    </row>
    <row r="955" ht="15.75" customHeight="1">
      <c r="A955" s="85"/>
      <c r="B955" s="85"/>
      <c r="C955" s="65"/>
      <c r="D955" s="65"/>
      <c r="E955" s="85"/>
      <c r="F955" s="65"/>
      <c r="G955" s="117"/>
      <c r="H955" s="65"/>
      <c r="I955" s="85"/>
      <c r="J955" s="85"/>
      <c r="K955" s="85"/>
    </row>
    <row r="956" ht="15.75" customHeight="1">
      <c r="A956" s="85"/>
      <c r="B956" s="85"/>
      <c r="C956" s="65"/>
      <c r="D956" s="65"/>
      <c r="E956" s="85"/>
      <c r="F956" s="65"/>
      <c r="G956" s="117"/>
      <c r="H956" s="65"/>
      <c r="I956" s="85"/>
      <c r="J956" s="85"/>
      <c r="K956" s="85"/>
    </row>
    <row r="957" ht="15.75" customHeight="1">
      <c r="A957" s="85"/>
      <c r="B957" s="85"/>
      <c r="C957" s="65"/>
      <c r="D957" s="65"/>
      <c r="E957" s="85"/>
      <c r="F957" s="65"/>
      <c r="G957" s="117"/>
      <c r="H957" s="65"/>
      <c r="I957" s="85"/>
      <c r="J957" s="85"/>
      <c r="K957" s="85"/>
    </row>
    <row r="958" ht="15.75" customHeight="1">
      <c r="A958" s="85"/>
      <c r="B958" s="85"/>
      <c r="C958" s="65"/>
      <c r="D958" s="65"/>
      <c r="E958" s="85"/>
      <c r="F958" s="65"/>
      <c r="G958" s="117"/>
      <c r="H958" s="65"/>
      <c r="I958" s="85"/>
      <c r="J958" s="85"/>
      <c r="K958" s="85"/>
    </row>
    <row r="959" ht="15.75" customHeight="1">
      <c r="A959" s="85"/>
      <c r="B959" s="85"/>
      <c r="C959" s="65"/>
      <c r="D959" s="65"/>
      <c r="E959" s="85"/>
      <c r="F959" s="65"/>
      <c r="G959" s="117"/>
      <c r="H959" s="65"/>
      <c r="I959" s="85"/>
      <c r="J959" s="85"/>
      <c r="K959" s="85"/>
    </row>
    <row r="960" ht="15.75" customHeight="1">
      <c r="A960" s="85"/>
      <c r="B960" s="85"/>
      <c r="C960" s="65"/>
      <c r="D960" s="65"/>
      <c r="E960" s="85"/>
      <c r="F960" s="65"/>
      <c r="G960" s="117"/>
      <c r="H960" s="65"/>
      <c r="I960" s="85"/>
      <c r="J960" s="85"/>
      <c r="K960" s="85"/>
    </row>
    <row r="961" ht="15.75" customHeight="1">
      <c r="A961" s="85"/>
      <c r="B961" s="85"/>
      <c r="C961" s="65"/>
      <c r="D961" s="65"/>
      <c r="E961" s="85"/>
      <c r="F961" s="65"/>
      <c r="G961" s="117"/>
      <c r="H961" s="65"/>
      <c r="I961" s="85"/>
      <c r="J961" s="85"/>
      <c r="K961" s="85"/>
    </row>
    <row r="962" ht="15.75" customHeight="1">
      <c r="A962" s="85"/>
      <c r="B962" s="85"/>
      <c r="C962" s="65"/>
      <c r="D962" s="65"/>
      <c r="E962" s="85"/>
      <c r="F962" s="65"/>
      <c r="G962" s="117"/>
      <c r="H962" s="65"/>
      <c r="I962" s="85"/>
      <c r="J962" s="85"/>
      <c r="K962" s="85"/>
    </row>
    <row r="963" ht="15.75" customHeight="1">
      <c r="A963" s="85"/>
      <c r="B963" s="85"/>
      <c r="C963" s="65"/>
      <c r="D963" s="65"/>
      <c r="E963" s="85"/>
      <c r="F963" s="65"/>
      <c r="G963" s="117"/>
      <c r="H963" s="65"/>
      <c r="I963" s="85"/>
      <c r="J963" s="85"/>
      <c r="K963" s="85"/>
    </row>
    <row r="964" ht="15.75" customHeight="1">
      <c r="A964" s="85"/>
      <c r="B964" s="85"/>
      <c r="C964" s="65"/>
      <c r="D964" s="65"/>
      <c r="E964" s="85"/>
      <c r="F964" s="65"/>
      <c r="G964" s="117"/>
      <c r="H964" s="65"/>
      <c r="I964" s="85"/>
      <c r="J964" s="85"/>
      <c r="K964" s="85"/>
    </row>
    <row r="965" ht="15.75" customHeight="1">
      <c r="A965" s="85"/>
      <c r="B965" s="85"/>
      <c r="C965" s="65"/>
      <c r="D965" s="65"/>
      <c r="E965" s="85"/>
      <c r="F965" s="65"/>
      <c r="G965" s="117"/>
      <c r="H965" s="65"/>
      <c r="I965" s="85"/>
      <c r="J965" s="85"/>
      <c r="K965" s="85"/>
    </row>
    <row r="966" ht="15.75" customHeight="1">
      <c r="A966" s="85"/>
      <c r="B966" s="85"/>
      <c r="C966" s="65"/>
      <c r="D966" s="65"/>
      <c r="E966" s="85"/>
      <c r="F966" s="65"/>
      <c r="G966" s="117"/>
      <c r="H966" s="65"/>
      <c r="I966" s="85"/>
      <c r="J966" s="85"/>
      <c r="K966" s="85"/>
    </row>
    <row r="967" ht="15.75" customHeight="1">
      <c r="A967" s="85"/>
      <c r="B967" s="85"/>
      <c r="C967" s="65"/>
      <c r="D967" s="65"/>
      <c r="E967" s="85"/>
      <c r="F967" s="65"/>
      <c r="G967" s="117"/>
      <c r="H967" s="65"/>
      <c r="I967" s="85"/>
      <c r="J967" s="85"/>
      <c r="K967" s="85"/>
    </row>
    <row r="968" ht="15.75" customHeight="1">
      <c r="A968" s="85"/>
      <c r="B968" s="85"/>
      <c r="C968" s="65"/>
      <c r="D968" s="65"/>
      <c r="E968" s="85"/>
      <c r="F968" s="65"/>
      <c r="G968" s="117"/>
      <c r="H968" s="65"/>
      <c r="I968" s="85"/>
      <c r="J968" s="85"/>
      <c r="K968" s="85"/>
    </row>
    <row r="969" ht="15.75" customHeight="1">
      <c r="A969" s="85"/>
      <c r="B969" s="85"/>
      <c r="C969" s="65"/>
      <c r="D969" s="65"/>
      <c r="E969" s="85"/>
      <c r="F969" s="65"/>
      <c r="G969" s="117"/>
      <c r="H969" s="65"/>
      <c r="I969" s="85"/>
      <c r="J969" s="85"/>
      <c r="K969" s="85"/>
    </row>
    <row r="970" ht="15.75" customHeight="1">
      <c r="A970" s="85"/>
      <c r="B970" s="85"/>
      <c r="C970" s="65"/>
      <c r="D970" s="65"/>
      <c r="E970" s="85"/>
      <c r="F970" s="65"/>
      <c r="G970" s="117"/>
      <c r="H970" s="65"/>
      <c r="I970" s="85"/>
      <c r="J970" s="85"/>
      <c r="K970" s="85"/>
    </row>
    <row r="971" ht="15.75" customHeight="1">
      <c r="A971" s="85"/>
      <c r="B971" s="85"/>
      <c r="C971" s="65"/>
      <c r="D971" s="65"/>
      <c r="E971" s="85"/>
      <c r="F971" s="65"/>
      <c r="G971" s="117"/>
      <c r="H971" s="65"/>
      <c r="I971" s="85"/>
      <c r="J971" s="85"/>
      <c r="K971" s="85"/>
    </row>
    <row r="972" ht="15.75" customHeight="1">
      <c r="A972" s="85"/>
      <c r="B972" s="85"/>
      <c r="C972" s="65"/>
      <c r="D972" s="65"/>
      <c r="E972" s="85"/>
      <c r="F972" s="65"/>
      <c r="G972" s="117"/>
      <c r="H972" s="65"/>
      <c r="I972" s="85"/>
      <c r="J972" s="85"/>
      <c r="K972" s="85"/>
    </row>
    <row r="973" ht="15.75" customHeight="1">
      <c r="A973" s="85"/>
      <c r="B973" s="85"/>
      <c r="C973" s="65"/>
      <c r="D973" s="65"/>
      <c r="E973" s="85"/>
      <c r="F973" s="65"/>
      <c r="G973" s="117"/>
      <c r="H973" s="65"/>
      <c r="I973" s="85"/>
      <c r="J973" s="85"/>
      <c r="K973" s="85"/>
    </row>
    <row r="974" ht="15.75" customHeight="1">
      <c r="A974" s="85"/>
      <c r="B974" s="85"/>
      <c r="C974" s="65"/>
      <c r="D974" s="65"/>
      <c r="E974" s="85"/>
      <c r="F974" s="65"/>
      <c r="G974" s="117"/>
      <c r="H974" s="65"/>
      <c r="I974" s="85"/>
      <c r="J974" s="85"/>
      <c r="K974" s="85"/>
    </row>
    <row r="975" ht="15.75" customHeight="1">
      <c r="A975" s="85"/>
      <c r="B975" s="85"/>
      <c r="C975" s="65"/>
      <c r="D975" s="65"/>
      <c r="E975" s="85"/>
      <c r="F975" s="65"/>
      <c r="G975" s="117"/>
      <c r="H975" s="65"/>
      <c r="I975" s="85"/>
      <c r="J975" s="85"/>
      <c r="K975" s="85"/>
    </row>
    <row r="976" ht="15.75" customHeight="1">
      <c r="A976" s="85"/>
      <c r="B976" s="85"/>
      <c r="C976" s="65"/>
      <c r="D976" s="65"/>
      <c r="E976" s="85"/>
      <c r="F976" s="65"/>
      <c r="G976" s="117"/>
      <c r="H976" s="65"/>
      <c r="I976" s="85"/>
      <c r="J976" s="85"/>
      <c r="K976" s="85"/>
    </row>
    <row r="977" ht="15.75" customHeight="1">
      <c r="A977" s="85"/>
      <c r="B977" s="85"/>
      <c r="C977" s="65"/>
      <c r="D977" s="65"/>
      <c r="E977" s="85"/>
      <c r="F977" s="65"/>
      <c r="G977" s="117"/>
      <c r="H977" s="65"/>
      <c r="I977" s="85"/>
      <c r="J977" s="85"/>
      <c r="K977" s="85"/>
    </row>
    <row r="978" ht="15.75" customHeight="1">
      <c r="A978" s="85"/>
      <c r="B978" s="85"/>
      <c r="C978" s="65"/>
      <c r="D978" s="65"/>
      <c r="E978" s="85"/>
      <c r="F978" s="65"/>
      <c r="G978" s="117"/>
      <c r="H978" s="65"/>
      <c r="I978" s="85"/>
      <c r="J978" s="85"/>
      <c r="K978" s="85"/>
    </row>
    <row r="979" ht="15.75" customHeight="1">
      <c r="A979" s="85"/>
      <c r="B979" s="85"/>
      <c r="C979" s="65"/>
      <c r="D979" s="65"/>
      <c r="E979" s="85"/>
      <c r="F979" s="65"/>
      <c r="G979" s="117"/>
      <c r="H979" s="65"/>
      <c r="I979" s="85"/>
      <c r="J979" s="85"/>
      <c r="K979" s="85"/>
    </row>
    <row r="980" ht="15.75" customHeight="1">
      <c r="A980" s="85"/>
      <c r="B980" s="85"/>
      <c r="C980" s="65"/>
      <c r="D980" s="65"/>
      <c r="E980" s="85"/>
      <c r="F980" s="65"/>
      <c r="G980" s="117"/>
      <c r="H980" s="65"/>
      <c r="I980" s="85"/>
      <c r="J980" s="85"/>
      <c r="K980" s="85"/>
    </row>
    <row r="981" ht="15.75" customHeight="1">
      <c r="A981" s="85"/>
      <c r="B981" s="85"/>
      <c r="C981" s="65"/>
      <c r="D981" s="65"/>
      <c r="E981" s="85"/>
      <c r="F981" s="65"/>
      <c r="G981" s="117"/>
      <c r="H981" s="65"/>
      <c r="I981" s="85"/>
      <c r="J981" s="85"/>
      <c r="K981" s="85"/>
    </row>
    <row r="982" ht="15.75" customHeight="1">
      <c r="A982" s="85"/>
      <c r="B982" s="85"/>
      <c r="C982" s="65"/>
      <c r="D982" s="65"/>
      <c r="E982" s="85"/>
      <c r="F982" s="65"/>
      <c r="G982" s="117"/>
      <c r="H982" s="65"/>
      <c r="I982" s="85"/>
      <c r="J982" s="85"/>
      <c r="K982" s="85"/>
    </row>
    <row r="983" ht="15.75" customHeight="1">
      <c r="A983" s="85"/>
      <c r="B983" s="85"/>
      <c r="C983" s="65"/>
      <c r="D983" s="65"/>
      <c r="E983" s="85"/>
      <c r="F983" s="65"/>
      <c r="G983" s="117"/>
      <c r="H983" s="65"/>
      <c r="I983" s="85"/>
      <c r="J983" s="85"/>
      <c r="K983" s="85"/>
    </row>
    <row r="984" ht="15.75" customHeight="1">
      <c r="A984" s="85"/>
      <c r="B984" s="85"/>
      <c r="C984" s="65"/>
      <c r="D984" s="65"/>
      <c r="E984" s="85"/>
      <c r="F984" s="65"/>
      <c r="G984" s="117"/>
      <c r="H984" s="65"/>
      <c r="I984" s="85"/>
      <c r="J984" s="85"/>
      <c r="K984" s="85"/>
    </row>
    <row r="985" ht="15.75" customHeight="1">
      <c r="A985" s="85"/>
      <c r="B985" s="85"/>
      <c r="C985" s="65"/>
      <c r="D985" s="65"/>
      <c r="E985" s="85"/>
      <c r="F985" s="65"/>
      <c r="G985" s="117"/>
      <c r="H985" s="65"/>
      <c r="I985" s="85"/>
      <c r="J985" s="85"/>
      <c r="K985" s="85"/>
    </row>
    <row r="986" ht="15.75" customHeight="1">
      <c r="A986" s="85"/>
      <c r="B986" s="85"/>
      <c r="C986" s="65"/>
      <c r="D986" s="65"/>
      <c r="E986" s="85"/>
      <c r="F986" s="65"/>
      <c r="G986" s="117"/>
      <c r="H986" s="65"/>
      <c r="I986" s="85"/>
      <c r="J986" s="85"/>
      <c r="K986" s="85"/>
    </row>
    <row r="987" ht="15.75" customHeight="1">
      <c r="A987" s="85"/>
      <c r="B987" s="85"/>
      <c r="C987" s="65"/>
      <c r="D987" s="65"/>
      <c r="E987" s="85"/>
      <c r="F987" s="65"/>
      <c r="G987" s="117"/>
      <c r="H987" s="65"/>
      <c r="I987" s="85"/>
      <c r="J987" s="85"/>
      <c r="K987" s="85"/>
    </row>
    <row r="988" ht="15.75" customHeight="1">
      <c r="A988" s="85"/>
      <c r="B988" s="85"/>
      <c r="C988" s="65"/>
      <c r="D988" s="65"/>
      <c r="E988" s="85"/>
      <c r="F988" s="65"/>
      <c r="G988" s="117"/>
      <c r="H988" s="65"/>
      <c r="I988" s="85"/>
      <c r="J988" s="85"/>
      <c r="K988" s="85"/>
    </row>
    <row r="989" ht="15.75" customHeight="1">
      <c r="A989" s="85"/>
      <c r="B989" s="85"/>
      <c r="C989" s="65"/>
      <c r="D989" s="65"/>
      <c r="E989" s="85"/>
      <c r="F989" s="65"/>
      <c r="G989" s="117"/>
      <c r="H989" s="65"/>
      <c r="I989" s="85"/>
      <c r="J989" s="85"/>
      <c r="K989" s="85"/>
    </row>
    <row r="990" ht="15.75" customHeight="1">
      <c r="A990" s="85"/>
      <c r="B990" s="85"/>
      <c r="C990" s="65"/>
      <c r="D990" s="65"/>
      <c r="E990" s="85"/>
      <c r="F990" s="65"/>
      <c r="G990" s="117"/>
      <c r="H990" s="65"/>
      <c r="I990" s="85"/>
      <c r="J990" s="85"/>
      <c r="K990" s="85"/>
    </row>
    <row r="991" ht="15.75" customHeight="1">
      <c r="A991" s="85"/>
      <c r="B991" s="85"/>
      <c r="C991" s="65"/>
      <c r="D991" s="65"/>
      <c r="E991" s="85"/>
      <c r="F991" s="65"/>
      <c r="G991" s="117"/>
      <c r="H991" s="65"/>
      <c r="I991" s="85"/>
      <c r="J991" s="85"/>
      <c r="K991" s="85"/>
    </row>
    <row r="992" ht="15.75" customHeight="1">
      <c r="A992" s="85"/>
      <c r="B992" s="85"/>
      <c r="C992" s="65"/>
      <c r="D992" s="65"/>
      <c r="E992" s="85"/>
      <c r="F992" s="65"/>
      <c r="G992" s="117"/>
      <c r="H992" s="65"/>
      <c r="I992" s="85"/>
      <c r="J992" s="85"/>
      <c r="K992" s="85"/>
    </row>
    <row r="993" ht="15.75" customHeight="1">
      <c r="A993" s="85"/>
      <c r="B993" s="85"/>
      <c r="C993" s="65"/>
      <c r="D993" s="65"/>
      <c r="E993" s="85"/>
      <c r="F993" s="65"/>
      <c r="G993" s="117"/>
      <c r="H993" s="65"/>
      <c r="I993" s="85"/>
      <c r="J993" s="85"/>
      <c r="K993" s="85"/>
    </row>
    <row r="994" ht="15.75" customHeight="1">
      <c r="A994" s="85"/>
      <c r="B994" s="85"/>
      <c r="C994" s="65"/>
      <c r="D994" s="65"/>
      <c r="E994" s="85"/>
      <c r="F994" s="65"/>
      <c r="G994" s="117"/>
      <c r="H994" s="65"/>
      <c r="I994" s="85"/>
      <c r="J994" s="85"/>
      <c r="K994" s="85"/>
    </row>
    <row r="995" ht="15.75" customHeight="1">
      <c r="A995" s="85"/>
      <c r="B995" s="85"/>
      <c r="C995" s="65"/>
      <c r="D995" s="65"/>
      <c r="E995" s="85"/>
      <c r="F995" s="65"/>
      <c r="G995" s="117"/>
      <c r="H995" s="65"/>
      <c r="I995" s="85"/>
      <c r="J995" s="85"/>
      <c r="K995" s="85"/>
    </row>
    <row r="996" ht="15.75" customHeight="1">
      <c r="A996" s="85"/>
      <c r="B996" s="85"/>
      <c r="C996" s="65"/>
      <c r="D996" s="65"/>
      <c r="E996" s="85"/>
      <c r="F996" s="65"/>
      <c r="G996" s="117"/>
      <c r="H996" s="65"/>
      <c r="I996" s="85"/>
      <c r="J996" s="85"/>
      <c r="K996" s="85"/>
    </row>
    <row r="997" ht="15.75" customHeight="1">
      <c r="A997" s="85"/>
      <c r="B997" s="85"/>
      <c r="C997" s="65"/>
      <c r="D997" s="65"/>
      <c r="E997" s="85"/>
      <c r="F997" s="65"/>
      <c r="G997" s="117"/>
      <c r="H997" s="65"/>
      <c r="I997" s="85"/>
      <c r="J997" s="85"/>
      <c r="K997" s="85"/>
    </row>
  </sheetData>
  <autoFilter ref="$A$1:$K$479"/>
  <printOptions/>
  <pageMargins bottom="1.0" footer="0.0" header="0.0" left="0.75" right="0.75" top="1.0"/>
  <pageSetup paperSize="9" orientation="portrait"/>
  <drawing r:id="rId2"/>
  <legacyDrawing r:id="rId3"/>
</worksheet>
</file>